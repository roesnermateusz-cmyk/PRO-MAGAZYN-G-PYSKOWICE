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START" sheetId="1" state="visible" r:id="rId1"/>
    <sheet name="FORMULARZ" sheetId="2" state="visible" r:id="rId2"/>
    <sheet name="Dane" sheetId="3" state="visible" r:id="rId3"/>
    <sheet name="MAGAZYN" sheetId="4" state="visible" r:id="rId4"/>
    <sheet name="RAPORTY" sheetId="5" state="visible" r:id="rId5"/>
    <sheet name="SŁOWNIK" sheetId="6" state="visible" r:id="rId6"/>
    <sheet name="HISTORIA" sheetId="7" state="visible" r:id="rId7"/>
    <sheet name="USTAWIENIA" sheetId="8" state="visible" r:id="rId8"/>
  </sheets>
  <definedNames>
    <definedName name="sl_TYP_OPERACJI">OFFSET('SŁOWNIK'!$A$2,0,0,MAX(1,COUNTA('SŁOWNIK'!$A:$A)-1),1)</definedName>
    <definedName name="sl_PRODUKT">OFFSET('SŁOWNIK'!$B$2,0,0,MAX(1,COUNTA('SŁOWNIK'!$B:$B)-1),1)</definedName>
    <definedName name="sl_JEDNOSTKA">OFFSET('SŁOWNIK'!$C$2,0,0,MAX(1,COUNTA('SŁOWNIK'!$C:$C)-1),1)</definedName>
    <definedName name="sl_DOSTAWCA">OFFSET('SŁOWNIK'!$D$2,0,0,MAX(1,COUNTA('SŁOWNIK'!$D:$D)-1),1)</definedName>
    <definedName name="sl_ODBIORCA">OFFSET('SŁOWNIK'!$E$2,0,0,MAX(1,COUNTA('SŁOWNIK'!$E:$E)-1),1)</definedName>
    <definedName name="sl_MIEJSCE">OFFSET('SŁOWNIK'!$F$2,0,0,MAX(1,COUNTA('SŁOWNIK'!$F:$F)-1),1)</definedName>
    <definedName name="sl_PRZEWOZNIK">OFFSET('SŁOWNIK'!$G$2,0,0,MAX(1,COUNTA('SŁOWNIK'!$G:$G)-1),1)</definedName>
    <definedName name="sl_POJAZD">OFFSET('SŁOWNIK'!$H$2,0,0,MAX(1,COUNTA('SŁOWNIK'!$H:$H)-1),1)</definedName>
    <definedName name="sl_OPERATOR">OFFSET('SŁOWNIK'!$I$2,0,0,MAX(1,COUNTA('SŁOWNIK'!$I:$I)-1),1)</definedName>
    <definedName name="sl_TAK_NIE">OFFSET('SŁOWNIK'!$J$2,0,0,MAX(1,COUNTA('SŁOWNIK'!$J:$J)-1),1)</definedName>
    <definedName name="sl_DEKLARACJA">OFFSET('SŁOWNIK'!$K$2,0,0,MAX(1,COUNTA('SŁOWNIK'!$K:$K)-1),1)</definedName>
    <definedName name="sl_ZREBKA">OFFSET('SŁOWNIK'!$L$2,0,0,MAX(1,COUNTA('SŁOWNIK'!$L:$L)-1),1)</definedName>
    <definedName name="sl_RABANIE">OFFSET('SŁOWNIK'!$M$2,0,0,MAX(1,COUNTA('SŁOWNIK'!$M:$M)-1),1)</definedName>
    <definedName name="sl_STATUS">OFFSET('SŁOWNIK'!$N$2,0,0,MAX(1,COUNTA('SŁOWNIK'!$N:$N)-1),1)</definedName>
    <definedName name="Przelicznik_MP_tona">'USTAWIENIA'!$C$5</definedName>
    <definedName name="Przelicznik_M3_MP">'USTAWIENIA'!$C$6</definedName>
    <definedName name="Przelicznik_GJ_tona">'USTAWIENIA'!$C$7</definedName>
    <definedName name="Stawka_za_km">'USTAWIENIA'!$C$4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dd.mm.yyyy hh:mm"/>
    <numFmt numFmtId="165" formatCode="dd.mm.yyyy"/>
    <numFmt numFmtId="166" formatCode="# ##0.000"/>
    <numFmt numFmtId="167" formatCode="# ##0.00 zł"/>
    <numFmt numFmtId="168" formatCode="# ##0.00"/>
    <numFmt numFmtId="169" formatCode="yyyy-mm-dd h:mm:ss"/>
    <numFmt numFmtId="170" formatCode="# ##0"/>
    <numFmt numFmtId="171" formatCode="dd.mm.yyyy hh:mm:ss"/>
  </numFmts>
  <fonts count="17">
    <font>
      <name val="Calibri"/>
      <family val="2"/>
      <color theme="1"/>
      <sz val="11"/>
      <scheme val="minor"/>
    </font>
    <font>
      <name val="Segoe UI"/>
      <b val="1"/>
      <color rgb="001F3A5F"/>
      <sz val="26"/>
    </font>
    <font>
      <name val="Segoe UI"/>
      <color rgb="005A626E"/>
      <sz val="12"/>
    </font>
    <font>
      <name val="Segoe UI"/>
      <i val="1"/>
      <color rgb="005A626E"/>
      <sz val="10"/>
    </font>
    <font>
      <name val="Segoe UI"/>
      <b val="1"/>
      <color rgb="005A626E"/>
      <sz val="9"/>
    </font>
    <font>
      <name val="Segoe UI"/>
      <b val="1"/>
      <color rgb="001F3A5F"/>
      <sz val="14"/>
    </font>
    <font>
      <name val="Segoe UI"/>
      <i val="1"/>
      <color rgb="005A626E"/>
      <sz val="9"/>
    </font>
    <font>
      <name val="Segoe UI"/>
      <color rgb="005A626E"/>
      <sz val="9"/>
    </font>
    <font>
      <name val="Segoe UI"/>
      <b val="1"/>
      <color rgb="001F3A5F"/>
      <sz val="16"/>
    </font>
    <font>
      <name val="Segoe UI"/>
      <b val="1"/>
      <color rgb="00FFFFFF"/>
      <sz val="10"/>
    </font>
    <font>
      <name val="Segoe UI"/>
      <b val="1"/>
      <sz val="10"/>
    </font>
    <font>
      <name val="Segoe UI"/>
      <sz val="11"/>
    </font>
    <font>
      <name val="Segoe UI"/>
      <sz val="10"/>
    </font>
    <font>
      <name val="Segoe UI"/>
      <b val="1"/>
      <color rgb="00FFFFFF"/>
      <sz val="9"/>
    </font>
    <font>
      <name val="Segoe UI"/>
      <b val="1"/>
      <color rgb="0010845A"/>
      <sz val="13"/>
    </font>
    <font>
      <name val="Segoe UI"/>
      <b val="1"/>
      <color rgb="001F3A5F"/>
      <sz val="11"/>
    </font>
    <font>
      <name val="Consolas"/>
      <b val="1"/>
      <sz val="10"/>
    </font>
  </fonts>
  <fills count="4">
    <fill>
      <patternFill/>
    </fill>
    <fill>
      <patternFill patternType="gray125"/>
    </fill>
    <fill>
      <patternFill patternType="solid">
        <fgColor rgb="001F3A5F"/>
      </patternFill>
    </fill>
    <fill>
      <patternFill patternType="solid">
        <fgColor rgb="00FFFFFF"/>
      </patternFill>
    </fill>
  </fills>
  <borders count="2">
    <border>
      <left/>
      <right/>
      <top/>
      <bottom/>
      <diagonal/>
    </border>
    <border>
      <left style="thin">
        <color rgb="00C8D0DA"/>
      </left>
      <right style="thin">
        <color rgb="00C8D0DA"/>
      </right>
      <top style="thin">
        <color rgb="00C8D0DA"/>
      </top>
      <bottom style="thin">
        <color rgb="00C8D0DA"/>
      </bottom>
    </border>
  </borders>
  <cellStyleXfs count="1">
    <xf numFmtId="0" fontId="0" fillId="0" borderId="0"/>
  </cellStyleXfs>
  <cellXfs count="3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164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0" fontId="8" fillId="0" borderId="0" pivotButton="0" quotePrefix="0" xfId="0"/>
    <xf numFmtId="0" fontId="9" fillId="2" borderId="0" pivotButton="0" quotePrefix="0" xfId="0"/>
    <xf numFmtId="0" fontId="10" fillId="0" borderId="0" applyAlignment="1" pivotButton="0" quotePrefix="0" xfId="0">
      <alignment vertical="center"/>
    </xf>
    <xf numFmtId="0" fontId="11" fillId="3" borderId="1" applyAlignment="1" pivotButton="0" quotePrefix="0" xfId="0">
      <alignment vertical="center"/>
    </xf>
    <xf numFmtId="165" fontId="11" fillId="3" borderId="1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166" fontId="11" fillId="3" borderId="1" applyAlignment="1" pivotButton="0" quotePrefix="0" xfId="0">
      <alignment vertical="center"/>
    </xf>
    <xf numFmtId="167" fontId="11" fillId="3" borderId="1" applyAlignment="1" pivotButton="0" quotePrefix="0" xfId="0">
      <alignment vertical="center"/>
    </xf>
    <xf numFmtId="168" fontId="11" fillId="3" borderId="1" applyAlignment="1" pivotButton="0" quotePrefix="0" xfId="0">
      <alignment vertical="center"/>
    </xf>
    <xf numFmtId="0" fontId="13" fillId="2" borderId="1" applyAlignment="1" pivotButton="0" quotePrefix="0" xfId="0">
      <alignment horizontal="center" vertical="center" wrapText="1"/>
    </xf>
    <xf numFmtId="165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168" fontId="0" fillId="0" borderId="0" pivotButton="0" quotePrefix="0" xfId="0"/>
    <xf numFmtId="164" fontId="0" fillId="0" borderId="0" pivotButton="0" quotePrefix="0" xfId="0"/>
    <xf numFmtId="1" fontId="0" fillId="0" borderId="0" pivotButton="0" quotePrefix="0" xfId="0"/>
    <xf numFmtId="166" fontId="14" fillId="0" borderId="0" pivotButton="0" quotePrefix="0" xfId="0"/>
    <xf numFmtId="0" fontId="9" fillId="2" borderId="1" applyAlignment="1" pivotButton="0" quotePrefix="0" xfId="0">
      <alignment horizontal="center" vertical="center" wrapText="1"/>
    </xf>
    <xf numFmtId="0" fontId="12" fillId="3" borderId="1" pivotButton="0" quotePrefix="0" xfId="0"/>
    <xf numFmtId="170" fontId="15" fillId="0" borderId="0" pivotButton="0" quotePrefix="0" xfId="0"/>
    <xf numFmtId="166" fontId="15" fillId="0" borderId="0" pivotButton="0" quotePrefix="0" xfId="0"/>
    <xf numFmtId="167" fontId="15" fillId="0" borderId="0" pivotButton="0" quotePrefix="0" xfId="0"/>
    <xf numFmtId="0" fontId="12" fillId="0" borderId="0" pivotButton="0" quotePrefix="0" xfId="0"/>
    <xf numFmtId="171" fontId="0" fillId="0" borderId="0" pivotButton="0" quotePrefix="0" xfId="0"/>
    <xf numFmtId="0" fontId="16" fillId="0" borderId="0" pivotButton="0" quotePrefix="0" xfId="0"/>
    <xf numFmtId="0" fontId="11" fillId="3" borderId="1" pivotButton="0" quotePrefix="0" xfId="0"/>
  </cellXfs>
  <cellStyles count="1">
    <cellStyle name="Normal" xfId="0" builtinId="0" hidden="0"/>
  </cellStyles>
  <dxfs count="1">
    <dxf>
      <fill>
        <patternFill patternType="solid">
          <fgColor rgb="00FFE4E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Id="rIdVBAProject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ela_dane" displayName="Tabela_dane" ref="A1:AQ578" headerRowCount="1">
  <autoFilter ref="A1:AQ578"/>
  <tableColumns count="43">
    <tableColumn id="1" name="Data załadunku"/>
    <tableColumn id="2" name="Miejsce załadunku"/>
    <tableColumn id="3" name="Data operacji"/>
    <tableColumn id="4" name="Dostawca"/>
    <tableColumn id="5" name="Typ operacji"/>
    <tableColumn id="6" name="Nr WZ"/>
    <tableColumn id="7" name="Czy magazynowane"/>
    <tableColumn id="8" name="Deklaracja/KZR"/>
    <tableColumn id="9" name="Volumen"/>
    <tableColumn id="10" name="Jednostka miary"/>
    <tableColumn id="11" name="Cena zakupu/produkcji"/>
    <tableColumn id="12" name="Wartość"/>
    <tableColumn id="13" name="Cena sprzedaży"/>
    <tableColumn id="14" name="Produkt"/>
    <tableColumn id="15" name="Rodzaj zrębki"/>
    <tableColumn id="16" name="Rąbanie (kto)"/>
    <tableColumn id="17" name="Koszt rąbania"/>
    <tableColumn id="18" name="Przewoźnik"/>
    <tableColumn id="19" name="Nr rejestracyjny"/>
    <tableColumn id="20" name="Odległość km"/>
    <tableColumn id="21" name="Stawka zł/km"/>
    <tableColumn id="22" name="Koszt transportu"/>
    <tableColumn id="23" name="Odbiorca"/>
    <tableColumn id="24" name="Miejsce pochodzenia"/>
    <tableColumn id="25" name="Uwagi"/>
    <tableColumn id="26" name="Utworzył"/>
    <tableColumn id="27" name="Data dodania wpisu"/>
    <tableColumn id="28" name="ID operacji"/>
    <tableColumn id="29" name="ID powiązania"/>
    <tableColumn id="30" name="Status"/>
    <tableColumn id="31" name="Wolumen_MP"/>
    <tableColumn id="32" name="Wolumen_t"/>
    <tableColumn id="33" name="Wolumen_GJ"/>
    <tableColumn id="34" name="Ruch_magazyn_MP"/>
    <tableColumn id="35" name="Ruch_magazyn_t"/>
    <tableColumn id="36" name="Wartość_zakupu_zł"/>
    <tableColumn id="37" name="Wartość_sprzedaży_zł"/>
    <tableColumn id="38" name="Koszt_rąbania_total"/>
    <tableColumn id="39" name="Typ_transportu"/>
    <tableColumn id="40" name="Rok"/>
    <tableColumn id="41" name="Miesiąc_nr"/>
    <tableColumn id="42" name="Miesiąc_tekst"/>
    <tableColumn id="43" name="Kwartał"/>
  </tableColumns>
  <tableStyleInfo name="TableStyleMedium2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wsStart">
    <outlinePr summaryBelow="1" summaryRight="1"/>
    <pageSetUpPr/>
  </sheetPr>
  <dimension ref="B2:G24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2" customWidth="1" min="2" max="2"/>
    <col width="18" customWidth="1" min="3" max="3"/>
    <col width="18" customWidth="1" min="4" max="4"/>
    <col width="18" customWidth="1" min="5" max="5"/>
    <col width="22" customWidth="1" min="6" max="6"/>
    <col width="18" customWidth="1" min="7" max="7"/>
    <col width="18" customWidth="1" min="8" max="8"/>
    <col width="4" customWidth="1" min="9" max="9"/>
  </cols>
  <sheetData>
    <row r="2">
      <c r="B2" s="1" t="inlineStr">
        <is>
          <t>PRO-MAGAZYN</t>
        </is>
      </c>
    </row>
    <row r="3">
      <c r="B3" s="2" t="inlineStr">
        <is>
          <t>System ewidencji magazynowej - biomasa i drewno</t>
        </is>
      </c>
    </row>
    <row r="4">
      <c r="B4" s="3" t="inlineStr">
        <is>
          <t>ResInvest Commodities  |  wersja 2.0.0</t>
        </is>
      </c>
    </row>
    <row r="6">
      <c r="B6" s="4" t="inlineStr">
        <is>
          <t>Operacji w kartotece</t>
        </is>
      </c>
      <c r="D6" s="4" t="inlineStr">
        <is>
          <t>Zdarzeń w dzienniku</t>
        </is>
      </c>
      <c r="F6" s="4" t="inlineStr">
        <is>
          <t>Ostatnie odświeżenie</t>
        </is>
      </c>
    </row>
    <row r="7">
      <c r="C7" s="5" t="n"/>
      <c r="E7" s="5" t="n"/>
      <c r="G7" s="6" t="n"/>
    </row>
    <row r="8">
      <c r="B8" s="7" t="inlineStr">
        <is>
          <t>Przyciski poniżej uruchamiają moduły systemu.</t>
        </is>
      </c>
    </row>
    <row r="10" ht="23" customHeight="1"/>
    <row r="11" ht="23" customHeight="1"/>
    <row r="12" ht="23" customHeight="1"/>
    <row r="13" ht="23" customHeight="1"/>
    <row r="14" ht="23" customHeight="1"/>
    <row r="15" ht="23" customHeight="1"/>
    <row r="16" ht="23" customHeight="1"/>
    <row r="17" ht="23" customHeight="1"/>
    <row r="18" ht="23" customHeight="1"/>
    <row r="19" ht="23" customHeight="1"/>
    <row r="20" ht="23" customHeight="1"/>
    <row r="21" ht="23" customHeight="1"/>
    <row r="22" ht="23" customHeight="1"/>
    <row r="24">
      <c r="B24" s="8" t="inlineStr">
        <is>
          <t>Skróty:  Ctrl+Shift+N nowa operacja   |   Ctrl+Shift+Z zapisz   |   Ctrl+Shift+M magazyn   |   Ctrl+Shift+R raporty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wsFormularz">
    <outlinePr summaryBelow="1" summaryRight="1"/>
    <pageSetUpPr/>
  </sheetPr>
  <dimension ref="A1:D50"/>
  <sheetViews>
    <sheetView showGridLines="0" workbookViewId="0">
      <selection activeCell="A1" sqref="A1"/>
    </sheetView>
  </sheetViews>
  <sheetFormatPr baseColWidth="8" defaultRowHeight="15"/>
  <cols>
    <col hidden="1" width="2" customWidth="1" min="1" max="1"/>
    <col width="34" customWidth="1" min="2" max="2"/>
    <col width="30" customWidth="1" min="3" max="3"/>
    <col width="48" customWidth="1" min="4" max="4"/>
    <col width="3" customWidth="1" min="5" max="5"/>
    <col width="16" customWidth="1" min="6" max="6"/>
    <col width="16" customWidth="1" min="7" max="7"/>
  </cols>
  <sheetData>
    <row r="1">
      <c r="B1" s="9" t="inlineStr">
        <is>
          <t>NOWA OPERACJA MAGAZYNOWA</t>
        </is>
      </c>
    </row>
    <row r="2">
      <c r="B2" s="7" t="inlineStr">
        <is>
          <t>Pola oznaczone * są obowiązkowe. Wartości wybieraj z list rozwijanych.</t>
        </is>
      </c>
    </row>
    <row r="4" ht="20" customHeight="1">
      <c r="B4" s="10" t="inlineStr">
        <is>
          <t>DANE PODSTAWOWE</t>
        </is>
      </c>
      <c r="C4" s="10" t="n"/>
      <c r="D4" s="10" t="n"/>
    </row>
    <row r="5" ht="18" customHeight="1">
      <c r="A5" t="inlineStr">
        <is>
          <t>TYP</t>
        </is>
      </c>
      <c r="B5" s="11" t="inlineStr">
        <is>
          <t>Typ operacji *</t>
        </is>
      </c>
      <c r="C5" s="12" t="inlineStr">
        <is>
          <t>ZAKUP</t>
        </is>
      </c>
      <c r="D5" s="7" t="inlineStr">
        <is>
          <t>ZAKUP / SPRZEDAŻ / PRODUKCJA / ZUŻYCIE / MM / TRANSPORT</t>
        </is>
      </c>
    </row>
    <row r="6" ht="18" customHeight="1">
      <c r="A6" t="inlineStr">
        <is>
          <t>DATA_OP</t>
        </is>
      </c>
      <c r="B6" s="11" t="inlineStr">
        <is>
          <t>Data operacji *</t>
        </is>
      </c>
      <c r="C6" s="13" t="n"/>
      <c r="D6" s="7" t="inlineStr">
        <is>
          <t>format dd.mm.rrrr</t>
        </is>
      </c>
    </row>
    <row r="7" ht="18" customHeight="1">
      <c r="A7" t="inlineStr">
        <is>
          <t>DATA_ZAL</t>
        </is>
      </c>
      <c r="B7" s="14" t="inlineStr">
        <is>
          <t>Data załadunku u klienta</t>
        </is>
      </c>
      <c r="C7" s="13" t="n"/>
      <c r="D7" s="7" t="inlineStr">
        <is>
          <t>opcjonalna</t>
        </is>
      </c>
    </row>
    <row r="8" ht="18" customHeight="1">
      <c r="A8" t="inlineStr">
        <is>
          <t>NR_WZ</t>
        </is>
      </c>
      <c r="B8" s="14" t="inlineStr">
        <is>
          <t>Nr WZ / PZ</t>
        </is>
      </c>
      <c r="C8" s="12" t="n"/>
      <c r="D8" s="7" t="inlineStr">
        <is>
          <t>przycisk podpowiada kolejny wolny numer</t>
        </is>
      </c>
    </row>
    <row r="9" ht="18" customHeight="1">
      <c r="A9" t="inlineStr">
        <is>
          <t>UTWORZYL</t>
        </is>
      </c>
      <c r="B9" s="11" t="inlineStr">
        <is>
          <t>Utworzył *</t>
        </is>
      </c>
      <c r="C9" s="12" t="n"/>
      <c r="D9" s="7" t="inlineStr">
        <is>
          <t>imię i nazwisko - z listy albo wpisz własne</t>
        </is>
      </c>
    </row>
    <row r="10" ht="6" customHeight="1"/>
    <row r="11" ht="20" customHeight="1">
      <c r="B11" s="10" t="inlineStr">
        <is>
          <t>TOWAR</t>
        </is>
      </c>
      <c r="C11" s="10" t="n"/>
      <c r="D11" s="10" t="n"/>
    </row>
    <row r="12" ht="18" customHeight="1">
      <c r="A12" t="inlineStr">
        <is>
          <t>PRODUKT</t>
        </is>
      </c>
      <c r="B12" s="11" t="inlineStr">
        <is>
          <t>Produkt *</t>
        </is>
      </c>
      <c r="C12" s="12" t="n"/>
      <c r="D12" s="7" t="inlineStr">
        <is>
          <t>lista rozwijana ze słownika</t>
        </is>
      </c>
    </row>
    <row r="13" ht="18" customHeight="1">
      <c r="A13" t="inlineStr">
        <is>
          <t>VOLUMEN</t>
        </is>
      </c>
      <c r="B13" s="11" t="inlineStr">
        <is>
          <t>Wolumen *</t>
        </is>
      </c>
      <c r="C13" s="15" t="n"/>
      <c r="D13" s="7" t="inlineStr">
        <is>
          <t>liczba większa od zera</t>
        </is>
      </c>
    </row>
    <row r="14" ht="18" customHeight="1">
      <c r="A14" t="inlineStr">
        <is>
          <t>JEDNOSTKA</t>
        </is>
      </c>
      <c r="B14" s="11" t="inlineStr">
        <is>
          <t>Jednostka miary *</t>
        </is>
      </c>
      <c r="C14" s="12" t="n"/>
      <c r="D14" s="7" t="inlineStr">
        <is>
          <t>MP / TON / M3 / GJ</t>
        </is>
      </c>
    </row>
    <row r="15" ht="18" customHeight="1">
      <c r="A15" t="inlineStr">
        <is>
          <t>CENA_ZAKUPU</t>
        </is>
      </c>
      <c r="B15" s="14" t="inlineStr">
        <is>
          <t>Cena zakupu/produkcji</t>
        </is>
      </c>
      <c r="C15" s="16" t="n"/>
      <c r="D15" s="7" t="inlineStr">
        <is>
          <t>zł za jednostkę</t>
        </is>
      </c>
    </row>
    <row r="16" ht="18" customHeight="1">
      <c r="A16" t="inlineStr">
        <is>
          <t>CENA_SPRZEDAZY</t>
        </is>
      </c>
      <c r="B16" s="14" t="inlineStr">
        <is>
          <t>Cena sprzedaży</t>
        </is>
      </c>
      <c r="C16" s="16" t="n"/>
      <c r="D16" s="7" t="inlineStr">
        <is>
          <t>zł za jednostkę</t>
        </is>
      </c>
    </row>
    <row r="17" ht="18" customHeight="1">
      <c r="A17" t="inlineStr">
        <is>
          <t>WARTOSC</t>
        </is>
      </c>
      <c r="B17" s="14" t="inlineStr">
        <is>
          <t>Wartość operacji</t>
        </is>
      </c>
      <c r="C17" s="16" t="n"/>
      <c r="D17" s="7" t="inlineStr">
        <is>
          <t>wyliczana automatycznie</t>
        </is>
      </c>
    </row>
    <row r="18" ht="18" customHeight="1">
      <c r="A18" t="inlineStr">
        <is>
          <t>CZY_MAG</t>
        </is>
      </c>
      <c r="B18" s="14" t="inlineStr">
        <is>
          <t>Czy magazynowane</t>
        </is>
      </c>
      <c r="C18" s="12" t="inlineStr">
        <is>
          <t>TAK</t>
        </is>
      </c>
      <c r="D18" s="7" t="inlineStr">
        <is>
          <t>TAK = operacja zmienia stan magazynu</t>
        </is>
      </c>
    </row>
    <row r="19" ht="18" customHeight="1">
      <c r="A19" t="inlineStr">
        <is>
          <t>DEKLARACJA</t>
        </is>
      </c>
      <c r="B19" s="14" t="inlineStr">
        <is>
          <t>Deklaracja / KZR</t>
        </is>
      </c>
      <c r="C19" s="12" t="n"/>
      <c r="D19" s="7" t="inlineStr"/>
    </row>
    <row r="20" ht="18" customHeight="1">
      <c r="A20" t="inlineStr">
        <is>
          <t>ZREBKA</t>
        </is>
      </c>
      <c r="B20" s="14" t="inlineStr">
        <is>
          <t>Rodzaj zrębki</t>
        </is>
      </c>
      <c r="C20" s="12" t="n"/>
      <c r="D20" s="7" t="inlineStr">
        <is>
          <t>A / B</t>
        </is>
      </c>
    </row>
    <row r="21" ht="18" customHeight="1">
      <c r="A21" t="inlineStr">
        <is>
          <t>RABANIE</t>
        </is>
      </c>
      <c r="B21" s="14" t="inlineStr">
        <is>
          <t>Rąbanie (kto)</t>
        </is>
      </c>
      <c r="C21" s="12" t="n"/>
      <c r="D21" s="7" t="inlineStr"/>
    </row>
    <row r="22" ht="18" customHeight="1">
      <c r="A22" t="inlineStr">
        <is>
          <t>KOSZT_RABANIA</t>
        </is>
      </c>
      <c r="B22" s="14" t="inlineStr">
        <is>
          <t>Koszt rąbania [zł/MP]</t>
        </is>
      </c>
      <c r="C22" s="16" t="n"/>
      <c r="D22" s="7" t="inlineStr"/>
    </row>
    <row r="23" ht="6" customHeight="1"/>
    <row r="24" ht="20" customHeight="1">
      <c r="B24" s="10" t="inlineStr">
        <is>
          <t>KONTRAHENCI I LOKALIZACJE</t>
        </is>
      </c>
      <c r="C24" s="10" t="n"/>
      <c r="D24" s="10" t="n"/>
    </row>
    <row r="25" ht="18" customHeight="1">
      <c r="A25" t="inlineStr">
        <is>
          <t>DOSTAWCA</t>
        </is>
      </c>
      <c r="B25" s="11" t="inlineStr">
        <is>
          <t>Dostawca / magazyn źródłowy *</t>
        </is>
      </c>
      <c r="C25" s="12" t="n"/>
      <c r="D25" s="7" t="inlineStr">
        <is>
          <t>wybór podpowiada miejsce i produkt</t>
        </is>
      </c>
    </row>
    <row r="26" ht="18" customHeight="1">
      <c r="A26" t="inlineStr">
        <is>
          <t>ODBIORCA</t>
        </is>
      </c>
      <c r="B26" s="11" t="inlineStr">
        <is>
          <t>Odbiorca / magazyn docelowy *</t>
        </is>
      </c>
      <c r="C26" s="12" t="n"/>
      <c r="D26" s="7" t="inlineStr"/>
    </row>
    <row r="27" ht="18" customHeight="1">
      <c r="A27" t="inlineStr">
        <is>
          <t>MIEJSCE_ZAL</t>
        </is>
      </c>
      <c r="B27" s="14" t="inlineStr">
        <is>
          <t>Miejsce załadunku</t>
        </is>
      </c>
      <c r="C27" s="12" t="n"/>
      <c r="D27" s="7" t="inlineStr"/>
    </row>
    <row r="28" ht="18" customHeight="1">
      <c r="A28" t="inlineStr">
        <is>
          <t>MIEJSCE_POCH</t>
        </is>
      </c>
      <c r="B28" s="14" t="inlineStr">
        <is>
          <t>Miejsce pochodzenia</t>
        </is>
      </c>
      <c r="C28" s="12" t="n"/>
      <c r="D28" s="7" t="inlineStr"/>
    </row>
    <row r="29" ht="18" customHeight="1">
      <c r="A29" t="inlineStr">
        <is>
          <t>UWAGI</t>
        </is>
      </c>
      <c r="B29" s="14" t="inlineStr">
        <is>
          <t>Uwagi</t>
        </is>
      </c>
      <c r="C29" s="12" t="n"/>
      <c r="D29" s="7" t="inlineStr"/>
    </row>
    <row r="30" ht="6" customHeight="1"/>
    <row r="31" ht="20" customHeight="1">
      <c r="B31" s="10" t="inlineStr">
        <is>
          <t>TRANSPORT   (koszt = odległość × stawka za km)</t>
        </is>
      </c>
      <c r="C31" s="10" t="n"/>
      <c r="D31" s="10" t="n"/>
    </row>
    <row r="32" ht="18" customHeight="1">
      <c r="A32" t="inlineStr">
        <is>
          <t>PRZEWOZNIK</t>
        </is>
      </c>
      <c r="B32" s="14" t="inlineStr">
        <is>
          <t>Przewoźnik</t>
        </is>
      </c>
      <c r="C32" s="12" t="n"/>
      <c r="D32" s="7" t="inlineStr">
        <is>
          <t>wybór podpowiada pojazd i stawkę</t>
        </is>
      </c>
    </row>
    <row r="33" ht="18" customHeight="1">
      <c r="A33" t="inlineStr">
        <is>
          <t>NR_REJ</t>
        </is>
      </c>
      <c r="B33" s="14" t="inlineStr">
        <is>
          <t>Nr rejestracyjny</t>
        </is>
      </c>
      <c r="C33" s="12" t="n"/>
      <c r="D33" s="7" t="inlineStr">
        <is>
          <t>zapisywany wielkimi literami</t>
        </is>
      </c>
    </row>
    <row r="34" ht="18" customHeight="1">
      <c r="A34" t="inlineStr">
        <is>
          <t>ODLEGLOSC</t>
        </is>
      </c>
      <c r="B34" s="14" t="inlineStr">
        <is>
          <t>Odległość [km]</t>
        </is>
      </c>
      <c r="C34" s="17" t="n"/>
      <c r="D34" s="7" t="inlineStr"/>
    </row>
    <row r="35" ht="18" customHeight="1">
      <c r="A35" t="inlineStr">
        <is>
          <t>STAWKA_KM</t>
        </is>
      </c>
      <c r="B35" s="14" t="inlineStr">
        <is>
          <t>Stawka [zł/km]</t>
        </is>
      </c>
      <c r="C35" s="16" t="n">
        <v>5</v>
      </c>
      <c r="D35" s="7" t="inlineStr">
        <is>
          <t>domyślnie 5,00 zł - zmienisz w USTAWIENIACH</t>
        </is>
      </c>
    </row>
    <row r="36" ht="18" customHeight="1">
      <c r="A36" t="inlineStr">
        <is>
          <t>KOSZT_TRANSPORTU</t>
        </is>
      </c>
      <c r="B36" s="14" t="inlineStr">
        <is>
          <t>Koszt transportu [zł]</t>
        </is>
      </c>
      <c r="C36" s="16" t="n"/>
      <c r="D36" s="7" t="inlineStr">
        <is>
          <t>wyliczany automatycznie, można nadpisać</t>
        </is>
      </c>
    </row>
    <row r="37" ht="6" customHeight="1"/>
    <row r="38" ht="20" customHeight="1">
      <c r="B38" s="10" t="inlineStr">
        <is>
          <t>PRODUKCJA SAMODZIELNA   (dla typu PRODUKCJA)</t>
        </is>
      </c>
      <c r="C38" s="10" t="n"/>
      <c r="D38" s="10" t="n"/>
    </row>
    <row r="39" ht="18" customHeight="1">
      <c r="A39" t="inlineStr">
        <is>
          <t>SUROWIEC</t>
        </is>
      </c>
      <c r="B39" s="14" t="inlineStr">
        <is>
          <t>Surowiec zużyty</t>
        </is>
      </c>
      <c r="C39" s="12" t="n"/>
      <c r="D39" s="7" t="inlineStr">
        <is>
          <t>puste = wartość z USTAWIEŃ</t>
        </is>
      </c>
    </row>
    <row r="40" ht="18" customHeight="1">
      <c r="A40" t="inlineStr">
        <is>
          <t>SUROWIEC_VOL</t>
        </is>
      </c>
      <c r="B40" s="14" t="inlineStr">
        <is>
          <t>Wolumen surowca</t>
        </is>
      </c>
      <c r="C40" s="15" t="n"/>
      <c r="D40" s="7" t="inlineStr">
        <is>
          <t>puste = tyle co wolumen produkcji</t>
        </is>
      </c>
    </row>
    <row r="41" ht="6" customHeight="1"/>
    <row r="42" ht="20" customHeight="1">
      <c r="B42" s="10" t="inlineStr">
        <is>
          <t>OPERACJE RÓWNOLEGŁE   (tylko przy ZAKUPIE)</t>
        </is>
      </c>
      <c r="C42" s="10" t="n"/>
      <c r="D42" s="10" t="n"/>
    </row>
    <row r="43" ht="18" customHeight="1">
      <c r="A43" t="inlineStr">
        <is>
          <t>ROWN_PRODUKCJA</t>
        </is>
      </c>
      <c r="B43" s="14" t="inlineStr">
        <is>
          <t>Produkcja równoległa</t>
        </is>
      </c>
      <c r="C43" s="12" t="inlineStr">
        <is>
          <t>NIE</t>
        </is>
      </c>
      <c r="D43" s="7" t="inlineStr">
        <is>
          <t>TAK / NIE</t>
        </is>
      </c>
    </row>
    <row r="44" ht="18" customHeight="1">
      <c r="A44" t="inlineStr">
        <is>
          <t>ROWN_PRODUKT</t>
        </is>
      </c>
      <c r="B44" s="14" t="inlineStr">
        <is>
          <t xml:space="preserve">     Produkt wyjściowy</t>
        </is>
      </c>
      <c r="C44" s="12" t="n"/>
      <c r="D44" s="7" t="inlineStr"/>
    </row>
    <row r="45" ht="18" customHeight="1">
      <c r="A45" t="inlineStr">
        <is>
          <t>ROWN_VOLUMEN</t>
        </is>
      </c>
      <c r="B45" s="14" t="inlineStr">
        <is>
          <t xml:space="preserve">     Wolumen produkcji</t>
        </is>
      </c>
      <c r="C45" s="15" t="n"/>
      <c r="D45" s="7" t="inlineStr"/>
    </row>
    <row r="46" ht="18" customHeight="1">
      <c r="A46" t="inlineStr">
        <is>
          <t>ROWN_JEDNOSTKA</t>
        </is>
      </c>
      <c r="B46" s="14" t="inlineStr">
        <is>
          <t xml:space="preserve">     Jednostka produkcji</t>
        </is>
      </c>
      <c r="C46" s="12" t="n"/>
      <c r="D46" s="7" t="inlineStr"/>
    </row>
    <row r="47" ht="18" customHeight="1">
      <c r="A47" t="inlineStr">
        <is>
          <t>ROWN_SPRZEDAZ</t>
        </is>
      </c>
      <c r="B47" s="14" t="inlineStr">
        <is>
          <t>Sprzedaż równoległa</t>
        </is>
      </c>
      <c r="C47" s="12" t="inlineStr">
        <is>
          <t>NIE</t>
        </is>
      </c>
      <c r="D47" s="7" t="inlineStr">
        <is>
          <t>TAK / NIE</t>
        </is>
      </c>
    </row>
    <row r="48" ht="18" customHeight="1">
      <c r="A48" t="inlineStr">
        <is>
          <t>ROWN_ODBIORCA</t>
        </is>
      </c>
      <c r="B48" s="14" t="inlineStr">
        <is>
          <t xml:space="preserve">     Odbiorca końcowy</t>
        </is>
      </c>
      <c r="C48" s="12" t="n"/>
      <c r="D48" s="7" t="inlineStr"/>
    </row>
    <row r="49" ht="18" customHeight="1">
      <c r="A49" t="inlineStr">
        <is>
          <t>ROWN_CENA</t>
        </is>
      </c>
      <c r="B49" s="14" t="inlineStr">
        <is>
          <t xml:space="preserve">     Cena sprzedaży</t>
        </is>
      </c>
      <c r="C49" s="16" t="n"/>
      <c r="D49" s="7" t="inlineStr"/>
    </row>
    <row r="50" ht="18" customHeight="1">
      <c r="A50" t="inlineStr">
        <is>
          <t>ROWN_TRANSPORT</t>
        </is>
      </c>
      <c r="B50" s="14" t="inlineStr">
        <is>
          <t>Transport równoległy</t>
        </is>
      </c>
      <c r="C50" s="12" t="inlineStr">
        <is>
          <t>NIE</t>
        </is>
      </c>
      <c r="D50" s="7" t="inlineStr">
        <is>
          <t>TAK / NIE - użyje danych z sekcji TRANSPORT</t>
        </is>
      </c>
    </row>
  </sheetData>
  <dataValidations count="21">
    <dataValidation sqref="C5" showDropDown="0" showInputMessage="0" showErrorMessage="0" allowBlank="1" errorTitle="Wartość spoza słownika" error="Ta pozycja nie występuje jeszcze w słowniku - zostanie do niego dopisana." type="list" errorStyle="information">
      <formula1>sl_TYP_OPERACJI</formula1>
    </dataValidation>
    <dataValidation sqref="C12" showDropDown="0" showInputMessage="0" showErrorMessage="0" allowBlank="1" errorTitle="Wartość spoza słownika" error="Ta pozycja nie występuje jeszcze w słowniku - zostanie do niego dopisana." type="list" errorStyle="information">
      <formula1>sl_PRODUKT</formula1>
    </dataValidation>
    <dataValidation sqref="C14" showDropDown="0" showInputMessage="0" showErrorMessage="0" allowBlank="1" errorTitle="Wartość spoza słownika" error="Ta pozycja nie występuje jeszcze w słowniku - zostanie do niego dopisana." type="list" errorStyle="information">
      <formula1>sl_JEDNOSTKA</formula1>
    </dataValidation>
    <dataValidation sqref="C25" showDropDown="0" showInputMessage="0" showErrorMessage="0" allowBlank="1" errorTitle="Wartość spoza słownika" error="Ta pozycja nie występuje jeszcze w słowniku - zostanie do niego dopisana." type="list" errorStyle="information">
      <formula1>sl_DOSTAWCA</formula1>
    </dataValidation>
    <dataValidation sqref="C26" showDropDown="0" showInputMessage="0" showErrorMessage="0" allowBlank="1" errorTitle="Wartość spoza słownika" error="Ta pozycja nie występuje jeszcze w słowniku - zostanie do niego dopisana." type="list" errorStyle="information">
      <formula1>sl_ODBIORCA</formula1>
    </dataValidation>
    <dataValidation sqref="C27" showDropDown="0" showInputMessage="0" showErrorMessage="0" allowBlank="1" errorTitle="Wartość spoza słownika" error="Ta pozycja nie występuje jeszcze w słowniku - zostanie do niego dopisana." type="list" errorStyle="information">
      <formula1>sl_MIEJSCE</formula1>
    </dataValidation>
    <dataValidation sqref="C28" showDropDown="0" showInputMessage="0" showErrorMessage="0" allowBlank="1" errorTitle="Wartość spoza słownika" error="Ta pozycja nie występuje jeszcze w słowniku - zostanie do niego dopisana." type="list" errorStyle="information">
      <formula1>sl_MIEJSCE</formula1>
    </dataValidation>
    <dataValidation sqref="C18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  <dataValidation sqref="C19" showDropDown="0" showInputMessage="0" showErrorMessage="0" allowBlank="1" errorTitle="Wartość spoza słownika" error="Ta pozycja nie występuje jeszcze w słowniku - zostanie do niego dopisana." type="list" errorStyle="information">
      <formula1>sl_DEKLARACJA</formula1>
    </dataValidation>
    <dataValidation sqref="C20" showDropDown="0" showInputMessage="0" showErrorMessage="0" allowBlank="1" errorTitle="Wartość spoza słownika" error="Ta pozycja nie występuje jeszcze w słowniku - zostanie do niego dopisana." type="list" errorStyle="information">
      <formula1>sl_ZREBKA</formula1>
    </dataValidation>
    <dataValidation sqref="C21" showDropDown="0" showInputMessage="0" showErrorMessage="0" allowBlank="1" errorTitle="Wartość spoza słownika" error="Ta pozycja nie występuje jeszcze w słowniku - zostanie do niego dopisana." type="list" errorStyle="information">
      <formula1>sl_RABANIE</formula1>
    </dataValidation>
    <dataValidation sqref="C9" showDropDown="0" showInputMessage="0" showErrorMessage="0" allowBlank="1" errorTitle="Wartość spoza słownika" error="Ta pozycja nie występuje jeszcze w słowniku - zostanie do niego dopisana." type="list" errorStyle="information">
      <formula1>sl_OPERATOR</formula1>
    </dataValidation>
    <dataValidation sqref="C32" showDropDown="0" showInputMessage="0" showErrorMessage="0" allowBlank="1" errorTitle="Wartość spoza słownika" error="Ta pozycja nie występuje jeszcze w słowniku - zostanie do niego dopisana." type="list" errorStyle="information">
      <formula1>sl_PRZEWOZNIK</formula1>
    </dataValidation>
    <dataValidation sqref="C33" showDropDown="0" showInputMessage="0" showErrorMessage="0" allowBlank="1" errorTitle="Wartość spoza słownika" error="Ta pozycja nie występuje jeszcze w słowniku - zostanie do niego dopisana." type="list" errorStyle="information">
      <formula1>sl_POJAZD</formula1>
    </dataValidation>
    <dataValidation sqref="C39" showDropDown="0" showInputMessage="0" showErrorMessage="0" allowBlank="1" errorTitle="Wartość spoza słownika" error="Ta pozycja nie występuje jeszcze w słowniku - zostanie do niego dopisana." type="list" errorStyle="information">
      <formula1>sl_PRODUKT</formula1>
    </dataValidation>
    <dataValidation sqref="C43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  <dataValidation sqref="C44" showDropDown="0" showInputMessage="0" showErrorMessage="0" allowBlank="1" errorTitle="Wartość spoza słownika" error="Ta pozycja nie występuje jeszcze w słowniku - zostanie do niego dopisana." type="list" errorStyle="information">
      <formula1>sl_PRODUKT</formula1>
    </dataValidation>
    <dataValidation sqref="C46" showDropDown="0" showInputMessage="0" showErrorMessage="0" allowBlank="1" errorTitle="Wartość spoza słownika" error="Ta pozycja nie występuje jeszcze w słowniku - zostanie do niego dopisana." type="list" errorStyle="information">
      <formula1>sl_JEDNOSTKA</formula1>
    </dataValidation>
    <dataValidation sqref="C47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  <dataValidation sqref="C48" showDropDown="0" showInputMessage="0" showErrorMessage="0" allowBlank="1" errorTitle="Wartość spoza słownika" error="Ta pozycja nie występuje jeszcze w słowniku - zostanie do niego dopisana." type="list" errorStyle="information">
      <formula1>sl_ODBIORCA</formula1>
    </dataValidation>
    <dataValidation sqref="C50" showDropDown="0" showInputMessage="0" showErrorMessage="0" allowBlank="1" errorTitle="Wartość spoza słownika" error="Ta pozycja nie występuje jeszcze w słowniku - zostanie do niego dopisana." type="list" errorStyle="information">
      <formula1>sl_TAK_NIE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wsDane">
    <outlinePr summaryBelow="1" summaryRight="1"/>
    <pageSetUpPr/>
  </sheetPr>
  <dimension ref="A1:AQ57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min="1" max="1"/>
    <col width="20" customWidth="1" min="2" max="2"/>
    <col width="13" customWidth="1" min="3" max="3"/>
    <col width="28" customWidth="1" min="4" max="4"/>
    <col width="13" customWidth="1" min="5" max="5"/>
    <col width="11" customWidth="1" min="6" max="6"/>
    <col width="10" customWidth="1" min="7" max="7"/>
    <col width="13" customWidth="1" min="8" max="8"/>
    <col width="11" customWidth="1" min="9" max="9"/>
    <col width="8" customWidth="1" min="10" max="10"/>
    <col width="14" customWidth="1" min="11" max="11"/>
    <col width="15" customWidth="1" min="12" max="12"/>
    <col width="14" customWidth="1" min="13" max="13"/>
    <col width="30" customWidth="1" min="14" max="14"/>
    <col width="9" customWidth="1" min="15" max="15"/>
    <col width="16" customWidth="1" min="16" max="16"/>
    <col width="12" customWidth="1" min="17" max="17"/>
    <col width="24" customWidth="1" min="18" max="18"/>
    <col width="14" customWidth="1" min="19" max="19"/>
    <col width="11" customWidth="1" min="20" max="20"/>
    <col width="11" customWidth="1" min="21" max="21"/>
    <col width="14" customWidth="1" min="22" max="22"/>
    <col width="24" customWidth="1" min="23" max="23"/>
    <col width="20" customWidth="1" min="24" max="24"/>
    <col width="34" customWidth="1" min="25" max="25"/>
    <col width="20" customWidth="1" min="26" max="26"/>
    <col width="17" customWidth="1" min="27" max="27"/>
    <col width="20" customWidth="1" min="28" max="28"/>
    <col width="20" customWidth="1" min="29" max="29"/>
    <col width="14" customWidth="1" min="30" max="30"/>
    <col width="15" customWidth="1" min="31" max="31"/>
    <col width="15" customWidth="1" min="32" max="32"/>
    <col width="15" customWidth="1" min="33" max="33"/>
    <col width="15" customWidth="1" min="34" max="34"/>
    <col width="15" customWidth="1" min="35" max="35"/>
    <col width="15" customWidth="1" min="36" max="36"/>
    <col width="15" customWidth="1" min="37" max="37"/>
    <col width="15" customWidth="1" min="38" max="38"/>
    <col width="15" customWidth="1" min="39" max="39"/>
    <col width="15" customWidth="1" min="40" max="40"/>
    <col width="15" customWidth="1" min="41" max="41"/>
    <col width="15" customWidth="1" min="42" max="42"/>
    <col width="15" customWidth="1" min="43" max="43"/>
  </cols>
  <sheetData>
    <row r="1" ht="34" customHeight="1">
      <c r="A1" s="18" t="inlineStr">
        <is>
          <t>Data załadunku</t>
        </is>
      </c>
      <c r="B1" s="18" t="inlineStr">
        <is>
          <t>Miejsce załadunku</t>
        </is>
      </c>
      <c r="C1" s="18" t="inlineStr">
        <is>
          <t>Data operacji</t>
        </is>
      </c>
      <c r="D1" s="18" t="inlineStr">
        <is>
          <t>Dostawca</t>
        </is>
      </c>
      <c r="E1" s="18" t="inlineStr">
        <is>
          <t>Typ operacji</t>
        </is>
      </c>
      <c r="F1" s="18" t="inlineStr">
        <is>
          <t>Nr WZ</t>
        </is>
      </c>
      <c r="G1" s="18" t="inlineStr">
        <is>
          <t>Czy magazynowane</t>
        </is>
      </c>
      <c r="H1" s="18" t="inlineStr">
        <is>
          <t>Deklaracja/KZR</t>
        </is>
      </c>
      <c r="I1" s="18" t="inlineStr">
        <is>
          <t>Volumen</t>
        </is>
      </c>
      <c r="J1" s="18" t="inlineStr">
        <is>
          <t>Jednostka miary</t>
        </is>
      </c>
      <c r="K1" s="18" t="inlineStr">
        <is>
          <t>Cena zakupu/produkcji</t>
        </is>
      </c>
      <c r="L1" s="18" t="inlineStr">
        <is>
          <t>Wartość</t>
        </is>
      </c>
      <c r="M1" s="18" t="inlineStr">
        <is>
          <t>Cena sprzedaży</t>
        </is>
      </c>
      <c r="N1" s="18" t="inlineStr">
        <is>
          <t>Produkt</t>
        </is>
      </c>
      <c r="O1" s="18" t="inlineStr">
        <is>
          <t>Rodzaj zrębki</t>
        </is>
      </c>
      <c r="P1" s="18" t="inlineStr">
        <is>
          <t>Rąbanie (kto)</t>
        </is>
      </c>
      <c r="Q1" s="18" t="inlineStr">
        <is>
          <t>Koszt rąbania</t>
        </is>
      </c>
      <c r="R1" s="18" t="inlineStr">
        <is>
          <t>Przewoźnik</t>
        </is>
      </c>
      <c r="S1" s="18" t="inlineStr">
        <is>
          <t>Nr rejestracyjny</t>
        </is>
      </c>
      <c r="T1" s="18" t="inlineStr">
        <is>
          <t>Odległość km</t>
        </is>
      </c>
      <c r="U1" s="18" t="inlineStr">
        <is>
          <t>Stawka zł/km</t>
        </is>
      </c>
      <c r="V1" s="18" t="inlineStr">
        <is>
          <t>Koszt transportu</t>
        </is>
      </c>
      <c r="W1" s="18" t="inlineStr">
        <is>
          <t>Odbiorca</t>
        </is>
      </c>
      <c r="X1" s="18" t="inlineStr">
        <is>
          <t>Miejsce pochodzenia</t>
        </is>
      </c>
      <c r="Y1" s="18" t="inlineStr">
        <is>
          <t>Uwagi</t>
        </is>
      </c>
      <c r="Z1" s="18" t="inlineStr">
        <is>
          <t>Utworzył</t>
        </is>
      </c>
      <c r="AA1" s="18" t="inlineStr">
        <is>
          <t>Data dodania wpisu</t>
        </is>
      </c>
      <c r="AB1" s="18" t="inlineStr">
        <is>
          <t>ID operacji</t>
        </is>
      </c>
      <c r="AC1" s="18" t="inlineStr">
        <is>
          <t>ID powiązania</t>
        </is>
      </c>
      <c r="AD1" s="18" t="inlineStr">
        <is>
          <t>Status</t>
        </is>
      </c>
      <c r="AE1" s="18" t="inlineStr">
        <is>
          <t>Wolumen_MP</t>
        </is>
      </c>
      <c r="AF1" s="18" t="inlineStr">
        <is>
          <t>Wolumen_t</t>
        </is>
      </c>
      <c r="AG1" s="18" t="inlineStr">
        <is>
          <t>Wolumen_GJ</t>
        </is>
      </c>
      <c r="AH1" s="18" t="inlineStr">
        <is>
          <t>Ruch_magazyn_MP</t>
        </is>
      </c>
      <c r="AI1" s="18" t="inlineStr">
        <is>
          <t>Ruch_magazyn_t</t>
        </is>
      </c>
      <c r="AJ1" s="18" t="inlineStr">
        <is>
          <t>Wartość_zakupu_zł</t>
        </is>
      </c>
      <c r="AK1" s="18" t="inlineStr">
        <is>
          <t>Wartość_sprzedaży_zł</t>
        </is>
      </c>
      <c r="AL1" s="18" t="inlineStr">
        <is>
          <t>Koszt_rąbania_total</t>
        </is>
      </c>
      <c r="AM1" s="18" t="inlineStr">
        <is>
          <t>Typ_transportu</t>
        </is>
      </c>
      <c r="AN1" s="18" t="inlineStr">
        <is>
          <t>Rok</t>
        </is>
      </c>
      <c r="AO1" s="18" t="inlineStr">
        <is>
          <t>Miesiąc_nr</t>
        </is>
      </c>
      <c r="AP1" s="18" t="inlineStr">
        <is>
          <t>Miesiąc_tekst</t>
        </is>
      </c>
      <c r="AQ1" s="18" t="inlineStr">
        <is>
          <t>Kwartał</t>
        </is>
      </c>
    </row>
    <row r="2">
      <c r="A2" s="19" t="n">
        <v>46209</v>
      </c>
      <c r="C2" s="19" t="n">
        <v>46209</v>
      </c>
      <c r="D2" t="inlineStr">
        <is>
          <t>Lander Agro</t>
        </is>
      </c>
      <c r="E2" t="inlineStr">
        <is>
          <t>PRODUKCJA</t>
        </is>
      </c>
      <c r="F2" t="inlineStr">
        <is>
          <t>PZ/1</t>
        </is>
      </c>
      <c r="G2" t="inlineStr">
        <is>
          <t>TAK</t>
        </is>
      </c>
      <c r="H2" t="inlineStr">
        <is>
          <t>Deklaracja</t>
        </is>
      </c>
      <c r="I2" s="20" t="n">
        <v>86.5</v>
      </c>
      <c r="J2" t="inlineStr">
        <is>
          <t>MP</t>
        </is>
      </c>
      <c r="K2" s="21" t="n">
        <v>0</v>
      </c>
      <c r="L2" s="21" t="n">
        <v>0</v>
      </c>
      <c r="M2" s="21" t="n">
        <v>0</v>
      </c>
      <c r="N2" t="inlineStr">
        <is>
          <t>Zrębka Produkcyjna Leśna</t>
        </is>
      </c>
      <c r="P2" t="inlineStr">
        <is>
          <t>własne</t>
        </is>
      </c>
      <c r="Q2" s="21" t="n">
        <v>10</v>
      </c>
      <c r="T2" s="22" t="n">
        <v>0</v>
      </c>
      <c r="U2" s="21" t="n">
        <v>0</v>
      </c>
      <c r="V2" s="21" t="n">
        <v>0</v>
      </c>
      <c r="W2" t="inlineStr">
        <is>
          <t>Magazyn Zabrze</t>
        </is>
      </c>
      <c r="X2" t="inlineStr">
        <is>
          <t>Myszków</t>
        </is>
      </c>
      <c r="Y2" t="inlineStr">
        <is>
          <t>Automatyczna produkcja z zakupionego surowca</t>
        </is>
      </c>
      <c r="AA2" s="23" t="n">
        <v>46212.30422453704</v>
      </c>
      <c r="AB2" t="inlineStr">
        <is>
          <t>OP-MIGR-00001</t>
        </is>
      </c>
      <c r="AD2" t="inlineStr">
        <is>
          <t>AKTYWNY</t>
        </is>
      </c>
      <c r="AE2" s="20">
        <f>IF(I2="",0,IF(ISNUMBER(SEARCH("MP",UPPER(J2))),I2,IF(ISNUMBER(SEARCH("TON",UPPER(J2))),I2/Przelicznik_MP_tona,IF(ISNUMBER(SEARCH("M3",UPPER(J2))),I2*Przelicznik_M3_MP,IF(ISNUMBER(SEARCH("GJ",UPPER(J2))),I2/Przelicznik_GJ_tona/Przelicznik_MP_tona,I2)))))</f>
        <v/>
      </c>
      <c r="AF2" s="20">
        <f>IF(I2="",0,IF(ISNUMBER(SEARCH("TON",UPPER(J2))),I2,IF(ISNUMBER(SEARCH("GJ",UPPER(J2))),I2/Przelicznik_GJ_tona,AE2*Przelicznik_MP_tona)))</f>
        <v/>
      </c>
      <c r="AG2" s="20">
        <f>AF2*Przelicznik_GJ_tona</f>
        <v/>
      </c>
      <c r="AH2" s="20">
        <f>IF(UPPER(AD2)="SKORYGOWANY",0,IF(OR(UPPER(E2)="TRANSPORT",UPPER(E2)="MM"),0,IF(UPPER(G2)&lt;&gt;"TAK",0,IF(OR(UPPER(E2)="ZAKUP",UPPER(E2)="PRODUKCJA"),AE2,IF(OR(UPPER(E2)="SPRZEDAŻ",UPPER(E2)="ZUŻYCIE"),-AE2,0)))))</f>
        <v/>
      </c>
      <c r="AI2" s="20">
        <f>IF(UPPER(AD2)="SKORYGOWANY",0,IF(OR(UPPER(E2)="TRANSPORT",UPPER(E2)="MM"),0,IF(UPPER(G2)&lt;&gt;"TAK",0,IF(OR(UPPER(E2)="ZAKUP",UPPER(E2)="PRODUKCJA"),AF2,IF(OR(UPPER(E2)="SPRZEDAŻ",UPPER(E2)="ZUŻYCIE"),-AF2,0)))))</f>
        <v/>
      </c>
      <c r="AJ2" s="21">
        <f>IF(UPPER(AD2)="SKORYGOWANY",0,IF(UPPER(E2)="ZAKUP",IF(L2&lt;&gt;"",L2,I2*K2),0))</f>
        <v/>
      </c>
      <c r="AK2" s="21">
        <f>IF(UPPER(AD2)="SKORYGOWANY",0,IF(UPPER(E2)="SPRZEDAŻ",IF(L2&lt;&gt;"",L2,I2*M2),0))</f>
        <v/>
      </c>
      <c r="AL2" s="21">
        <f>AE2*Q2</f>
        <v/>
      </c>
      <c r="AM2">
        <f>IF(R2="","",IF(LOWER(R2)="brak","Brak",IF(OR(ISNUMBER(SEARCH("własn",LOWER(R2))),ISNUMBER(SEARCH("wlasn",LOWER(R2))),ISNUMBER(SEARCH("wojciechowski",LOWER(R2)))),"Własny","Zewnętrzny")))</f>
        <v/>
      </c>
      <c r="AN2" s="24">
        <f>IF(C2="","",YEAR(C2))</f>
        <v/>
      </c>
      <c r="AO2" s="24">
        <f>IF(C2="","",MONTH(C2))</f>
        <v/>
      </c>
      <c r="AP2">
        <f>IF(C2="","",UPPER(TEXT(C2,"mmmm")))</f>
        <v/>
      </c>
      <c r="AQ2">
        <f>IF(C2="","","Q"&amp;ROUNDUP(MONTH(C2)/3,0))</f>
        <v/>
      </c>
    </row>
    <row r="3">
      <c r="A3" s="19" t="n">
        <v>46209</v>
      </c>
      <c r="C3" s="19" t="n">
        <v>46209</v>
      </c>
      <c r="D3" t="inlineStr">
        <is>
          <t>Lander Agro</t>
        </is>
      </c>
      <c r="E3" t="inlineStr">
        <is>
          <t>ZAKUP</t>
        </is>
      </c>
      <c r="F3" t="inlineStr">
        <is>
          <t>PZ/1</t>
        </is>
      </c>
      <c r="G3" t="inlineStr">
        <is>
          <t>NIE</t>
        </is>
      </c>
      <c r="H3" t="inlineStr">
        <is>
          <t>Deklaracja</t>
        </is>
      </c>
      <c r="I3" s="20" t="n">
        <v>86.5</v>
      </c>
      <c r="J3" t="inlineStr">
        <is>
          <t>MP</t>
        </is>
      </c>
      <c r="K3" s="21" t="n">
        <v>78</v>
      </c>
      <c r="L3" s="21" t="n">
        <v>6747</v>
      </c>
      <c r="M3" s="21" t="n">
        <v>0</v>
      </c>
      <c r="N3" t="inlineStr">
        <is>
          <t>Drewno opałowe z lasu</t>
        </is>
      </c>
      <c r="P3" t="inlineStr">
        <is>
          <t>własne</t>
        </is>
      </c>
      <c r="Q3" s="21" t="n">
        <v>10</v>
      </c>
      <c r="T3" s="22" t="n">
        <v>0</v>
      </c>
      <c r="U3" s="21" t="n">
        <v>0</v>
      </c>
      <c r="V3" s="21" t="n">
        <v>0</v>
      </c>
      <c r="W3" t="inlineStr">
        <is>
          <t>Magazyn Zabrze</t>
        </is>
      </c>
      <c r="X3" t="inlineStr">
        <is>
          <t>Myszków</t>
        </is>
      </c>
      <c r="Z3" t="inlineStr">
        <is>
          <t>Roesner Mateusz</t>
        </is>
      </c>
      <c r="AA3" s="23" t="n">
        <v>46212.30422453704</v>
      </c>
      <c r="AB3" t="inlineStr">
        <is>
          <t>OP-MIGR-00003</t>
        </is>
      </c>
      <c r="AD3" t="inlineStr">
        <is>
          <t>AKTYWNY</t>
        </is>
      </c>
      <c r="AE3" s="20">
        <f>IF(I3="",0,IF(ISNUMBER(SEARCH("MP",UPPER(J3))),I3,IF(ISNUMBER(SEARCH("TON",UPPER(J3))),I3/Przelicznik_MP_tona,IF(ISNUMBER(SEARCH("M3",UPPER(J3))),I3*Przelicznik_M3_MP,IF(ISNUMBER(SEARCH("GJ",UPPER(J3))),I3/Przelicznik_GJ_tona/Przelicznik_MP_tona,I3)))))</f>
        <v/>
      </c>
      <c r="AF3" s="20">
        <f>IF(I3="",0,IF(ISNUMBER(SEARCH("TON",UPPER(J3))),I3,IF(ISNUMBER(SEARCH("GJ",UPPER(J3))),I3/Przelicznik_GJ_tona,AE3*Przelicznik_MP_tona)))</f>
        <v/>
      </c>
      <c r="AG3" s="20">
        <f>AF3*Przelicznik_GJ_tona</f>
        <v/>
      </c>
      <c r="AH3" s="20">
        <f>IF(UPPER(AD3)="SKORYGOWANY",0,IF(OR(UPPER(E3)="TRANSPORT",UPPER(E3)="MM"),0,IF(UPPER(G3)&lt;&gt;"TAK",0,IF(OR(UPPER(E3)="ZAKUP",UPPER(E3)="PRODUKCJA"),AE3,IF(OR(UPPER(E3)="SPRZEDAŻ",UPPER(E3)="ZUŻYCIE"),-AE3,0)))))</f>
        <v/>
      </c>
      <c r="AI3" s="20">
        <f>IF(UPPER(AD3)="SKORYGOWANY",0,IF(OR(UPPER(E3)="TRANSPORT",UPPER(E3)="MM"),0,IF(UPPER(G3)&lt;&gt;"TAK",0,IF(OR(UPPER(E3)="ZAKUP",UPPER(E3)="PRODUKCJA"),AF3,IF(OR(UPPER(E3)="SPRZEDAŻ",UPPER(E3)="ZUŻYCIE"),-AF3,0)))))</f>
        <v/>
      </c>
      <c r="AJ3" s="21">
        <f>IF(UPPER(AD3)="SKORYGOWANY",0,IF(UPPER(E3)="ZAKUP",IF(L3&lt;&gt;"",L3,I3*K3),0))</f>
        <v/>
      </c>
      <c r="AK3" s="21">
        <f>IF(UPPER(AD3)="SKORYGOWANY",0,IF(UPPER(E3)="SPRZEDAŻ",IF(L3&lt;&gt;"",L3,I3*M3),0))</f>
        <v/>
      </c>
      <c r="AL3" s="21">
        <f>AE3*Q3</f>
        <v/>
      </c>
      <c r="AM3">
        <f>IF(R3="","",IF(LOWER(R3)="brak","Brak",IF(OR(ISNUMBER(SEARCH("własn",LOWER(R3))),ISNUMBER(SEARCH("wlasn",LOWER(R3))),ISNUMBER(SEARCH("wojciechowski",LOWER(R3)))),"Własny","Zewnętrzny")))</f>
        <v/>
      </c>
      <c r="AN3" s="24">
        <f>IF(C3="","",YEAR(C3))</f>
        <v/>
      </c>
      <c r="AO3" s="24">
        <f>IF(C3="","",MONTH(C3))</f>
        <v/>
      </c>
      <c r="AP3">
        <f>IF(C3="","",UPPER(TEXT(C3,"mmmm")))</f>
        <v/>
      </c>
      <c r="AQ3">
        <f>IF(C3="","","Q"&amp;ROUNDUP(MONTH(C3)/3,0))</f>
        <v/>
      </c>
    </row>
    <row r="4">
      <c r="A4" s="19" t="n">
        <v>46209</v>
      </c>
      <c r="C4" s="19" t="n">
        <v>46209</v>
      </c>
      <c r="D4" t="inlineStr">
        <is>
          <t>Lander Agro</t>
        </is>
      </c>
      <c r="E4" t="inlineStr">
        <is>
          <t>ZUŻYCIE</t>
        </is>
      </c>
      <c r="F4" t="inlineStr">
        <is>
          <t>PZ/1</t>
        </is>
      </c>
      <c r="G4" t="inlineStr">
        <is>
          <t>NIE</t>
        </is>
      </c>
      <c r="H4" t="inlineStr">
        <is>
          <t>Deklaracja</t>
        </is>
      </c>
      <c r="I4" s="20" t="n">
        <v>86.5</v>
      </c>
      <c r="J4" t="inlineStr">
        <is>
          <t>MP</t>
        </is>
      </c>
      <c r="K4" s="21" t="n">
        <v>0</v>
      </c>
      <c r="L4" s="21" t="n">
        <v>0</v>
      </c>
      <c r="M4" s="21" t="n">
        <v>0</v>
      </c>
      <c r="N4" t="inlineStr">
        <is>
          <t>Drewno opałowe z lasu</t>
        </is>
      </c>
      <c r="P4" t="inlineStr">
        <is>
          <t>własne</t>
        </is>
      </c>
      <c r="Q4" s="21" t="n">
        <v>10</v>
      </c>
      <c r="T4" s="22" t="n">
        <v>0</v>
      </c>
      <c r="U4" s="21" t="n">
        <v>0</v>
      </c>
      <c r="V4" s="21" t="n">
        <v>0</v>
      </c>
      <c r="W4" t="inlineStr">
        <is>
          <t>Magazyn Zabrze</t>
        </is>
      </c>
      <c r="X4" t="inlineStr">
        <is>
          <t>Myszków</t>
        </is>
      </c>
      <c r="Y4" t="inlineStr">
        <is>
          <t>Automatyczne zużycie surowca</t>
        </is>
      </c>
      <c r="AA4" s="23" t="n">
        <v>46212.30422453704</v>
      </c>
      <c r="AB4" t="inlineStr">
        <is>
          <t>OP-MIGR-00008</t>
        </is>
      </c>
      <c r="AD4" t="inlineStr">
        <is>
          <t>AKTYWNY</t>
        </is>
      </c>
      <c r="AE4" s="20">
        <f>IF(I4="",0,IF(ISNUMBER(SEARCH("MP",UPPER(J4))),I4,IF(ISNUMBER(SEARCH("TON",UPPER(J4))),I4/Przelicznik_MP_tona,IF(ISNUMBER(SEARCH("M3",UPPER(J4))),I4*Przelicznik_M3_MP,IF(ISNUMBER(SEARCH("GJ",UPPER(J4))),I4/Przelicznik_GJ_tona/Przelicznik_MP_tona,I4)))))</f>
        <v/>
      </c>
      <c r="AF4" s="20">
        <f>IF(I4="",0,IF(ISNUMBER(SEARCH("TON",UPPER(J4))),I4,IF(ISNUMBER(SEARCH("GJ",UPPER(J4))),I4/Przelicznik_GJ_tona,AE4*Przelicznik_MP_tona)))</f>
        <v/>
      </c>
      <c r="AG4" s="20">
        <f>AF4*Przelicznik_GJ_tona</f>
        <v/>
      </c>
      <c r="AH4" s="20">
        <f>IF(UPPER(AD4)="SKORYGOWANY",0,IF(OR(UPPER(E4)="TRANSPORT",UPPER(E4)="MM"),0,IF(UPPER(G4)&lt;&gt;"TAK",0,IF(OR(UPPER(E4)="ZAKUP",UPPER(E4)="PRODUKCJA"),AE4,IF(OR(UPPER(E4)="SPRZEDAŻ",UPPER(E4)="ZUŻYCIE"),-AE4,0)))))</f>
        <v/>
      </c>
      <c r="AI4" s="20">
        <f>IF(UPPER(AD4)="SKORYGOWANY",0,IF(OR(UPPER(E4)="TRANSPORT",UPPER(E4)="MM"),0,IF(UPPER(G4)&lt;&gt;"TAK",0,IF(OR(UPPER(E4)="ZAKUP",UPPER(E4)="PRODUKCJA"),AF4,IF(OR(UPPER(E4)="SPRZEDAŻ",UPPER(E4)="ZUŻYCIE"),-AF4,0)))))</f>
        <v/>
      </c>
      <c r="AJ4" s="21">
        <f>IF(UPPER(AD4)="SKORYGOWANY",0,IF(UPPER(E4)="ZAKUP",IF(L4&lt;&gt;"",L4,I4*K4),0))</f>
        <v/>
      </c>
      <c r="AK4" s="21">
        <f>IF(UPPER(AD4)="SKORYGOWANY",0,IF(UPPER(E4)="SPRZEDAŻ",IF(L4&lt;&gt;"",L4,I4*M4),0))</f>
        <v/>
      </c>
      <c r="AL4" s="21">
        <f>AE4*Q4</f>
        <v/>
      </c>
      <c r="AM4">
        <f>IF(R4="","",IF(LOWER(R4)="brak","Brak",IF(OR(ISNUMBER(SEARCH("własn",LOWER(R4))),ISNUMBER(SEARCH("wlasn",LOWER(R4))),ISNUMBER(SEARCH("wojciechowski",LOWER(R4)))),"Własny","Zewnętrzny")))</f>
        <v/>
      </c>
      <c r="AN4" s="24">
        <f>IF(C4="","",YEAR(C4))</f>
        <v/>
      </c>
      <c r="AO4" s="24">
        <f>IF(C4="","",MONTH(C4))</f>
        <v/>
      </c>
      <c r="AP4">
        <f>IF(C4="","",UPPER(TEXT(C4,"mmmm")))</f>
        <v/>
      </c>
      <c r="AQ4">
        <f>IF(C4="","","Q"&amp;ROUNDUP(MONTH(C4)/3,0))</f>
        <v/>
      </c>
    </row>
    <row r="5">
      <c r="A5" s="19" t="n">
        <v>46209</v>
      </c>
      <c r="B5" t="inlineStr">
        <is>
          <t>Myszków</t>
        </is>
      </c>
      <c r="C5" s="19" t="n">
        <v>46209</v>
      </c>
      <c r="D5" t="inlineStr">
        <is>
          <t>Magazyn Zabrze</t>
        </is>
      </c>
      <c r="E5" t="inlineStr">
        <is>
          <t>ZAKUP</t>
        </is>
      </c>
      <c r="F5" t="inlineStr">
        <is>
          <t>PZ/1</t>
        </is>
      </c>
      <c r="G5" t="inlineStr">
        <is>
          <t>TAK</t>
        </is>
      </c>
      <c r="H5" t="inlineStr">
        <is>
          <t>Deklaracja</t>
        </is>
      </c>
      <c r="I5" s="20" t="n">
        <v>86.5</v>
      </c>
      <c r="J5" t="inlineStr">
        <is>
          <t>MP</t>
        </is>
      </c>
      <c r="K5" s="21" t="n">
        <v>70</v>
      </c>
      <c r="L5" s="21" t="n">
        <v>6747</v>
      </c>
      <c r="M5" s="21" t="n">
        <v>0</v>
      </c>
      <c r="N5" t="inlineStr">
        <is>
          <t>Zrębka Produkcyjna Leśna</t>
        </is>
      </c>
      <c r="O5" t="inlineStr">
        <is>
          <t>B</t>
        </is>
      </c>
      <c r="Q5" s="21" t="n">
        <v>0</v>
      </c>
      <c r="R5" t="inlineStr">
        <is>
          <t>własny (Wilczak)</t>
        </is>
      </c>
      <c r="S5" t="inlineStr">
        <is>
          <t>SK 7J884</t>
        </is>
      </c>
      <c r="T5" s="22" t="n">
        <v>110</v>
      </c>
      <c r="U5" s="21" t="n">
        <v>5</v>
      </c>
      <c r="V5" s="21" t="n">
        <v>550</v>
      </c>
      <c r="W5" t="inlineStr">
        <is>
          <t>Magazyn Zabrze</t>
        </is>
      </c>
      <c r="X5" t="inlineStr">
        <is>
          <t>Myszków</t>
        </is>
      </c>
      <c r="Z5" t="inlineStr">
        <is>
          <t>Roesner Mateusz</t>
        </is>
      </c>
      <c r="AA5" s="23" t="n">
        <v>46212.30709490741</v>
      </c>
      <c r="AB5" t="inlineStr">
        <is>
          <t>OP-MIGR-00004</t>
        </is>
      </c>
      <c r="AD5" t="inlineStr">
        <is>
          <t>AKTYWNY</t>
        </is>
      </c>
      <c r="AE5" s="20">
        <f>IF(I5="",0,IF(ISNUMBER(SEARCH("MP",UPPER(J5))),I5,IF(ISNUMBER(SEARCH("TON",UPPER(J5))),I5/Przelicznik_MP_tona,IF(ISNUMBER(SEARCH("M3",UPPER(J5))),I5*Przelicznik_M3_MP,IF(ISNUMBER(SEARCH("GJ",UPPER(J5))),I5/Przelicznik_GJ_tona/Przelicznik_MP_tona,I5)))))</f>
        <v/>
      </c>
      <c r="AF5" s="20">
        <f>IF(I5="",0,IF(ISNUMBER(SEARCH("TON",UPPER(J5))),I5,IF(ISNUMBER(SEARCH("GJ",UPPER(J5))),I5/Przelicznik_GJ_tona,AE5*Przelicznik_MP_tona)))</f>
        <v/>
      </c>
      <c r="AG5" s="20">
        <f>AF5*Przelicznik_GJ_tona</f>
        <v/>
      </c>
      <c r="AH5" s="20">
        <f>IF(UPPER(AD5)="SKORYGOWANY",0,IF(OR(UPPER(E5)="TRANSPORT",UPPER(E5)="MM"),0,IF(UPPER(G5)&lt;&gt;"TAK",0,IF(OR(UPPER(E5)="ZAKUP",UPPER(E5)="PRODUKCJA"),AE5,IF(OR(UPPER(E5)="SPRZEDAŻ",UPPER(E5)="ZUŻYCIE"),-AE5,0)))))</f>
        <v/>
      </c>
      <c r="AI5" s="20">
        <f>IF(UPPER(AD5)="SKORYGOWANY",0,IF(OR(UPPER(E5)="TRANSPORT",UPPER(E5)="MM"),0,IF(UPPER(G5)&lt;&gt;"TAK",0,IF(OR(UPPER(E5)="ZAKUP",UPPER(E5)="PRODUKCJA"),AF5,IF(OR(UPPER(E5)="SPRZEDAŻ",UPPER(E5)="ZUŻYCIE"),-AF5,0)))))</f>
        <v/>
      </c>
      <c r="AJ5" s="21">
        <f>IF(UPPER(AD5)="SKORYGOWANY",0,IF(UPPER(E5)="ZAKUP",IF(L5&lt;&gt;"",L5,I5*K5),0))</f>
        <v/>
      </c>
      <c r="AK5" s="21">
        <f>IF(UPPER(AD5)="SKORYGOWANY",0,IF(UPPER(E5)="SPRZEDAŻ",IF(L5&lt;&gt;"",L5,I5*M5),0))</f>
        <v/>
      </c>
      <c r="AL5" s="21">
        <f>AE5*Q5</f>
        <v/>
      </c>
      <c r="AM5">
        <f>IF(R5="","",IF(LOWER(R5)="brak","Brak",IF(OR(ISNUMBER(SEARCH("własn",LOWER(R5))),ISNUMBER(SEARCH("wlasn",LOWER(R5))),ISNUMBER(SEARCH("wojciechowski",LOWER(R5)))),"Własny","Zewnętrzny")))</f>
        <v/>
      </c>
      <c r="AN5" s="24">
        <f>IF(C5="","",YEAR(C5))</f>
        <v/>
      </c>
      <c r="AO5" s="24">
        <f>IF(C5="","",MONTH(C5))</f>
        <v/>
      </c>
      <c r="AP5">
        <f>IF(C5="","",UPPER(TEXT(C5,"mmmm")))</f>
        <v/>
      </c>
      <c r="AQ5">
        <f>IF(C5="","","Q"&amp;ROUNDUP(MONTH(C5)/3,0))</f>
        <v/>
      </c>
    </row>
    <row r="6">
      <c r="A6" s="19" t="n">
        <v>46209</v>
      </c>
      <c r="C6" s="19" t="n">
        <v>46209</v>
      </c>
      <c r="D6" t="inlineStr">
        <is>
          <t>Lander Agro</t>
        </is>
      </c>
      <c r="E6" t="inlineStr">
        <is>
          <t>PRODUKCJA</t>
        </is>
      </c>
      <c r="F6" t="inlineStr">
        <is>
          <t>PZ/2</t>
        </is>
      </c>
      <c r="G6" t="inlineStr">
        <is>
          <t>TAK</t>
        </is>
      </c>
      <c r="H6" t="inlineStr">
        <is>
          <t>Deklaracja</t>
        </is>
      </c>
      <c r="I6" s="20" t="n">
        <v>82</v>
      </c>
      <c r="J6" t="inlineStr">
        <is>
          <t>MP</t>
        </is>
      </c>
      <c r="K6" s="21" t="n">
        <v>0</v>
      </c>
      <c r="L6" s="21" t="n">
        <v>0</v>
      </c>
      <c r="M6" s="21" t="n">
        <v>0</v>
      </c>
      <c r="N6" t="inlineStr">
        <is>
          <t>Zrębka Produkcyjna Leśna</t>
        </is>
      </c>
      <c r="P6" t="inlineStr">
        <is>
          <t>własne</t>
        </is>
      </c>
      <c r="Q6" s="21" t="n">
        <v>10</v>
      </c>
      <c r="T6" s="22" t="n">
        <v>0</v>
      </c>
      <c r="U6" s="21" t="n">
        <v>0</v>
      </c>
      <c r="V6" s="21" t="n">
        <v>0</v>
      </c>
      <c r="W6" t="inlineStr">
        <is>
          <t>Magazyn Zabrze</t>
        </is>
      </c>
      <c r="X6" t="inlineStr">
        <is>
          <t>Myszków</t>
        </is>
      </c>
      <c r="Y6" t="inlineStr">
        <is>
          <t>Automatyczna produkcja z zakupionego surowca</t>
        </is>
      </c>
      <c r="AA6" s="23" t="n">
        <v>46212.31002314815</v>
      </c>
      <c r="AB6" t="inlineStr">
        <is>
          <t>OP-MIGR-00002</t>
        </is>
      </c>
      <c r="AD6" t="inlineStr">
        <is>
          <t>AKTYWNY</t>
        </is>
      </c>
      <c r="AE6" s="20">
        <f>IF(I6="",0,IF(ISNUMBER(SEARCH("MP",UPPER(J6))),I6,IF(ISNUMBER(SEARCH("TON",UPPER(J6))),I6/Przelicznik_MP_tona,IF(ISNUMBER(SEARCH("M3",UPPER(J6))),I6*Przelicznik_M3_MP,IF(ISNUMBER(SEARCH("GJ",UPPER(J6))),I6/Przelicznik_GJ_tona/Przelicznik_MP_tona,I6)))))</f>
        <v/>
      </c>
      <c r="AF6" s="20">
        <f>IF(I6="",0,IF(ISNUMBER(SEARCH("TON",UPPER(J6))),I6,IF(ISNUMBER(SEARCH("GJ",UPPER(J6))),I6/Przelicznik_GJ_tona,AE6*Przelicznik_MP_tona)))</f>
        <v/>
      </c>
      <c r="AG6" s="20">
        <f>AF6*Przelicznik_GJ_tona</f>
        <v/>
      </c>
      <c r="AH6" s="20">
        <f>IF(UPPER(AD6)="SKORYGOWANY",0,IF(OR(UPPER(E6)="TRANSPORT",UPPER(E6)="MM"),0,IF(UPPER(G6)&lt;&gt;"TAK",0,IF(OR(UPPER(E6)="ZAKUP",UPPER(E6)="PRODUKCJA"),AE6,IF(OR(UPPER(E6)="SPRZEDAŻ",UPPER(E6)="ZUŻYCIE"),-AE6,0)))))</f>
        <v/>
      </c>
      <c r="AI6" s="20">
        <f>IF(UPPER(AD6)="SKORYGOWANY",0,IF(OR(UPPER(E6)="TRANSPORT",UPPER(E6)="MM"),0,IF(UPPER(G6)&lt;&gt;"TAK",0,IF(OR(UPPER(E6)="ZAKUP",UPPER(E6)="PRODUKCJA"),AF6,IF(OR(UPPER(E6)="SPRZEDAŻ",UPPER(E6)="ZUŻYCIE"),-AF6,0)))))</f>
        <v/>
      </c>
      <c r="AJ6" s="21">
        <f>IF(UPPER(AD6)="SKORYGOWANY",0,IF(UPPER(E6)="ZAKUP",IF(L6&lt;&gt;"",L6,I6*K6),0))</f>
        <v/>
      </c>
      <c r="AK6" s="21">
        <f>IF(UPPER(AD6)="SKORYGOWANY",0,IF(UPPER(E6)="SPRZEDAŻ",IF(L6&lt;&gt;"",L6,I6*M6),0))</f>
        <v/>
      </c>
      <c r="AL6" s="21">
        <f>AE6*Q6</f>
        <v/>
      </c>
      <c r="AM6">
        <f>IF(R6="","",IF(LOWER(R6)="brak","Brak",IF(OR(ISNUMBER(SEARCH("własn",LOWER(R6))),ISNUMBER(SEARCH("wlasn",LOWER(R6))),ISNUMBER(SEARCH("wojciechowski",LOWER(R6)))),"Własny","Zewnętrzny")))</f>
        <v/>
      </c>
      <c r="AN6" s="24">
        <f>IF(C6="","",YEAR(C6))</f>
        <v/>
      </c>
      <c r="AO6" s="24">
        <f>IF(C6="","",MONTH(C6))</f>
        <v/>
      </c>
      <c r="AP6">
        <f>IF(C6="","",UPPER(TEXT(C6,"mmmm")))</f>
        <v/>
      </c>
      <c r="AQ6">
        <f>IF(C6="","","Q"&amp;ROUNDUP(MONTH(C6)/3,0))</f>
        <v/>
      </c>
    </row>
    <row r="7">
      <c r="A7" s="19" t="n">
        <v>46209</v>
      </c>
      <c r="C7" s="19" t="n">
        <v>46209</v>
      </c>
      <c r="D7" t="inlineStr">
        <is>
          <t>Lander Agro</t>
        </is>
      </c>
      <c r="E7" t="inlineStr">
        <is>
          <t>ZAKUP</t>
        </is>
      </c>
      <c r="F7" t="inlineStr">
        <is>
          <t>PZ/2</t>
        </is>
      </c>
      <c r="G7" t="inlineStr">
        <is>
          <t>NIE</t>
        </is>
      </c>
      <c r="H7" t="inlineStr">
        <is>
          <t>Deklaracja</t>
        </is>
      </c>
      <c r="I7" s="20" t="n">
        <v>82</v>
      </c>
      <c r="J7" t="inlineStr">
        <is>
          <t>MP</t>
        </is>
      </c>
      <c r="K7" s="21" t="n">
        <v>78</v>
      </c>
      <c r="L7" s="21" t="n">
        <v>6396</v>
      </c>
      <c r="M7" s="21" t="n">
        <v>0</v>
      </c>
      <c r="N7" t="inlineStr">
        <is>
          <t>Drewno opałowe z lasu</t>
        </is>
      </c>
      <c r="P7" t="inlineStr">
        <is>
          <t>własne</t>
        </is>
      </c>
      <c r="Q7" s="21" t="n">
        <v>10</v>
      </c>
      <c r="T7" s="22" t="n">
        <v>0</v>
      </c>
      <c r="U7" s="21" t="n">
        <v>0</v>
      </c>
      <c r="V7" s="21" t="n">
        <v>0</v>
      </c>
      <c r="W7" t="inlineStr">
        <is>
          <t>Magazyn Zabrze</t>
        </is>
      </c>
      <c r="X7" t="inlineStr">
        <is>
          <t>Myszków</t>
        </is>
      </c>
      <c r="Z7" t="inlineStr">
        <is>
          <t>Roesner Mateusz</t>
        </is>
      </c>
      <c r="AA7" s="23" t="n">
        <v>46212.31002314815</v>
      </c>
      <c r="AB7" t="inlineStr">
        <is>
          <t>OP-MIGR-00005</t>
        </is>
      </c>
      <c r="AD7" t="inlineStr">
        <is>
          <t>AKTYWNY</t>
        </is>
      </c>
      <c r="AE7" s="20">
        <f>IF(I7="",0,IF(ISNUMBER(SEARCH("MP",UPPER(J7))),I7,IF(ISNUMBER(SEARCH("TON",UPPER(J7))),I7/Przelicznik_MP_tona,IF(ISNUMBER(SEARCH("M3",UPPER(J7))),I7*Przelicznik_M3_MP,IF(ISNUMBER(SEARCH("GJ",UPPER(J7))),I7/Przelicznik_GJ_tona/Przelicznik_MP_tona,I7)))))</f>
        <v/>
      </c>
      <c r="AF7" s="20">
        <f>IF(I7="",0,IF(ISNUMBER(SEARCH("TON",UPPER(J7))),I7,IF(ISNUMBER(SEARCH("GJ",UPPER(J7))),I7/Przelicznik_GJ_tona,AE7*Przelicznik_MP_tona)))</f>
        <v/>
      </c>
      <c r="AG7" s="20">
        <f>AF7*Przelicznik_GJ_tona</f>
        <v/>
      </c>
      <c r="AH7" s="20">
        <f>IF(UPPER(AD7)="SKORYGOWANY",0,IF(OR(UPPER(E7)="TRANSPORT",UPPER(E7)="MM"),0,IF(UPPER(G7)&lt;&gt;"TAK",0,IF(OR(UPPER(E7)="ZAKUP",UPPER(E7)="PRODUKCJA"),AE7,IF(OR(UPPER(E7)="SPRZEDAŻ",UPPER(E7)="ZUŻYCIE"),-AE7,0)))))</f>
        <v/>
      </c>
      <c r="AI7" s="20">
        <f>IF(UPPER(AD7)="SKORYGOWANY",0,IF(OR(UPPER(E7)="TRANSPORT",UPPER(E7)="MM"),0,IF(UPPER(G7)&lt;&gt;"TAK",0,IF(OR(UPPER(E7)="ZAKUP",UPPER(E7)="PRODUKCJA"),AF7,IF(OR(UPPER(E7)="SPRZEDAŻ",UPPER(E7)="ZUŻYCIE"),-AF7,0)))))</f>
        <v/>
      </c>
      <c r="AJ7" s="21">
        <f>IF(UPPER(AD7)="SKORYGOWANY",0,IF(UPPER(E7)="ZAKUP",IF(L7&lt;&gt;"",L7,I7*K7),0))</f>
        <v/>
      </c>
      <c r="AK7" s="21">
        <f>IF(UPPER(AD7)="SKORYGOWANY",0,IF(UPPER(E7)="SPRZEDAŻ",IF(L7&lt;&gt;"",L7,I7*M7),0))</f>
        <v/>
      </c>
      <c r="AL7" s="21">
        <f>AE7*Q7</f>
        <v/>
      </c>
      <c r="AM7">
        <f>IF(R7="","",IF(LOWER(R7)="brak","Brak",IF(OR(ISNUMBER(SEARCH("własn",LOWER(R7))),ISNUMBER(SEARCH("wlasn",LOWER(R7))),ISNUMBER(SEARCH("wojciechowski",LOWER(R7)))),"Własny","Zewnętrzny")))</f>
        <v/>
      </c>
      <c r="AN7" s="24">
        <f>IF(C7="","",YEAR(C7))</f>
        <v/>
      </c>
      <c r="AO7" s="24">
        <f>IF(C7="","",MONTH(C7))</f>
        <v/>
      </c>
      <c r="AP7">
        <f>IF(C7="","",UPPER(TEXT(C7,"mmmm")))</f>
        <v/>
      </c>
      <c r="AQ7">
        <f>IF(C7="","","Q"&amp;ROUNDUP(MONTH(C7)/3,0))</f>
        <v/>
      </c>
    </row>
    <row r="8">
      <c r="A8" s="19" t="n">
        <v>46209</v>
      </c>
      <c r="C8" s="19" t="n">
        <v>46209</v>
      </c>
      <c r="D8" t="inlineStr">
        <is>
          <t>Lander Agro</t>
        </is>
      </c>
      <c r="E8" t="inlineStr">
        <is>
          <t>ZUŻYCIE</t>
        </is>
      </c>
      <c r="F8" t="inlineStr">
        <is>
          <t>PZ/2</t>
        </is>
      </c>
      <c r="G8" t="inlineStr">
        <is>
          <t>NIE</t>
        </is>
      </c>
      <c r="H8" t="inlineStr">
        <is>
          <t>Deklaracja</t>
        </is>
      </c>
      <c r="I8" s="20" t="n">
        <v>82</v>
      </c>
      <c r="J8" t="inlineStr">
        <is>
          <t>MP</t>
        </is>
      </c>
      <c r="K8" s="21" t="n">
        <v>0</v>
      </c>
      <c r="L8" s="21" t="n">
        <v>0</v>
      </c>
      <c r="M8" s="21" t="n">
        <v>0</v>
      </c>
      <c r="N8" t="inlineStr">
        <is>
          <t>Drewno opałowe z lasu</t>
        </is>
      </c>
      <c r="P8" t="inlineStr">
        <is>
          <t>własne</t>
        </is>
      </c>
      <c r="Q8" s="21" t="n">
        <v>10</v>
      </c>
      <c r="T8" s="22" t="n">
        <v>0</v>
      </c>
      <c r="U8" s="21" t="n">
        <v>0</v>
      </c>
      <c r="V8" s="21" t="n">
        <v>0</v>
      </c>
      <c r="W8" t="inlineStr">
        <is>
          <t>Magazyn Zabrze</t>
        </is>
      </c>
      <c r="X8" t="inlineStr">
        <is>
          <t>Myszków</t>
        </is>
      </c>
      <c r="Y8" t="inlineStr">
        <is>
          <t>Automatyczne zużycie surowca</t>
        </is>
      </c>
      <c r="AA8" s="23" t="n">
        <v>46212.31002314815</v>
      </c>
      <c r="AB8" t="inlineStr">
        <is>
          <t>OP-MIGR-00009</t>
        </is>
      </c>
      <c r="AD8" t="inlineStr">
        <is>
          <t>AKTYWNY</t>
        </is>
      </c>
      <c r="AE8" s="20">
        <f>IF(I8="",0,IF(ISNUMBER(SEARCH("MP",UPPER(J8))),I8,IF(ISNUMBER(SEARCH("TON",UPPER(J8))),I8/Przelicznik_MP_tona,IF(ISNUMBER(SEARCH("M3",UPPER(J8))),I8*Przelicznik_M3_MP,IF(ISNUMBER(SEARCH("GJ",UPPER(J8))),I8/Przelicznik_GJ_tona/Przelicznik_MP_tona,I8)))))</f>
        <v/>
      </c>
      <c r="AF8" s="20">
        <f>IF(I8="",0,IF(ISNUMBER(SEARCH("TON",UPPER(J8))),I8,IF(ISNUMBER(SEARCH("GJ",UPPER(J8))),I8/Przelicznik_GJ_tona,AE8*Przelicznik_MP_tona)))</f>
        <v/>
      </c>
      <c r="AG8" s="20">
        <f>AF8*Przelicznik_GJ_tona</f>
        <v/>
      </c>
      <c r="AH8" s="20">
        <f>IF(UPPER(AD8)="SKORYGOWANY",0,IF(OR(UPPER(E8)="TRANSPORT",UPPER(E8)="MM"),0,IF(UPPER(G8)&lt;&gt;"TAK",0,IF(OR(UPPER(E8)="ZAKUP",UPPER(E8)="PRODUKCJA"),AE8,IF(OR(UPPER(E8)="SPRZEDAŻ",UPPER(E8)="ZUŻYCIE"),-AE8,0)))))</f>
        <v/>
      </c>
      <c r="AI8" s="20">
        <f>IF(UPPER(AD8)="SKORYGOWANY",0,IF(OR(UPPER(E8)="TRANSPORT",UPPER(E8)="MM"),0,IF(UPPER(G8)&lt;&gt;"TAK",0,IF(OR(UPPER(E8)="ZAKUP",UPPER(E8)="PRODUKCJA"),AF8,IF(OR(UPPER(E8)="SPRZEDAŻ",UPPER(E8)="ZUŻYCIE"),-AF8,0)))))</f>
        <v/>
      </c>
      <c r="AJ8" s="21">
        <f>IF(UPPER(AD8)="SKORYGOWANY",0,IF(UPPER(E8)="ZAKUP",IF(L8&lt;&gt;"",L8,I8*K8),0))</f>
        <v/>
      </c>
      <c r="AK8" s="21">
        <f>IF(UPPER(AD8)="SKORYGOWANY",0,IF(UPPER(E8)="SPRZEDAŻ",IF(L8&lt;&gt;"",L8,I8*M8),0))</f>
        <v/>
      </c>
      <c r="AL8" s="21">
        <f>AE8*Q8</f>
        <v/>
      </c>
      <c r="AM8">
        <f>IF(R8="","",IF(LOWER(R8)="brak","Brak",IF(OR(ISNUMBER(SEARCH("własn",LOWER(R8))),ISNUMBER(SEARCH("wlasn",LOWER(R8))),ISNUMBER(SEARCH("wojciechowski",LOWER(R8)))),"Własny","Zewnętrzny")))</f>
        <v/>
      </c>
      <c r="AN8" s="24">
        <f>IF(C8="","",YEAR(C8))</f>
        <v/>
      </c>
      <c r="AO8" s="24">
        <f>IF(C8="","",MONTH(C8))</f>
        <v/>
      </c>
      <c r="AP8">
        <f>IF(C8="","",UPPER(TEXT(C8,"mmmm")))</f>
        <v/>
      </c>
      <c r="AQ8">
        <f>IF(C8="","","Q"&amp;ROUNDUP(MONTH(C8)/3,0))</f>
        <v/>
      </c>
    </row>
    <row r="9">
      <c r="A9" s="19" t="n">
        <v>46209</v>
      </c>
      <c r="B9" t="inlineStr">
        <is>
          <t>Myszków</t>
        </is>
      </c>
      <c r="C9" s="19" t="n">
        <v>46209</v>
      </c>
      <c r="D9" t="inlineStr">
        <is>
          <t>Magazyn Zabrze</t>
        </is>
      </c>
      <c r="E9" t="inlineStr">
        <is>
          <t>ZAKUP</t>
        </is>
      </c>
      <c r="F9" t="inlineStr">
        <is>
          <t>PZ/2</t>
        </is>
      </c>
      <c r="G9" t="inlineStr">
        <is>
          <t>TAK</t>
        </is>
      </c>
      <c r="H9" t="inlineStr">
        <is>
          <t>Deklaracja</t>
        </is>
      </c>
      <c r="I9" s="20" t="n">
        <v>82</v>
      </c>
      <c r="J9" t="inlineStr">
        <is>
          <t>MP</t>
        </is>
      </c>
      <c r="K9" s="21" t="n">
        <v>70</v>
      </c>
      <c r="L9" s="21" t="n">
        <v>6396</v>
      </c>
      <c r="M9" s="21" t="n">
        <v>0</v>
      </c>
      <c r="N9" t="inlineStr">
        <is>
          <t>Zrębka Produkcyjna Leśna</t>
        </is>
      </c>
      <c r="O9" t="inlineStr">
        <is>
          <t>B</t>
        </is>
      </c>
      <c r="Q9" s="21" t="n">
        <v>0</v>
      </c>
      <c r="R9" t="inlineStr">
        <is>
          <t>własny (Wiór)</t>
        </is>
      </c>
      <c r="S9" t="inlineStr">
        <is>
          <t>SK 7H433</t>
        </is>
      </c>
      <c r="T9" s="22" t="n">
        <v>110</v>
      </c>
      <c r="U9" s="21" t="n">
        <v>6</v>
      </c>
      <c r="V9" s="21" t="n">
        <v>660</v>
      </c>
      <c r="W9" t="inlineStr">
        <is>
          <t>Magazyn Zabrze</t>
        </is>
      </c>
      <c r="X9" t="inlineStr">
        <is>
          <t>Myszków</t>
        </is>
      </c>
      <c r="Z9" t="inlineStr">
        <is>
          <t>Roesner Mateusz</t>
        </is>
      </c>
      <c r="AA9" s="23" t="n">
        <v>46212.31155092592</v>
      </c>
      <c r="AB9" t="inlineStr">
        <is>
          <t>OP-MIGR-00006</t>
        </is>
      </c>
      <c r="AD9" t="inlineStr">
        <is>
          <t>AKTYWNY</t>
        </is>
      </c>
      <c r="AE9" s="20">
        <f>IF(I9="",0,IF(ISNUMBER(SEARCH("MP",UPPER(J9))),I9,IF(ISNUMBER(SEARCH("TON",UPPER(J9))),I9/Przelicznik_MP_tona,IF(ISNUMBER(SEARCH("M3",UPPER(J9))),I9*Przelicznik_M3_MP,IF(ISNUMBER(SEARCH("GJ",UPPER(J9))),I9/Przelicznik_GJ_tona/Przelicznik_MP_tona,I9)))))</f>
        <v/>
      </c>
      <c r="AF9" s="20">
        <f>IF(I9="",0,IF(ISNUMBER(SEARCH("TON",UPPER(J9))),I9,IF(ISNUMBER(SEARCH("GJ",UPPER(J9))),I9/Przelicznik_GJ_tona,AE9*Przelicznik_MP_tona)))</f>
        <v/>
      </c>
      <c r="AG9" s="20">
        <f>AF9*Przelicznik_GJ_tona</f>
        <v/>
      </c>
      <c r="AH9" s="20">
        <f>IF(UPPER(AD9)="SKORYGOWANY",0,IF(OR(UPPER(E9)="TRANSPORT",UPPER(E9)="MM"),0,IF(UPPER(G9)&lt;&gt;"TAK",0,IF(OR(UPPER(E9)="ZAKUP",UPPER(E9)="PRODUKCJA"),AE9,IF(OR(UPPER(E9)="SPRZEDAŻ",UPPER(E9)="ZUŻYCIE"),-AE9,0)))))</f>
        <v/>
      </c>
      <c r="AI9" s="20">
        <f>IF(UPPER(AD9)="SKORYGOWANY",0,IF(OR(UPPER(E9)="TRANSPORT",UPPER(E9)="MM"),0,IF(UPPER(G9)&lt;&gt;"TAK",0,IF(OR(UPPER(E9)="ZAKUP",UPPER(E9)="PRODUKCJA"),AF9,IF(OR(UPPER(E9)="SPRZEDAŻ",UPPER(E9)="ZUŻYCIE"),-AF9,0)))))</f>
        <v/>
      </c>
      <c r="AJ9" s="21">
        <f>IF(UPPER(AD9)="SKORYGOWANY",0,IF(UPPER(E9)="ZAKUP",IF(L9&lt;&gt;"",L9,I9*K9),0))</f>
        <v/>
      </c>
      <c r="AK9" s="21">
        <f>IF(UPPER(AD9)="SKORYGOWANY",0,IF(UPPER(E9)="SPRZEDAŻ",IF(L9&lt;&gt;"",L9,I9*M9),0))</f>
        <v/>
      </c>
      <c r="AL9" s="21">
        <f>AE9*Q9</f>
        <v/>
      </c>
      <c r="AM9">
        <f>IF(R9="","",IF(LOWER(R9)="brak","Brak",IF(OR(ISNUMBER(SEARCH("własn",LOWER(R9))),ISNUMBER(SEARCH("wlasn",LOWER(R9))),ISNUMBER(SEARCH("wojciechowski",LOWER(R9)))),"Własny","Zewnętrzny")))</f>
        <v/>
      </c>
      <c r="AN9" s="24">
        <f>IF(C9="","",YEAR(C9))</f>
        <v/>
      </c>
      <c r="AO9" s="24">
        <f>IF(C9="","",MONTH(C9))</f>
        <v/>
      </c>
      <c r="AP9">
        <f>IF(C9="","",UPPER(TEXT(C9,"mmmm")))</f>
        <v/>
      </c>
      <c r="AQ9">
        <f>IF(C9="","","Q"&amp;ROUNDUP(MONTH(C9)/3,0))</f>
        <v/>
      </c>
    </row>
    <row r="10">
      <c r="A10" s="19" t="n">
        <v>46209</v>
      </c>
      <c r="C10" s="19" t="n">
        <v>46209</v>
      </c>
      <c r="D10" t="inlineStr">
        <is>
          <t>Lander Agro</t>
        </is>
      </c>
      <c r="E10" t="inlineStr">
        <is>
          <t>ZAKUP</t>
        </is>
      </c>
      <c r="F10" t="inlineStr">
        <is>
          <t>PZ/1/D</t>
        </is>
      </c>
      <c r="G10" t="inlineStr">
        <is>
          <t>TAK</t>
        </is>
      </c>
      <c r="H10" t="inlineStr">
        <is>
          <t>KZR</t>
        </is>
      </c>
      <c r="I10" s="20" t="n">
        <v>29.5</v>
      </c>
      <c r="J10" t="inlineStr">
        <is>
          <t>M3</t>
        </is>
      </c>
      <c r="K10" s="21" t="n">
        <v>230</v>
      </c>
      <c r="L10" s="21" t="n">
        <v>6785</v>
      </c>
      <c r="M10" s="21" t="n">
        <v>0</v>
      </c>
      <c r="N10" t="inlineStr">
        <is>
          <t>Drewno opałowe z lasu</t>
        </is>
      </c>
      <c r="Q10" s="21" t="n">
        <v>0</v>
      </c>
      <c r="T10" s="22" t="n">
        <v>0</v>
      </c>
      <c r="U10" s="21" t="n">
        <v>0</v>
      </c>
      <c r="V10" s="21" t="n">
        <v>0</v>
      </c>
      <c r="W10" t="inlineStr">
        <is>
          <t>Magazyn Zabrze</t>
        </is>
      </c>
      <c r="Z10" t="inlineStr">
        <is>
          <t>Roesner Mateusz</t>
        </is>
      </c>
      <c r="AA10" s="23" t="n">
        <v>46213.41490740741</v>
      </c>
      <c r="AB10" t="inlineStr">
        <is>
          <t>OP-MIGR-00007</t>
        </is>
      </c>
      <c r="AD10" t="inlineStr">
        <is>
          <t>AKTYWNY</t>
        </is>
      </c>
      <c r="AE10" s="20">
        <f>IF(I10="",0,IF(ISNUMBER(SEARCH("MP",UPPER(J10))),I10,IF(ISNUMBER(SEARCH("TON",UPPER(J10))),I10/Przelicznik_MP_tona,IF(ISNUMBER(SEARCH("M3",UPPER(J10))),I10*Przelicznik_M3_MP,IF(ISNUMBER(SEARCH("GJ",UPPER(J10))),I10/Przelicznik_GJ_tona/Przelicznik_MP_tona,I10)))))</f>
        <v/>
      </c>
      <c r="AF10" s="20">
        <f>IF(I10="",0,IF(ISNUMBER(SEARCH("TON",UPPER(J10))),I10,IF(ISNUMBER(SEARCH("GJ",UPPER(J10))),I10/Przelicznik_GJ_tona,AE10*Przelicznik_MP_tona)))</f>
        <v/>
      </c>
      <c r="AG10" s="20">
        <f>AF10*Przelicznik_GJ_tona</f>
        <v/>
      </c>
      <c r="AH10" s="20">
        <f>IF(UPPER(AD10)="SKORYGOWANY",0,IF(OR(UPPER(E10)="TRANSPORT",UPPER(E10)="MM"),0,IF(UPPER(G10)&lt;&gt;"TAK",0,IF(OR(UPPER(E10)="ZAKUP",UPPER(E10)="PRODUKCJA"),AE10,IF(OR(UPPER(E10)="SPRZEDAŻ",UPPER(E10)="ZUŻYCIE"),-AE10,0)))))</f>
        <v/>
      </c>
      <c r="AI10" s="20">
        <f>IF(UPPER(AD10)="SKORYGOWANY",0,IF(OR(UPPER(E10)="TRANSPORT",UPPER(E10)="MM"),0,IF(UPPER(G10)&lt;&gt;"TAK",0,IF(OR(UPPER(E10)="ZAKUP",UPPER(E10)="PRODUKCJA"),AF10,IF(OR(UPPER(E10)="SPRZEDAŻ",UPPER(E10)="ZUŻYCIE"),-AF10,0)))))</f>
        <v/>
      </c>
      <c r="AJ10" s="21">
        <f>IF(UPPER(AD10)="SKORYGOWANY",0,IF(UPPER(E10)="ZAKUP",IF(L10&lt;&gt;"",L10,I10*K10),0))</f>
        <v/>
      </c>
      <c r="AK10" s="21">
        <f>IF(UPPER(AD10)="SKORYGOWANY",0,IF(UPPER(E10)="SPRZEDAŻ",IF(L10&lt;&gt;"",L10,I10*M10),0))</f>
        <v/>
      </c>
      <c r="AL10" s="21">
        <f>AE10*Q10</f>
        <v/>
      </c>
      <c r="AM10">
        <f>IF(R10="","",IF(LOWER(R10)="brak","Brak",IF(OR(ISNUMBER(SEARCH("własn",LOWER(R10))),ISNUMBER(SEARCH("wlasn",LOWER(R10))),ISNUMBER(SEARCH("wojciechowski",LOWER(R10)))),"Własny","Zewnętrzny")))</f>
        <v/>
      </c>
      <c r="AN10" s="24">
        <f>IF(C10="","",YEAR(C10))</f>
        <v/>
      </c>
      <c r="AO10" s="24">
        <f>IF(C10="","",MONTH(C10))</f>
        <v/>
      </c>
      <c r="AP10">
        <f>IF(C10="","",UPPER(TEXT(C10,"mmmm")))</f>
        <v/>
      </c>
      <c r="AQ10">
        <f>IF(C10="","","Q"&amp;ROUNDUP(MONTH(C10)/3,0))</f>
        <v/>
      </c>
    </row>
    <row r="11">
      <c r="A11" s="19" t="n">
        <v>46210</v>
      </c>
      <c r="C11" s="19" t="n">
        <v>46210</v>
      </c>
      <c r="D11" t="inlineStr">
        <is>
          <t>Lander Agro</t>
        </is>
      </c>
      <c r="E11" t="inlineStr">
        <is>
          <t>PRODUKCJA</t>
        </is>
      </c>
      <c r="F11" t="inlineStr">
        <is>
          <t>PZ/3</t>
        </is>
      </c>
      <c r="G11" t="inlineStr">
        <is>
          <t>TAK</t>
        </is>
      </c>
      <c r="H11" t="inlineStr">
        <is>
          <t>Deklaracja</t>
        </is>
      </c>
      <c r="I11" s="20" t="n">
        <v>88</v>
      </c>
      <c r="J11" t="inlineStr">
        <is>
          <t>MP</t>
        </is>
      </c>
      <c r="K11" s="21" t="n">
        <v>0</v>
      </c>
      <c r="L11" s="21" t="n">
        <v>0</v>
      </c>
      <c r="M11" s="21" t="n">
        <v>0</v>
      </c>
      <c r="N11" t="inlineStr">
        <is>
          <t>Zrębka Produkcyjna Leśna</t>
        </is>
      </c>
      <c r="P11" t="inlineStr">
        <is>
          <t>własne</t>
        </is>
      </c>
      <c r="Q11" s="21" t="n">
        <v>10</v>
      </c>
      <c r="T11" s="22" t="n">
        <v>0</v>
      </c>
      <c r="U11" s="21" t="n">
        <v>0</v>
      </c>
      <c r="V11" s="21" t="n">
        <v>0</v>
      </c>
      <c r="W11" t="inlineStr">
        <is>
          <t>Magazyn Zabrze</t>
        </is>
      </c>
      <c r="X11" t="inlineStr">
        <is>
          <t>Myszków</t>
        </is>
      </c>
      <c r="Y11" t="inlineStr">
        <is>
          <t>Automatyczna produkcja z zakupionego surowca</t>
        </is>
      </c>
      <c r="AA11" s="23" t="n">
        <v>46212.31446759259</v>
      </c>
      <c r="AB11" t="inlineStr">
        <is>
          <t>OP-MIGR-00010</t>
        </is>
      </c>
      <c r="AD11" t="inlineStr">
        <is>
          <t>AKTYWNY</t>
        </is>
      </c>
      <c r="AE11" s="20">
        <f>IF(I11="",0,IF(ISNUMBER(SEARCH("MP",UPPER(J11))),I11,IF(ISNUMBER(SEARCH("TON",UPPER(J11))),I11/Przelicznik_MP_tona,IF(ISNUMBER(SEARCH("M3",UPPER(J11))),I11*Przelicznik_M3_MP,IF(ISNUMBER(SEARCH("GJ",UPPER(J11))),I11/Przelicznik_GJ_tona/Przelicznik_MP_tona,I11)))))</f>
        <v/>
      </c>
      <c r="AF11" s="20">
        <f>IF(I11="",0,IF(ISNUMBER(SEARCH("TON",UPPER(J11))),I11,IF(ISNUMBER(SEARCH("GJ",UPPER(J11))),I11/Przelicznik_GJ_tona,AE11*Przelicznik_MP_tona)))</f>
        <v/>
      </c>
      <c r="AG11" s="20">
        <f>AF11*Przelicznik_GJ_tona</f>
        <v/>
      </c>
      <c r="AH11" s="20">
        <f>IF(UPPER(AD11)="SKORYGOWANY",0,IF(OR(UPPER(E11)="TRANSPORT",UPPER(E11)="MM"),0,IF(UPPER(G11)&lt;&gt;"TAK",0,IF(OR(UPPER(E11)="ZAKUP",UPPER(E11)="PRODUKCJA"),AE11,IF(OR(UPPER(E11)="SPRZEDAŻ",UPPER(E11)="ZUŻYCIE"),-AE11,0)))))</f>
        <v/>
      </c>
      <c r="AI11" s="20">
        <f>IF(UPPER(AD11)="SKORYGOWANY",0,IF(OR(UPPER(E11)="TRANSPORT",UPPER(E11)="MM"),0,IF(UPPER(G11)&lt;&gt;"TAK",0,IF(OR(UPPER(E11)="ZAKUP",UPPER(E11)="PRODUKCJA"),AF11,IF(OR(UPPER(E11)="SPRZEDAŻ",UPPER(E11)="ZUŻYCIE"),-AF11,0)))))</f>
        <v/>
      </c>
      <c r="AJ11" s="21">
        <f>IF(UPPER(AD11)="SKORYGOWANY",0,IF(UPPER(E11)="ZAKUP",IF(L11&lt;&gt;"",L11,I11*K11),0))</f>
        <v/>
      </c>
      <c r="AK11" s="21">
        <f>IF(UPPER(AD11)="SKORYGOWANY",0,IF(UPPER(E11)="SPRZEDAŻ",IF(L11&lt;&gt;"",L11,I11*M11),0))</f>
        <v/>
      </c>
      <c r="AL11" s="21">
        <f>AE11*Q11</f>
        <v/>
      </c>
      <c r="AM11">
        <f>IF(R11="","",IF(LOWER(R11)="brak","Brak",IF(OR(ISNUMBER(SEARCH("własn",LOWER(R11))),ISNUMBER(SEARCH("wlasn",LOWER(R11))),ISNUMBER(SEARCH("wojciechowski",LOWER(R11)))),"Własny","Zewnętrzny")))</f>
        <v/>
      </c>
      <c r="AN11" s="24">
        <f>IF(C11="","",YEAR(C11))</f>
        <v/>
      </c>
      <c r="AO11" s="24">
        <f>IF(C11="","",MONTH(C11))</f>
        <v/>
      </c>
      <c r="AP11">
        <f>IF(C11="","",UPPER(TEXT(C11,"mmmm")))</f>
        <v/>
      </c>
      <c r="AQ11">
        <f>IF(C11="","","Q"&amp;ROUNDUP(MONTH(C11)/3,0))</f>
        <v/>
      </c>
    </row>
    <row r="12">
      <c r="A12" s="19" t="n">
        <v>46210</v>
      </c>
      <c r="C12" s="19" t="n">
        <v>46210</v>
      </c>
      <c r="D12" t="inlineStr">
        <is>
          <t>Lander Agro</t>
        </is>
      </c>
      <c r="E12" t="inlineStr">
        <is>
          <t>ZAKUP</t>
        </is>
      </c>
      <c r="F12" t="inlineStr">
        <is>
          <t>PZ/3</t>
        </is>
      </c>
      <c r="G12" t="inlineStr">
        <is>
          <t>NIE</t>
        </is>
      </c>
      <c r="H12" t="inlineStr">
        <is>
          <t>Deklaracja</t>
        </is>
      </c>
      <c r="I12" s="20" t="n">
        <v>88</v>
      </c>
      <c r="J12" t="inlineStr">
        <is>
          <t>MP</t>
        </is>
      </c>
      <c r="K12" s="21" t="n">
        <v>78</v>
      </c>
      <c r="L12" s="21" t="n">
        <v>6864</v>
      </c>
      <c r="M12" s="21" t="n">
        <v>0</v>
      </c>
      <c r="N12" t="inlineStr">
        <is>
          <t>Drewno opałowe z lasu</t>
        </is>
      </c>
      <c r="P12" t="inlineStr">
        <is>
          <t>własne</t>
        </is>
      </c>
      <c r="Q12" s="21" t="n">
        <v>10</v>
      </c>
      <c r="T12" s="22" t="n">
        <v>0</v>
      </c>
      <c r="U12" s="21" t="n">
        <v>0</v>
      </c>
      <c r="V12" s="21" t="n">
        <v>0</v>
      </c>
      <c r="W12" t="inlineStr">
        <is>
          <t>Magazyn Zabrze</t>
        </is>
      </c>
      <c r="X12" t="inlineStr">
        <is>
          <t>Myszków</t>
        </is>
      </c>
      <c r="Z12" t="inlineStr">
        <is>
          <t>Roesner Mateusz</t>
        </is>
      </c>
      <c r="AA12" s="23" t="n">
        <v>46212.31446759259</v>
      </c>
      <c r="AB12" t="inlineStr">
        <is>
          <t>OP-MIGR-00015</t>
        </is>
      </c>
      <c r="AD12" t="inlineStr">
        <is>
          <t>AKTYWNY</t>
        </is>
      </c>
      <c r="AE12" s="20">
        <f>IF(I12="",0,IF(ISNUMBER(SEARCH("MP",UPPER(J12))),I12,IF(ISNUMBER(SEARCH("TON",UPPER(J12))),I12/Przelicznik_MP_tona,IF(ISNUMBER(SEARCH("M3",UPPER(J12))),I12*Przelicznik_M3_MP,IF(ISNUMBER(SEARCH("GJ",UPPER(J12))),I12/Przelicznik_GJ_tona/Przelicznik_MP_tona,I12)))))</f>
        <v/>
      </c>
      <c r="AF12" s="20">
        <f>IF(I12="",0,IF(ISNUMBER(SEARCH("TON",UPPER(J12))),I12,IF(ISNUMBER(SEARCH("GJ",UPPER(J12))),I12/Przelicznik_GJ_tona,AE12*Przelicznik_MP_tona)))</f>
        <v/>
      </c>
      <c r="AG12" s="20">
        <f>AF12*Przelicznik_GJ_tona</f>
        <v/>
      </c>
      <c r="AH12" s="20">
        <f>IF(UPPER(AD12)="SKORYGOWANY",0,IF(OR(UPPER(E12)="TRANSPORT",UPPER(E12)="MM"),0,IF(UPPER(G12)&lt;&gt;"TAK",0,IF(OR(UPPER(E12)="ZAKUP",UPPER(E12)="PRODUKCJA"),AE12,IF(OR(UPPER(E12)="SPRZEDAŻ",UPPER(E12)="ZUŻYCIE"),-AE12,0)))))</f>
        <v/>
      </c>
      <c r="AI12" s="20">
        <f>IF(UPPER(AD12)="SKORYGOWANY",0,IF(OR(UPPER(E12)="TRANSPORT",UPPER(E12)="MM"),0,IF(UPPER(G12)&lt;&gt;"TAK",0,IF(OR(UPPER(E12)="ZAKUP",UPPER(E12)="PRODUKCJA"),AF12,IF(OR(UPPER(E12)="SPRZEDAŻ",UPPER(E12)="ZUŻYCIE"),-AF12,0)))))</f>
        <v/>
      </c>
      <c r="AJ12" s="21">
        <f>IF(UPPER(AD12)="SKORYGOWANY",0,IF(UPPER(E12)="ZAKUP",IF(L12&lt;&gt;"",L12,I12*K12),0))</f>
        <v/>
      </c>
      <c r="AK12" s="21">
        <f>IF(UPPER(AD12)="SKORYGOWANY",0,IF(UPPER(E12)="SPRZEDAŻ",IF(L12&lt;&gt;"",L12,I12*M12),0))</f>
        <v/>
      </c>
      <c r="AL12" s="21">
        <f>AE12*Q12</f>
        <v/>
      </c>
      <c r="AM12">
        <f>IF(R12="","",IF(LOWER(R12)="brak","Brak",IF(OR(ISNUMBER(SEARCH("własn",LOWER(R12))),ISNUMBER(SEARCH("wlasn",LOWER(R12))),ISNUMBER(SEARCH("wojciechowski",LOWER(R12)))),"Własny","Zewnętrzny")))</f>
        <v/>
      </c>
      <c r="AN12" s="24">
        <f>IF(C12="","",YEAR(C12))</f>
        <v/>
      </c>
      <c r="AO12" s="24">
        <f>IF(C12="","",MONTH(C12))</f>
        <v/>
      </c>
      <c r="AP12">
        <f>IF(C12="","",UPPER(TEXT(C12,"mmmm")))</f>
        <v/>
      </c>
      <c r="AQ12">
        <f>IF(C12="","","Q"&amp;ROUNDUP(MONTH(C12)/3,0))</f>
        <v/>
      </c>
    </row>
    <row r="13">
      <c r="A13" s="19" t="n">
        <v>46210</v>
      </c>
      <c r="C13" s="19" t="n">
        <v>46210</v>
      </c>
      <c r="D13" t="inlineStr">
        <is>
          <t>Lander Agro</t>
        </is>
      </c>
      <c r="E13" t="inlineStr">
        <is>
          <t>ZUŻYCIE</t>
        </is>
      </c>
      <c r="F13" t="inlineStr">
        <is>
          <t>PZ/3</t>
        </is>
      </c>
      <c r="G13" t="inlineStr">
        <is>
          <t>NIE</t>
        </is>
      </c>
      <c r="H13" t="inlineStr">
        <is>
          <t>Deklaracja</t>
        </is>
      </c>
      <c r="I13" s="20" t="n">
        <v>88</v>
      </c>
      <c r="J13" t="inlineStr">
        <is>
          <t>MP</t>
        </is>
      </c>
      <c r="K13" s="21" t="n">
        <v>0</v>
      </c>
      <c r="L13" s="21" t="n">
        <v>0</v>
      </c>
      <c r="M13" s="21" t="n">
        <v>0</v>
      </c>
      <c r="N13" t="inlineStr">
        <is>
          <t>Drewno opałowe z lasu</t>
        </is>
      </c>
      <c r="P13" t="inlineStr">
        <is>
          <t>własne</t>
        </is>
      </c>
      <c r="Q13" s="21" t="n">
        <v>10</v>
      </c>
      <c r="T13" s="22" t="n">
        <v>0</v>
      </c>
      <c r="U13" s="21" t="n">
        <v>0</v>
      </c>
      <c r="V13" s="21" t="n">
        <v>0</v>
      </c>
      <c r="W13" t="inlineStr">
        <is>
          <t>Magazyn Zabrze</t>
        </is>
      </c>
      <c r="X13" t="inlineStr">
        <is>
          <t>Myszków</t>
        </is>
      </c>
      <c r="Y13" t="inlineStr">
        <is>
          <t>Automatyczne zużycie surowca</t>
        </is>
      </c>
      <c r="AA13" s="23" t="n">
        <v>46212.31446759259</v>
      </c>
      <c r="AB13" t="inlineStr">
        <is>
          <t>OP-MIGR-00026</t>
        </is>
      </c>
      <c r="AD13" t="inlineStr">
        <is>
          <t>AKTYWNY</t>
        </is>
      </c>
      <c r="AE13" s="20">
        <f>IF(I13="",0,IF(ISNUMBER(SEARCH("MP",UPPER(J13))),I13,IF(ISNUMBER(SEARCH("TON",UPPER(J13))),I13/Przelicznik_MP_tona,IF(ISNUMBER(SEARCH("M3",UPPER(J13))),I13*Przelicznik_M3_MP,IF(ISNUMBER(SEARCH("GJ",UPPER(J13))),I13/Przelicznik_GJ_tona/Przelicznik_MP_tona,I13)))))</f>
        <v/>
      </c>
      <c r="AF13" s="20">
        <f>IF(I13="",0,IF(ISNUMBER(SEARCH("TON",UPPER(J13))),I13,IF(ISNUMBER(SEARCH("GJ",UPPER(J13))),I13/Przelicznik_GJ_tona,AE13*Przelicznik_MP_tona)))</f>
        <v/>
      </c>
      <c r="AG13" s="20">
        <f>AF13*Przelicznik_GJ_tona</f>
        <v/>
      </c>
      <c r="AH13" s="20">
        <f>IF(UPPER(AD13)="SKORYGOWANY",0,IF(OR(UPPER(E13)="TRANSPORT",UPPER(E13)="MM"),0,IF(UPPER(G13)&lt;&gt;"TAK",0,IF(OR(UPPER(E13)="ZAKUP",UPPER(E13)="PRODUKCJA"),AE13,IF(OR(UPPER(E13)="SPRZEDAŻ",UPPER(E13)="ZUŻYCIE"),-AE13,0)))))</f>
        <v/>
      </c>
      <c r="AI13" s="20">
        <f>IF(UPPER(AD13)="SKORYGOWANY",0,IF(OR(UPPER(E13)="TRANSPORT",UPPER(E13)="MM"),0,IF(UPPER(G13)&lt;&gt;"TAK",0,IF(OR(UPPER(E13)="ZAKUP",UPPER(E13)="PRODUKCJA"),AF13,IF(OR(UPPER(E13)="SPRZEDAŻ",UPPER(E13)="ZUŻYCIE"),-AF13,0)))))</f>
        <v/>
      </c>
      <c r="AJ13" s="21">
        <f>IF(UPPER(AD13)="SKORYGOWANY",0,IF(UPPER(E13)="ZAKUP",IF(L13&lt;&gt;"",L13,I13*K13),0))</f>
        <v/>
      </c>
      <c r="AK13" s="21">
        <f>IF(UPPER(AD13)="SKORYGOWANY",0,IF(UPPER(E13)="SPRZEDAŻ",IF(L13&lt;&gt;"",L13,I13*M13),0))</f>
        <v/>
      </c>
      <c r="AL13" s="21">
        <f>AE13*Q13</f>
        <v/>
      </c>
      <c r="AM13">
        <f>IF(R13="","",IF(LOWER(R13)="brak","Brak",IF(OR(ISNUMBER(SEARCH("własn",LOWER(R13))),ISNUMBER(SEARCH("wlasn",LOWER(R13))),ISNUMBER(SEARCH("wojciechowski",LOWER(R13)))),"Własny","Zewnętrzny")))</f>
        <v/>
      </c>
      <c r="AN13" s="24">
        <f>IF(C13="","",YEAR(C13))</f>
        <v/>
      </c>
      <c r="AO13" s="24">
        <f>IF(C13="","",MONTH(C13))</f>
        <v/>
      </c>
      <c r="AP13">
        <f>IF(C13="","",UPPER(TEXT(C13,"mmmm")))</f>
        <v/>
      </c>
      <c r="AQ13">
        <f>IF(C13="","","Q"&amp;ROUNDUP(MONTH(C13)/3,0))</f>
        <v/>
      </c>
    </row>
    <row r="14">
      <c r="A14" s="19" t="n">
        <v>46210</v>
      </c>
      <c r="B14" t="inlineStr">
        <is>
          <t>Myszków</t>
        </is>
      </c>
      <c r="C14" s="19" t="n">
        <v>46210</v>
      </c>
      <c r="D14" t="inlineStr">
        <is>
          <t>Magazyn Zabrze</t>
        </is>
      </c>
      <c r="E14" t="inlineStr">
        <is>
          <t>ZAKUP</t>
        </is>
      </c>
      <c r="F14" t="inlineStr">
        <is>
          <t>PZ/3</t>
        </is>
      </c>
      <c r="G14" t="inlineStr">
        <is>
          <t>TAK</t>
        </is>
      </c>
      <c r="H14" t="inlineStr">
        <is>
          <t>Deklaracja</t>
        </is>
      </c>
      <c r="I14" s="20" t="n">
        <v>88</v>
      </c>
      <c r="J14" t="inlineStr">
        <is>
          <t>MP</t>
        </is>
      </c>
      <c r="K14" s="21" t="n">
        <v>70</v>
      </c>
      <c r="L14" s="21" t="n">
        <v>6864</v>
      </c>
      <c r="M14" s="21" t="n">
        <v>0</v>
      </c>
      <c r="N14" t="inlineStr">
        <is>
          <t>Zrębka Produkcyjna Leśna</t>
        </is>
      </c>
      <c r="O14" t="inlineStr">
        <is>
          <t>B</t>
        </is>
      </c>
      <c r="Q14" s="21" t="n">
        <v>0</v>
      </c>
      <c r="R14" t="inlineStr">
        <is>
          <t>własny (Wilczak)</t>
        </is>
      </c>
      <c r="S14" t="inlineStr">
        <is>
          <t>SK 7J884</t>
        </is>
      </c>
      <c r="T14" s="22" t="n">
        <v>110</v>
      </c>
      <c r="U14" s="21" t="n">
        <v>5</v>
      </c>
      <c r="V14" s="21" t="n">
        <v>550</v>
      </c>
      <c r="W14" t="inlineStr">
        <is>
          <t>Magazyn Zabrze</t>
        </is>
      </c>
      <c r="X14" t="inlineStr">
        <is>
          <t>Myszków</t>
        </is>
      </c>
      <c r="Z14" t="inlineStr">
        <is>
          <t>Roesner Mateusz</t>
        </is>
      </c>
      <c r="AA14" s="23" t="n">
        <v>46212.31550925926</v>
      </c>
      <c r="AB14" t="inlineStr">
        <is>
          <t>OP-MIGR-00016</t>
        </is>
      </c>
      <c r="AD14" t="inlineStr">
        <is>
          <t>AKTYWNY</t>
        </is>
      </c>
      <c r="AE14" s="20">
        <f>IF(I14="",0,IF(ISNUMBER(SEARCH("MP",UPPER(J14))),I14,IF(ISNUMBER(SEARCH("TON",UPPER(J14))),I14/Przelicznik_MP_tona,IF(ISNUMBER(SEARCH("M3",UPPER(J14))),I14*Przelicznik_M3_MP,IF(ISNUMBER(SEARCH("GJ",UPPER(J14))),I14/Przelicznik_GJ_tona/Przelicznik_MP_tona,I14)))))</f>
        <v/>
      </c>
      <c r="AF14" s="20">
        <f>IF(I14="",0,IF(ISNUMBER(SEARCH("TON",UPPER(J14))),I14,IF(ISNUMBER(SEARCH("GJ",UPPER(J14))),I14/Przelicznik_GJ_tona,AE14*Przelicznik_MP_tona)))</f>
        <v/>
      </c>
      <c r="AG14" s="20">
        <f>AF14*Przelicznik_GJ_tona</f>
        <v/>
      </c>
      <c r="AH14" s="20">
        <f>IF(UPPER(AD14)="SKORYGOWANY",0,IF(OR(UPPER(E14)="TRANSPORT",UPPER(E14)="MM"),0,IF(UPPER(G14)&lt;&gt;"TAK",0,IF(OR(UPPER(E14)="ZAKUP",UPPER(E14)="PRODUKCJA"),AE14,IF(OR(UPPER(E14)="SPRZEDAŻ",UPPER(E14)="ZUŻYCIE"),-AE14,0)))))</f>
        <v/>
      </c>
      <c r="AI14" s="20">
        <f>IF(UPPER(AD14)="SKORYGOWANY",0,IF(OR(UPPER(E14)="TRANSPORT",UPPER(E14)="MM"),0,IF(UPPER(G14)&lt;&gt;"TAK",0,IF(OR(UPPER(E14)="ZAKUP",UPPER(E14)="PRODUKCJA"),AF14,IF(OR(UPPER(E14)="SPRZEDAŻ",UPPER(E14)="ZUŻYCIE"),-AF14,0)))))</f>
        <v/>
      </c>
      <c r="AJ14" s="21">
        <f>IF(UPPER(AD14)="SKORYGOWANY",0,IF(UPPER(E14)="ZAKUP",IF(L14&lt;&gt;"",L14,I14*K14),0))</f>
        <v/>
      </c>
      <c r="AK14" s="21">
        <f>IF(UPPER(AD14)="SKORYGOWANY",0,IF(UPPER(E14)="SPRZEDAŻ",IF(L14&lt;&gt;"",L14,I14*M14),0))</f>
        <v/>
      </c>
      <c r="AL14" s="21">
        <f>AE14*Q14</f>
        <v/>
      </c>
      <c r="AM14">
        <f>IF(R14="","",IF(LOWER(R14)="brak","Brak",IF(OR(ISNUMBER(SEARCH("własn",LOWER(R14))),ISNUMBER(SEARCH("wlasn",LOWER(R14))),ISNUMBER(SEARCH("wojciechowski",LOWER(R14)))),"Własny","Zewnętrzny")))</f>
        <v/>
      </c>
      <c r="AN14" s="24">
        <f>IF(C14="","",YEAR(C14))</f>
        <v/>
      </c>
      <c r="AO14" s="24">
        <f>IF(C14="","",MONTH(C14))</f>
        <v/>
      </c>
      <c r="AP14">
        <f>IF(C14="","",UPPER(TEXT(C14,"mmmm")))</f>
        <v/>
      </c>
      <c r="AQ14">
        <f>IF(C14="","","Q"&amp;ROUNDUP(MONTH(C14)/3,0))</f>
        <v/>
      </c>
    </row>
    <row r="15">
      <c r="A15" s="19" t="n">
        <v>46210</v>
      </c>
      <c r="C15" s="19" t="n">
        <v>46210</v>
      </c>
      <c r="D15" t="inlineStr">
        <is>
          <t>Lander Agro</t>
        </is>
      </c>
      <c r="E15" t="inlineStr">
        <is>
          <t>ZAKUP</t>
        </is>
      </c>
      <c r="F15" t="inlineStr">
        <is>
          <t>PZ/4</t>
        </is>
      </c>
      <c r="G15" t="inlineStr">
        <is>
          <t>NIE</t>
        </is>
      </c>
      <c r="H15" t="inlineStr">
        <is>
          <t>Deklaracja</t>
        </is>
      </c>
      <c r="I15" s="20" t="n">
        <v>84</v>
      </c>
      <c r="J15" t="inlineStr">
        <is>
          <t>MP</t>
        </is>
      </c>
      <c r="K15" s="21" t="n">
        <v>78</v>
      </c>
      <c r="L15" s="21" t="n">
        <v>6552</v>
      </c>
      <c r="M15" s="21" t="n">
        <v>0</v>
      </c>
      <c r="N15" t="inlineStr">
        <is>
          <t>Drewno opałowe z lasu</t>
        </is>
      </c>
      <c r="P15" t="inlineStr">
        <is>
          <t>własne</t>
        </is>
      </c>
      <c r="Q15" s="21" t="n">
        <v>10</v>
      </c>
      <c r="T15" s="22" t="n">
        <v>0</v>
      </c>
      <c r="U15" s="21" t="n">
        <v>0</v>
      </c>
      <c r="V15" s="21" t="n">
        <v>0</v>
      </c>
      <c r="W15" t="inlineStr">
        <is>
          <t>Magazyn Zabrze</t>
        </is>
      </c>
      <c r="X15" t="inlineStr">
        <is>
          <t>Myszków</t>
        </is>
      </c>
      <c r="Z15" t="inlineStr">
        <is>
          <t>Roesner Mateusz</t>
        </is>
      </c>
      <c r="AA15" s="23" t="n">
        <v>46212.31896990741</v>
      </c>
      <c r="AB15" t="inlineStr">
        <is>
          <t>OP-MIGR-00017</t>
        </is>
      </c>
      <c r="AD15" t="inlineStr">
        <is>
          <t>AKTYWNY</t>
        </is>
      </c>
      <c r="AE15" s="20">
        <f>IF(I15="",0,IF(ISNUMBER(SEARCH("MP",UPPER(J15))),I15,IF(ISNUMBER(SEARCH("TON",UPPER(J15))),I15/Przelicznik_MP_tona,IF(ISNUMBER(SEARCH("M3",UPPER(J15))),I15*Przelicznik_M3_MP,IF(ISNUMBER(SEARCH("GJ",UPPER(J15))),I15/Przelicznik_GJ_tona/Przelicznik_MP_tona,I15)))))</f>
        <v/>
      </c>
      <c r="AF15" s="20">
        <f>IF(I15="",0,IF(ISNUMBER(SEARCH("TON",UPPER(J15))),I15,IF(ISNUMBER(SEARCH("GJ",UPPER(J15))),I15/Przelicznik_GJ_tona,AE15*Przelicznik_MP_tona)))</f>
        <v/>
      </c>
      <c r="AG15" s="20">
        <f>AF15*Przelicznik_GJ_tona</f>
        <v/>
      </c>
      <c r="AH15" s="20">
        <f>IF(UPPER(AD15)="SKORYGOWANY",0,IF(OR(UPPER(E15)="TRANSPORT",UPPER(E15)="MM"),0,IF(UPPER(G15)&lt;&gt;"TAK",0,IF(OR(UPPER(E15)="ZAKUP",UPPER(E15)="PRODUKCJA"),AE15,IF(OR(UPPER(E15)="SPRZEDAŻ",UPPER(E15)="ZUŻYCIE"),-AE15,0)))))</f>
        <v/>
      </c>
      <c r="AI15" s="20">
        <f>IF(UPPER(AD15)="SKORYGOWANY",0,IF(OR(UPPER(E15)="TRANSPORT",UPPER(E15)="MM"),0,IF(UPPER(G15)&lt;&gt;"TAK",0,IF(OR(UPPER(E15)="ZAKUP",UPPER(E15)="PRODUKCJA"),AF15,IF(OR(UPPER(E15)="SPRZEDAŻ",UPPER(E15)="ZUŻYCIE"),-AF15,0)))))</f>
        <v/>
      </c>
      <c r="AJ15" s="21">
        <f>IF(UPPER(AD15)="SKORYGOWANY",0,IF(UPPER(E15)="ZAKUP",IF(L15&lt;&gt;"",L15,I15*K15),0))</f>
        <v/>
      </c>
      <c r="AK15" s="21">
        <f>IF(UPPER(AD15)="SKORYGOWANY",0,IF(UPPER(E15)="SPRZEDAŻ",IF(L15&lt;&gt;"",L15,I15*M15),0))</f>
        <v/>
      </c>
      <c r="AL15" s="21">
        <f>AE15*Q15</f>
        <v/>
      </c>
      <c r="AM15">
        <f>IF(R15="","",IF(LOWER(R15)="brak","Brak",IF(OR(ISNUMBER(SEARCH("własn",LOWER(R15))),ISNUMBER(SEARCH("wlasn",LOWER(R15))),ISNUMBER(SEARCH("wojciechowski",LOWER(R15)))),"Własny","Zewnętrzny")))</f>
        <v/>
      </c>
      <c r="AN15" s="24">
        <f>IF(C15="","",YEAR(C15))</f>
        <v/>
      </c>
      <c r="AO15" s="24">
        <f>IF(C15="","",MONTH(C15))</f>
        <v/>
      </c>
      <c r="AP15">
        <f>IF(C15="","",UPPER(TEXT(C15,"mmmm")))</f>
        <v/>
      </c>
      <c r="AQ15">
        <f>IF(C15="","","Q"&amp;ROUNDUP(MONTH(C15)/3,0))</f>
        <v/>
      </c>
    </row>
    <row r="16">
      <c r="A16" s="19" t="n">
        <v>46210</v>
      </c>
      <c r="C16" s="19" t="n">
        <v>46210</v>
      </c>
      <c r="D16" t="inlineStr">
        <is>
          <t>Lander Agro</t>
        </is>
      </c>
      <c r="E16" t="inlineStr">
        <is>
          <t>PRODUKCJA</t>
        </is>
      </c>
      <c r="F16" t="inlineStr">
        <is>
          <t>PZ/4</t>
        </is>
      </c>
      <c r="G16" t="inlineStr">
        <is>
          <t>TAK</t>
        </is>
      </c>
      <c r="H16" t="inlineStr">
        <is>
          <t>Deklaracja</t>
        </is>
      </c>
      <c r="I16" s="20" t="n">
        <v>84</v>
      </c>
      <c r="J16" t="inlineStr">
        <is>
          <t>MP</t>
        </is>
      </c>
      <c r="K16" s="21" t="n">
        <v>0</v>
      </c>
      <c r="L16" s="21" t="n">
        <v>0</v>
      </c>
      <c r="M16" s="21" t="n">
        <v>0</v>
      </c>
      <c r="N16" t="inlineStr">
        <is>
          <t>Zrębka Produkcyjna Leśna</t>
        </is>
      </c>
      <c r="P16" t="inlineStr">
        <is>
          <t>własne</t>
        </is>
      </c>
      <c r="Q16" s="21" t="n">
        <v>10</v>
      </c>
      <c r="T16" s="22" t="n">
        <v>0</v>
      </c>
      <c r="U16" s="21" t="n">
        <v>0</v>
      </c>
      <c r="V16" s="21" t="n">
        <v>0</v>
      </c>
      <c r="W16" t="inlineStr">
        <is>
          <t>Magazyn Zabrze</t>
        </is>
      </c>
      <c r="X16" t="inlineStr">
        <is>
          <t>Myszków</t>
        </is>
      </c>
      <c r="Y16" t="inlineStr">
        <is>
          <t>Automatyczna produkcja z zakupionego surowca</t>
        </is>
      </c>
      <c r="AA16" s="23" t="n">
        <v>46212.31898148148</v>
      </c>
      <c r="AB16" t="inlineStr">
        <is>
          <t>OP-MIGR-00011</t>
        </is>
      </c>
      <c r="AD16" t="inlineStr">
        <is>
          <t>AKTYWNY</t>
        </is>
      </c>
      <c r="AE16" s="20">
        <f>IF(I16="",0,IF(ISNUMBER(SEARCH("MP",UPPER(J16))),I16,IF(ISNUMBER(SEARCH("TON",UPPER(J16))),I16/Przelicznik_MP_tona,IF(ISNUMBER(SEARCH("M3",UPPER(J16))),I16*Przelicznik_M3_MP,IF(ISNUMBER(SEARCH("GJ",UPPER(J16))),I16/Przelicznik_GJ_tona/Przelicznik_MP_tona,I16)))))</f>
        <v/>
      </c>
      <c r="AF16" s="20">
        <f>IF(I16="",0,IF(ISNUMBER(SEARCH("TON",UPPER(J16))),I16,IF(ISNUMBER(SEARCH("GJ",UPPER(J16))),I16/Przelicznik_GJ_tona,AE16*Przelicznik_MP_tona)))</f>
        <v/>
      </c>
      <c r="AG16" s="20">
        <f>AF16*Przelicznik_GJ_tona</f>
        <v/>
      </c>
      <c r="AH16" s="20">
        <f>IF(UPPER(AD16)="SKORYGOWANY",0,IF(OR(UPPER(E16)="TRANSPORT",UPPER(E16)="MM"),0,IF(UPPER(G16)&lt;&gt;"TAK",0,IF(OR(UPPER(E16)="ZAKUP",UPPER(E16)="PRODUKCJA"),AE16,IF(OR(UPPER(E16)="SPRZEDAŻ",UPPER(E16)="ZUŻYCIE"),-AE16,0)))))</f>
        <v/>
      </c>
      <c r="AI16" s="20">
        <f>IF(UPPER(AD16)="SKORYGOWANY",0,IF(OR(UPPER(E16)="TRANSPORT",UPPER(E16)="MM"),0,IF(UPPER(G16)&lt;&gt;"TAK",0,IF(OR(UPPER(E16)="ZAKUP",UPPER(E16)="PRODUKCJA"),AF16,IF(OR(UPPER(E16)="SPRZEDAŻ",UPPER(E16)="ZUŻYCIE"),-AF16,0)))))</f>
        <v/>
      </c>
      <c r="AJ16" s="21">
        <f>IF(UPPER(AD16)="SKORYGOWANY",0,IF(UPPER(E16)="ZAKUP",IF(L16&lt;&gt;"",L16,I16*K16),0))</f>
        <v/>
      </c>
      <c r="AK16" s="21">
        <f>IF(UPPER(AD16)="SKORYGOWANY",0,IF(UPPER(E16)="SPRZEDAŻ",IF(L16&lt;&gt;"",L16,I16*M16),0))</f>
        <v/>
      </c>
      <c r="AL16" s="21">
        <f>AE16*Q16</f>
        <v/>
      </c>
      <c r="AM16">
        <f>IF(R16="","",IF(LOWER(R16)="brak","Brak",IF(OR(ISNUMBER(SEARCH("własn",LOWER(R16))),ISNUMBER(SEARCH("wlasn",LOWER(R16))),ISNUMBER(SEARCH("wojciechowski",LOWER(R16)))),"Własny","Zewnętrzny")))</f>
        <v/>
      </c>
      <c r="AN16" s="24">
        <f>IF(C16="","",YEAR(C16))</f>
        <v/>
      </c>
      <c r="AO16" s="24">
        <f>IF(C16="","",MONTH(C16))</f>
        <v/>
      </c>
      <c r="AP16">
        <f>IF(C16="","",UPPER(TEXT(C16,"mmmm")))</f>
        <v/>
      </c>
      <c r="AQ16">
        <f>IF(C16="","","Q"&amp;ROUNDUP(MONTH(C16)/3,0))</f>
        <v/>
      </c>
    </row>
    <row r="17">
      <c r="A17" s="19" t="n">
        <v>46210</v>
      </c>
      <c r="C17" s="19" t="n">
        <v>46210</v>
      </c>
      <c r="D17" t="inlineStr">
        <is>
          <t>Lander Agro</t>
        </is>
      </c>
      <c r="E17" t="inlineStr">
        <is>
          <t>ZUŻYCIE</t>
        </is>
      </c>
      <c r="F17" t="inlineStr">
        <is>
          <t>PZ/4</t>
        </is>
      </c>
      <c r="G17" t="inlineStr">
        <is>
          <t>NIE</t>
        </is>
      </c>
      <c r="H17" t="inlineStr">
        <is>
          <t>Deklaracja</t>
        </is>
      </c>
      <c r="I17" s="20" t="n">
        <v>21</v>
      </c>
      <c r="J17" t="inlineStr">
        <is>
          <t>M3</t>
        </is>
      </c>
      <c r="K17" s="21" t="n">
        <v>0</v>
      </c>
      <c r="L17" s="21" t="n">
        <v>0</v>
      </c>
      <c r="M17" s="21" t="n">
        <v>0</v>
      </c>
      <c r="N17" t="inlineStr">
        <is>
          <t>Drewno opałowe z lasu</t>
        </is>
      </c>
      <c r="P17" t="inlineStr">
        <is>
          <t>własne</t>
        </is>
      </c>
      <c r="Q17" s="21" t="n">
        <v>10</v>
      </c>
      <c r="T17" s="22" t="n">
        <v>0</v>
      </c>
      <c r="U17" s="21" t="n">
        <v>0</v>
      </c>
      <c r="V17" s="21" t="n">
        <v>0</v>
      </c>
      <c r="W17" t="inlineStr">
        <is>
          <t>Magazyn Zabrze</t>
        </is>
      </c>
      <c r="X17" t="inlineStr">
        <is>
          <t>Myszków</t>
        </is>
      </c>
      <c r="Y17" t="inlineStr">
        <is>
          <t>Automatyczne zużycie surowca</t>
        </is>
      </c>
      <c r="AA17" s="23" t="n">
        <v>46212.31898148148</v>
      </c>
      <c r="AB17" t="inlineStr">
        <is>
          <t>OP-MIGR-00027</t>
        </is>
      </c>
      <c r="AD17" t="inlineStr">
        <is>
          <t>AKTYWNY</t>
        </is>
      </c>
      <c r="AE17" s="20">
        <f>IF(I17="",0,IF(ISNUMBER(SEARCH("MP",UPPER(J17))),I17,IF(ISNUMBER(SEARCH("TON",UPPER(J17))),I17/Przelicznik_MP_tona,IF(ISNUMBER(SEARCH("M3",UPPER(J17))),I17*Przelicznik_M3_MP,IF(ISNUMBER(SEARCH("GJ",UPPER(J17))),I17/Przelicznik_GJ_tona/Przelicznik_MP_tona,I17)))))</f>
        <v/>
      </c>
      <c r="AF17" s="20">
        <f>IF(I17="",0,IF(ISNUMBER(SEARCH("TON",UPPER(J17))),I17,IF(ISNUMBER(SEARCH("GJ",UPPER(J17))),I17/Przelicznik_GJ_tona,AE17*Przelicznik_MP_tona)))</f>
        <v/>
      </c>
      <c r="AG17" s="20">
        <f>AF17*Przelicznik_GJ_tona</f>
        <v/>
      </c>
      <c r="AH17" s="20">
        <f>IF(UPPER(AD17)="SKORYGOWANY",0,IF(OR(UPPER(E17)="TRANSPORT",UPPER(E17)="MM"),0,IF(UPPER(G17)&lt;&gt;"TAK",0,IF(OR(UPPER(E17)="ZAKUP",UPPER(E17)="PRODUKCJA"),AE17,IF(OR(UPPER(E17)="SPRZEDAŻ",UPPER(E17)="ZUŻYCIE"),-AE17,0)))))</f>
        <v/>
      </c>
      <c r="AI17" s="20">
        <f>IF(UPPER(AD17)="SKORYGOWANY",0,IF(OR(UPPER(E17)="TRANSPORT",UPPER(E17)="MM"),0,IF(UPPER(G17)&lt;&gt;"TAK",0,IF(OR(UPPER(E17)="ZAKUP",UPPER(E17)="PRODUKCJA"),AF17,IF(OR(UPPER(E17)="SPRZEDAŻ",UPPER(E17)="ZUŻYCIE"),-AF17,0)))))</f>
        <v/>
      </c>
      <c r="AJ17" s="21">
        <f>IF(UPPER(AD17)="SKORYGOWANY",0,IF(UPPER(E17)="ZAKUP",IF(L17&lt;&gt;"",L17,I17*K17),0))</f>
        <v/>
      </c>
      <c r="AK17" s="21">
        <f>IF(UPPER(AD17)="SKORYGOWANY",0,IF(UPPER(E17)="SPRZEDAŻ",IF(L17&lt;&gt;"",L17,I17*M17),0))</f>
        <v/>
      </c>
      <c r="AL17" s="21">
        <f>AE17*Q17</f>
        <v/>
      </c>
      <c r="AM17">
        <f>IF(R17="","",IF(LOWER(R17)="brak","Brak",IF(OR(ISNUMBER(SEARCH("własn",LOWER(R17))),ISNUMBER(SEARCH("wlasn",LOWER(R17))),ISNUMBER(SEARCH("wojciechowski",LOWER(R17)))),"Własny","Zewnętrzny")))</f>
        <v/>
      </c>
      <c r="AN17" s="24">
        <f>IF(C17="","",YEAR(C17))</f>
        <v/>
      </c>
      <c r="AO17" s="24">
        <f>IF(C17="","",MONTH(C17))</f>
        <v/>
      </c>
      <c r="AP17">
        <f>IF(C17="","",UPPER(TEXT(C17,"mmmm")))</f>
        <v/>
      </c>
      <c r="AQ17">
        <f>IF(C17="","","Q"&amp;ROUNDUP(MONTH(C17)/3,0))</f>
        <v/>
      </c>
    </row>
    <row r="18">
      <c r="A18" s="19" t="n">
        <v>46210</v>
      </c>
      <c r="B18" t="inlineStr">
        <is>
          <t>Myszków</t>
        </is>
      </c>
      <c r="C18" s="19" t="n">
        <v>46210</v>
      </c>
      <c r="D18" t="inlineStr">
        <is>
          <t>Magazyn Zabrze</t>
        </is>
      </c>
      <c r="E18" t="inlineStr">
        <is>
          <t>ZAKUP</t>
        </is>
      </c>
      <c r="F18" t="inlineStr">
        <is>
          <t>PZ/4</t>
        </is>
      </c>
      <c r="G18" t="inlineStr">
        <is>
          <t>TAK</t>
        </is>
      </c>
      <c r="H18" t="inlineStr">
        <is>
          <t>Deklaracja</t>
        </is>
      </c>
      <c r="I18" s="20" t="n">
        <v>63</v>
      </c>
      <c r="J18" t="inlineStr">
        <is>
          <t>MP</t>
        </is>
      </c>
      <c r="K18" s="21" t="n">
        <v>70</v>
      </c>
      <c r="L18" s="21" t="n">
        <v>4914</v>
      </c>
      <c r="M18" s="21" t="n">
        <v>0</v>
      </c>
      <c r="N18" t="inlineStr">
        <is>
          <t>Zrębka Produkcyjna Leśna</t>
        </is>
      </c>
      <c r="O18" t="inlineStr">
        <is>
          <t>B</t>
        </is>
      </c>
      <c r="Q18" s="21" t="n">
        <v>0</v>
      </c>
      <c r="R18" t="inlineStr">
        <is>
          <t>własny (Wiór)</t>
        </is>
      </c>
      <c r="S18" t="inlineStr">
        <is>
          <t>SK 7H433</t>
        </is>
      </c>
      <c r="T18" s="22" t="n">
        <v>110</v>
      </c>
      <c r="U18" s="21" t="n">
        <v>6</v>
      </c>
      <c r="V18" s="21" t="n">
        <v>660</v>
      </c>
      <c r="W18" t="inlineStr">
        <is>
          <t>Magazyn Zabrze</t>
        </is>
      </c>
      <c r="X18" t="inlineStr">
        <is>
          <t>Myszków</t>
        </is>
      </c>
      <c r="Z18" t="inlineStr">
        <is>
          <t>Roesner Mateusz</t>
        </is>
      </c>
      <c r="AA18" s="23" t="n">
        <v>46212.32248842593</v>
      </c>
      <c r="AB18" t="inlineStr">
        <is>
          <t>OP-MIGR-00018</t>
        </is>
      </c>
      <c r="AD18" t="inlineStr">
        <is>
          <t>AKTYWNY</t>
        </is>
      </c>
      <c r="AE18" s="20">
        <f>IF(I18="",0,IF(ISNUMBER(SEARCH("MP",UPPER(J18))),I18,IF(ISNUMBER(SEARCH("TON",UPPER(J18))),I18/Przelicznik_MP_tona,IF(ISNUMBER(SEARCH("M3",UPPER(J18))),I18*Przelicznik_M3_MP,IF(ISNUMBER(SEARCH("GJ",UPPER(J18))),I18/Przelicznik_GJ_tona/Przelicznik_MP_tona,I18)))))</f>
        <v/>
      </c>
      <c r="AF18" s="20">
        <f>IF(I18="",0,IF(ISNUMBER(SEARCH("TON",UPPER(J18))),I18,IF(ISNUMBER(SEARCH("GJ",UPPER(J18))),I18/Przelicznik_GJ_tona,AE18*Przelicznik_MP_tona)))</f>
        <v/>
      </c>
      <c r="AG18" s="20">
        <f>AF18*Przelicznik_GJ_tona</f>
        <v/>
      </c>
      <c r="AH18" s="20">
        <f>IF(UPPER(AD18)="SKORYGOWANY",0,IF(OR(UPPER(E18)="TRANSPORT",UPPER(E18)="MM"),0,IF(UPPER(G18)&lt;&gt;"TAK",0,IF(OR(UPPER(E18)="ZAKUP",UPPER(E18)="PRODUKCJA"),AE18,IF(OR(UPPER(E18)="SPRZEDAŻ",UPPER(E18)="ZUŻYCIE"),-AE18,0)))))</f>
        <v/>
      </c>
      <c r="AI18" s="20">
        <f>IF(UPPER(AD18)="SKORYGOWANY",0,IF(OR(UPPER(E18)="TRANSPORT",UPPER(E18)="MM"),0,IF(UPPER(G18)&lt;&gt;"TAK",0,IF(OR(UPPER(E18)="ZAKUP",UPPER(E18)="PRODUKCJA"),AF18,IF(OR(UPPER(E18)="SPRZEDAŻ",UPPER(E18)="ZUŻYCIE"),-AF18,0)))))</f>
        <v/>
      </c>
      <c r="AJ18" s="21">
        <f>IF(UPPER(AD18)="SKORYGOWANY",0,IF(UPPER(E18)="ZAKUP",IF(L18&lt;&gt;"",L18,I18*K18),0))</f>
        <v/>
      </c>
      <c r="AK18" s="21">
        <f>IF(UPPER(AD18)="SKORYGOWANY",0,IF(UPPER(E18)="SPRZEDAŻ",IF(L18&lt;&gt;"",L18,I18*M18),0))</f>
        <v/>
      </c>
      <c r="AL18" s="21">
        <f>AE18*Q18</f>
        <v/>
      </c>
      <c r="AM18">
        <f>IF(R18="","",IF(LOWER(R18)="brak","Brak",IF(OR(ISNUMBER(SEARCH("własn",LOWER(R18))),ISNUMBER(SEARCH("wlasn",LOWER(R18))),ISNUMBER(SEARCH("wojciechowski",LOWER(R18)))),"Własny","Zewnętrzny")))</f>
        <v/>
      </c>
      <c r="AN18" s="24">
        <f>IF(C18="","",YEAR(C18))</f>
        <v/>
      </c>
      <c r="AO18" s="24">
        <f>IF(C18="","",MONTH(C18))</f>
        <v/>
      </c>
      <c r="AP18">
        <f>IF(C18="","",UPPER(TEXT(C18,"mmmm")))</f>
        <v/>
      </c>
      <c r="AQ18">
        <f>IF(C18="","","Q"&amp;ROUNDUP(MONTH(C18)/3,0))</f>
        <v/>
      </c>
    </row>
    <row r="19">
      <c r="A19" s="19" t="n">
        <v>46210</v>
      </c>
      <c r="C19" s="19" t="n">
        <v>46210</v>
      </c>
      <c r="D19" t="inlineStr">
        <is>
          <t>Lander Agro</t>
        </is>
      </c>
      <c r="E19" t="inlineStr">
        <is>
          <t>PRODUKCJA</t>
        </is>
      </c>
      <c r="F19" t="inlineStr">
        <is>
          <t>PZ/5</t>
        </is>
      </c>
      <c r="G19" t="inlineStr">
        <is>
          <t>TAK</t>
        </is>
      </c>
      <c r="H19" t="inlineStr">
        <is>
          <t>Deklaracja</t>
        </is>
      </c>
      <c r="I19" s="20" t="n">
        <v>88</v>
      </c>
      <c r="J19" t="inlineStr">
        <is>
          <t>MP</t>
        </is>
      </c>
      <c r="K19" s="21" t="n">
        <v>0</v>
      </c>
      <c r="L19" s="21" t="n">
        <v>0</v>
      </c>
      <c r="M19" s="21" t="n">
        <v>0</v>
      </c>
      <c r="N19" t="inlineStr">
        <is>
          <t>Zrębka Produkcyjna Leśna</t>
        </is>
      </c>
      <c r="P19" t="inlineStr">
        <is>
          <t>własne</t>
        </is>
      </c>
      <c r="Q19" s="21" t="n">
        <v>10</v>
      </c>
      <c r="T19" s="22" t="n">
        <v>0</v>
      </c>
      <c r="U19" s="21" t="n">
        <v>0</v>
      </c>
      <c r="V19" s="21" t="n">
        <v>0</v>
      </c>
      <c r="W19" t="inlineStr">
        <is>
          <t>Magazyn Zabrze</t>
        </is>
      </c>
      <c r="X19" t="inlineStr">
        <is>
          <t>Myszków</t>
        </is>
      </c>
      <c r="Y19" t="inlineStr">
        <is>
          <t>Automatyczna produkcja z zakupionego surowca</t>
        </is>
      </c>
      <c r="AA19" s="23" t="n">
        <v>46212.32811342592</v>
      </c>
      <c r="AB19" t="inlineStr">
        <is>
          <t>OP-MIGR-00012</t>
        </is>
      </c>
      <c r="AD19" t="inlineStr">
        <is>
          <t>AKTYWNY</t>
        </is>
      </c>
      <c r="AE19" s="20">
        <f>IF(I19="",0,IF(ISNUMBER(SEARCH("MP",UPPER(J19))),I19,IF(ISNUMBER(SEARCH("TON",UPPER(J19))),I19/Przelicznik_MP_tona,IF(ISNUMBER(SEARCH("M3",UPPER(J19))),I19*Przelicznik_M3_MP,IF(ISNUMBER(SEARCH("GJ",UPPER(J19))),I19/Przelicznik_GJ_tona/Przelicznik_MP_tona,I19)))))</f>
        <v/>
      </c>
      <c r="AF19" s="20">
        <f>IF(I19="",0,IF(ISNUMBER(SEARCH("TON",UPPER(J19))),I19,IF(ISNUMBER(SEARCH("GJ",UPPER(J19))),I19/Przelicznik_GJ_tona,AE19*Przelicznik_MP_tona)))</f>
        <v/>
      </c>
      <c r="AG19" s="20">
        <f>AF19*Przelicznik_GJ_tona</f>
        <v/>
      </c>
      <c r="AH19" s="20">
        <f>IF(UPPER(AD19)="SKORYGOWANY",0,IF(OR(UPPER(E19)="TRANSPORT",UPPER(E19)="MM"),0,IF(UPPER(G19)&lt;&gt;"TAK",0,IF(OR(UPPER(E19)="ZAKUP",UPPER(E19)="PRODUKCJA"),AE19,IF(OR(UPPER(E19)="SPRZEDAŻ",UPPER(E19)="ZUŻYCIE"),-AE19,0)))))</f>
        <v/>
      </c>
      <c r="AI19" s="20">
        <f>IF(UPPER(AD19)="SKORYGOWANY",0,IF(OR(UPPER(E19)="TRANSPORT",UPPER(E19)="MM"),0,IF(UPPER(G19)&lt;&gt;"TAK",0,IF(OR(UPPER(E19)="ZAKUP",UPPER(E19)="PRODUKCJA"),AF19,IF(OR(UPPER(E19)="SPRZEDAŻ",UPPER(E19)="ZUŻYCIE"),-AF19,0)))))</f>
        <v/>
      </c>
      <c r="AJ19" s="21">
        <f>IF(UPPER(AD19)="SKORYGOWANY",0,IF(UPPER(E19)="ZAKUP",IF(L19&lt;&gt;"",L19,I19*K19),0))</f>
        <v/>
      </c>
      <c r="AK19" s="21">
        <f>IF(UPPER(AD19)="SKORYGOWANY",0,IF(UPPER(E19)="SPRZEDAŻ",IF(L19&lt;&gt;"",L19,I19*M19),0))</f>
        <v/>
      </c>
      <c r="AL19" s="21">
        <f>AE19*Q19</f>
        <v/>
      </c>
      <c r="AM19">
        <f>IF(R19="","",IF(LOWER(R19)="brak","Brak",IF(OR(ISNUMBER(SEARCH("własn",LOWER(R19))),ISNUMBER(SEARCH("wlasn",LOWER(R19))),ISNUMBER(SEARCH("wojciechowski",LOWER(R19)))),"Własny","Zewnętrzny")))</f>
        <v/>
      </c>
      <c r="AN19" s="24">
        <f>IF(C19="","",YEAR(C19))</f>
        <v/>
      </c>
      <c r="AO19" s="24">
        <f>IF(C19="","",MONTH(C19))</f>
        <v/>
      </c>
      <c r="AP19">
        <f>IF(C19="","",UPPER(TEXT(C19,"mmmm")))</f>
        <v/>
      </c>
      <c r="AQ19">
        <f>IF(C19="","","Q"&amp;ROUNDUP(MONTH(C19)/3,0))</f>
        <v/>
      </c>
    </row>
    <row r="20">
      <c r="A20" s="19" t="n">
        <v>46210</v>
      </c>
      <c r="C20" s="19" t="n">
        <v>46210</v>
      </c>
      <c r="D20" t="inlineStr">
        <is>
          <t>Lander Agro</t>
        </is>
      </c>
      <c r="E20" t="inlineStr">
        <is>
          <t>ZAKUP</t>
        </is>
      </c>
      <c r="F20" t="inlineStr">
        <is>
          <t>PZ/5</t>
        </is>
      </c>
      <c r="G20" t="inlineStr">
        <is>
          <t>NIE</t>
        </is>
      </c>
      <c r="H20" t="inlineStr">
        <is>
          <t>Deklaracja</t>
        </is>
      </c>
      <c r="I20" s="20" t="n">
        <v>88</v>
      </c>
      <c r="J20" t="inlineStr">
        <is>
          <t>MP</t>
        </is>
      </c>
      <c r="K20" s="21" t="n">
        <v>78</v>
      </c>
      <c r="L20" s="21" t="n">
        <v>6864</v>
      </c>
      <c r="M20" s="21" t="n">
        <v>0</v>
      </c>
      <c r="N20" t="inlineStr">
        <is>
          <t>Drewno opałowe z lasu</t>
        </is>
      </c>
      <c r="P20" t="inlineStr">
        <is>
          <t>własne</t>
        </is>
      </c>
      <c r="Q20" s="21" t="n">
        <v>10</v>
      </c>
      <c r="T20" s="22" t="n">
        <v>0</v>
      </c>
      <c r="U20" s="21" t="n">
        <v>0</v>
      </c>
      <c r="V20" s="21" t="n">
        <v>0</v>
      </c>
      <c r="W20" t="inlineStr">
        <is>
          <t>Magazyn Zabrze</t>
        </is>
      </c>
      <c r="X20" t="inlineStr">
        <is>
          <t>Myszków</t>
        </is>
      </c>
      <c r="Z20" t="inlineStr">
        <is>
          <t>Roesner Mateusz</t>
        </is>
      </c>
      <c r="AA20" s="23" t="n">
        <v>46212.32811342592</v>
      </c>
      <c r="AB20" t="inlineStr">
        <is>
          <t>OP-MIGR-00019</t>
        </is>
      </c>
      <c r="AD20" t="inlineStr">
        <is>
          <t>AKTYWNY</t>
        </is>
      </c>
      <c r="AE20" s="20">
        <f>IF(I20="",0,IF(ISNUMBER(SEARCH("MP",UPPER(J20))),I20,IF(ISNUMBER(SEARCH("TON",UPPER(J20))),I20/Przelicznik_MP_tona,IF(ISNUMBER(SEARCH("M3",UPPER(J20))),I20*Przelicznik_M3_MP,IF(ISNUMBER(SEARCH("GJ",UPPER(J20))),I20/Przelicznik_GJ_tona/Przelicznik_MP_tona,I20)))))</f>
        <v/>
      </c>
      <c r="AF20" s="20">
        <f>IF(I20="",0,IF(ISNUMBER(SEARCH("TON",UPPER(J20))),I20,IF(ISNUMBER(SEARCH("GJ",UPPER(J20))),I20/Przelicznik_GJ_tona,AE20*Przelicznik_MP_tona)))</f>
        <v/>
      </c>
      <c r="AG20" s="20">
        <f>AF20*Przelicznik_GJ_tona</f>
        <v/>
      </c>
      <c r="AH20" s="20">
        <f>IF(UPPER(AD20)="SKORYGOWANY",0,IF(OR(UPPER(E20)="TRANSPORT",UPPER(E20)="MM"),0,IF(UPPER(G20)&lt;&gt;"TAK",0,IF(OR(UPPER(E20)="ZAKUP",UPPER(E20)="PRODUKCJA"),AE20,IF(OR(UPPER(E20)="SPRZEDAŻ",UPPER(E20)="ZUŻYCIE"),-AE20,0)))))</f>
        <v/>
      </c>
      <c r="AI20" s="20">
        <f>IF(UPPER(AD20)="SKORYGOWANY",0,IF(OR(UPPER(E20)="TRANSPORT",UPPER(E20)="MM"),0,IF(UPPER(G20)&lt;&gt;"TAK",0,IF(OR(UPPER(E20)="ZAKUP",UPPER(E20)="PRODUKCJA"),AF20,IF(OR(UPPER(E20)="SPRZEDAŻ",UPPER(E20)="ZUŻYCIE"),-AF20,0)))))</f>
        <v/>
      </c>
      <c r="AJ20" s="21">
        <f>IF(UPPER(AD20)="SKORYGOWANY",0,IF(UPPER(E20)="ZAKUP",IF(L20&lt;&gt;"",L20,I20*K20),0))</f>
        <v/>
      </c>
      <c r="AK20" s="21">
        <f>IF(UPPER(AD20)="SKORYGOWANY",0,IF(UPPER(E20)="SPRZEDAŻ",IF(L20&lt;&gt;"",L20,I20*M20),0))</f>
        <v/>
      </c>
      <c r="AL20" s="21">
        <f>AE20*Q20</f>
        <v/>
      </c>
      <c r="AM20">
        <f>IF(R20="","",IF(LOWER(R20)="brak","Brak",IF(OR(ISNUMBER(SEARCH("własn",LOWER(R20))),ISNUMBER(SEARCH("wlasn",LOWER(R20))),ISNUMBER(SEARCH("wojciechowski",LOWER(R20)))),"Własny","Zewnętrzny")))</f>
        <v/>
      </c>
      <c r="AN20" s="24">
        <f>IF(C20="","",YEAR(C20))</f>
        <v/>
      </c>
      <c r="AO20" s="24">
        <f>IF(C20="","",MONTH(C20))</f>
        <v/>
      </c>
      <c r="AP20">
        <f>IF(C20="","",UPPER(TEXT(C20,"mmmm")))</f>
        <v/>
      </c>
      <c r="AQ20">
        <f>IF(C20="","","Q"&amp;ROUNDUP(MONTH(C20)/3,0))</f>
        <v/>
      </c>
    </row>
    <row r="21">
      <c r="A21" s="19" t="n">
        <v>46210</v>
      </c>
      <c r="C21" s="19" t="n">
        <v>46210</v>
      </c>
      <c r="D21" t="inlineStr">
        <is>
          <t>Lander Agro</t>
        </is>
      </c>
      <c r="E21" t="inlineStr">
        <is>
          <t>ZUŻYCIE</t>
        </is>
      </c>
      <c r="F21" t="inlineStr">
        <is>
          <t>PZ/5</t>
        </is>
      </c>
      <c r="G21" t="inlineStr">
        <is>
          <t>NIE</t>
        </is>
      </c>
      <c r="H21" t="inlineStr">
        <is>
          <t>Deklaracja</t>
        </is>
      </c>
      <c r="I21" s="20" t="n">
        <v>88</v>
      </c>
      <c r="J21" t="inlineStr">
        <is>
          <t>MP</t>
        </is>
      </c>
      <c r="K21" s="21" t="n">
        <v>0</v>
      </c>
      <c r="L21" s="21" t="n">
        <v>0</v>
      </c>
      <c r="M21" s="21" t="n">
        <v>0</v>
      </c>
      <c r="N21" t="inlineStr">
        <is>
          <t>Drewno opałowe z lasu</t>
        </is>
      </c>
      <c r="P21" t="inlineStr">
        <is>
          <t>własne</t>
        </is>
      </c>
      <c r="Q21" s="21" t="n">
        <v>10</v>
      </c>
      <c r="T21" s="22" t="n">
        <v>0</v>
      </c>
      <c r="U21" s="21" t="n">
        <v>0</v>
      </c>
      <c r="V21" s="21" t="n">
        <v>0</v>
      </c>
      <c r="W21" t="inlineStr">
        <is>
          <t>Magazyn Zabrze</t>
        </is>
      </c>
      <c r="X21" t="inlineStr">
        <is>
          <t>Myszków</t>
        </is>
      </c>
      <c r="Y21" t="inlineStr">
        <is>
          <t>Automatyczne zużycie surowca</t>
        </is>
      </c>
      <c r="AA21" s="23" t="n">
        <v>46212.32811342592</v>
      </c>
      <c r="AB21" t="inlineStr">
        <is>
          <t>OP-MIGR-00028</t>
        </is>
      </c>
      <c r="AD21" t="inlineStr">
        <is>
          <t>AKTYWNY</t>
        </is>
      </c>
      <c r="AE21" s="20">
        <f>IF(I21="",0,IF(ISNUMBER(SEARCH("MP",UPPER(J21))),I21,IF(ISNUMBER(SEARCH("TON",UPPER(J21))),I21/Przelicznik_MP_tona,IF(ISNUMBER(SEARCH("M3",UPPER(J21))),I21*Przelicznik_M3_MP,IF(ISNUMBER(SEARCH("GJ",UPPER(J21))),I21/Przelicznik_GJ_tona/Przelicznik_MP_tona,I21)))))</f>
        <v/>
      </c>
      <c r="AF21" s="20">
        <f>IF(I21="",0,IF(ISNUMBER(SEARCH("TON",UPPER(J21))),I21,IF(ISNUMBER(SEARCH("GJ",UPPER(J21))),I21/Przelicznik_GJ_tona,AE21*Przelicznik_MP_tona)))</f>
        <v/>
      </c>
      <c r="AG21" s="20">
        <f>AF21*Przelicznik_GJ_tona</f>
        <v/>
      </c>
      <c r="AH21" s="20">
        <f>IF(UPPER(AD21)="SKORYGOWANY",0,IF(OR(UPPER(E21)="TRANSPORT",UPPER(E21)="MM"),0,IF(UPPER(G21)&lt;&gt;"TAK",0,IF(OR(UPPER(E21)="ZAKUP",UPPER(E21)="PRODUKCJA"),AE21,IF(OR(UPPER(E21)="SPRZEDAŻ",UPPER(E21)="ZUŻYCIE"),-AE21,0)))))</f>
        <v/>
      </c>
      <c r="AI21" s="20">
        <f>IF(UPPER(AD21)="SKORYGOWANY",0,IF(OR(UPPER(E21)="TRANSPORT",UPPER(E21)="MM"),0,IF(UPPER(G21)&lt;&gt;"TAK",0,IF(OR(UPPER(E21)="ZAKUP",UPPER(E21)="PRODUKCJA"),AF21,IF(OR(UPPER(E21)="SPRZEDAŻ",UPPER(E21)="ZUŻYCIE"),-AF21,0)))))</f>
        <v/>
      </c>
      <c r="AJ21" s="21">
        <f>IF(UPPER(AD21)="SKORYGOWANY",0,IF(UPPER(E21)="ZAKUP",IF(L21&lt;&gt;"",L21,I21*K21),0))</f>
        <v/>
      </c>
      <c r="AK21" s="21">
        <f>IF(UPPER(AD21)="SKORYGOWANY",0,IF(UPPER(E21)="SPRZEDAŻ",IF(L21&lt;&gt;"",L21,I21*M21),0))</f>
        <v/>
      </c>
      <c r="AL21" s="21">
        <f>AE21*Q21</f>
        <v/>
      </c>
      <c r="AM21">
        <f>IF(R21="","",IF(LOWER(R21)="brak","Brak",IF(OR(ISNUMBER(SEARCH("własn",LOWER(R21))),ISNUMBER(SEARCH("wlasn",LOWER(R21))),ISNUMBER(SEARCH("wojciechowski",LOWER(R21)))),"Własny","Zewnętrzny")))</f>
        <v/>
      </c>
      <c r="AN21" s="24">
        <f>IF(C21="","",YEAR(C21))</f>
        <v/>
      </c>
      <c r="AO21" s="24">
        <f>IF(C21="","",MONTH(C21))</f>
        <v/>
      </c>
      <c r="AP21">
        <f>IF(C21="","",UPPER(TEXT(C21,"mmmm")))</f>
        <v/>
      </c>
      <c r="AQ21">
        <f>IF(C21="","","Q"&amp;ROUNDUP(MONTH(C21)/3,0))</f>
        <v/>
      </c>
    </row>
    <row r="22">
      <c r="A22" s="19" t="n">
        <v>46210</v>
      </c>
      <c r="B22" t="inlineStr">
        <is>
          <t>Myszków</t>
        </is>
      </c>
      <c r="C22" s="19" t="n">
        <v>46210</v>
      </c>
      <c r="D22" t="inlineStr">
        <is>
          <t>Magazyn Zabrze</t>
        </is>
      </c>
      <c r="E22" t="inlineStr">
        <is>
          <t>ZAKUP</t>
        </is>
      </c>
      <c r="F22" t="inlineStr">
        <is>
          <t>PZ/5</t>
        </is>
      </c>
      <c r="G22" t="inlineStr">
        <is>
          <t>TAK</t>
        </is>
      </c>
      <c r="H22" t="inlineStr">
        <is>
          <t>Deklaracja</t>
        </is>
      </c>
      <c r="I22" s="20" t="n">
        <v>88</v>
      </c>
      <c r="J22" t="inlineStr">
        <is>
          <t>MP</t>
        </is>
      </c>
      <c r="K22" s="21" t="n">
        <v>70</v>
      </c>
      <c r="L22" s="21" t="n">
        <v>6864</v>
      </c>
      <c r="M22" s="21" t="n">
        <v>0</v>
      </c>
      <c r="N22" t="inlineStr">
        <is>
          <t>Zrębka Produkcyjna Leśna</t>
        </is>
      </c>
      <c r="O22" t="inlineStr">
        <is>
          <t>B</t>
        </is>
      </c>
      <c r="Q22" s="21" t="n">
        <v>0</v>
      </c>
      <c r="R22" t="inlineStr">
        <is>
          <t>własny (Kretek)</t>
        </is>
      </c>
      <c r="S22" t="inlineStr">
        <is>
          <t>SK 7J885</t>
        </is>
      </c>
      <c r="T22" s="22" t="n">
        <v>110</v>
      </c>
      <c r="U22" s="21" t="n">
        <v>5</v>
      </c>
      <c r="V22" s="21" t="n">
        <v>550</v>
      </c>
      <c r="W22" t="inlineStr">
        <is>
          <t>Magazyn Zabrze</t>
        </is>
      </c>
      <c r="X22" t="inlineStr">
        <is>
          <t>Myszków</t>
        </is>
      </c>
      <c r="Z22" t="inlineStr">
        <is>
          <t>Roesner Mateusz</t>
        </is>
      </c>
      <c r="AA22" s="23" t="n">
        <v>46212.32914351852</v>
      </c>
      <c r="AB22" t="inlineStr">
        <is>
          <t>OP-MIGR-00020</t>
        </is>
      </c>
      <c r="AD22" t="inlineStr">
        <is>
          <t>AKTYWNY</t>
        </is>
      </c>
      <c r="AE22" s="20">
        <f>IF(I22="",0,IF(ISNUMBER(SEARCH("MP",UPPER(J22))),I22,IF(ISNUMBER(SEARCH("TON",UPPER(J22))),I22/Przelicznik_MP_tona,IF(ISNUMBER(SEARCH("M3",UPPER(J22))),I22*Przelicznik_M3_MP,IF(ISNUMBER(SEARCH("GJ",UPPER(J22))),I22/Przelicznik_GJ_tona/Przelicznik_MP_tona,I22)))))</f>
        <v/>
      </c>
      <c r="AF22" s="20">
        <f>IF(I22="",0,IF(ISNUMBER(SEARCH("TON",UPPER(J22))),I22,IF(ISNUMBER(SEARCH("GJ",UPPER(J22))),I22/Przelicznik_GJ_tona,AE22*Przelicznik_MP_tona)))</f>
        <v/>
      </c>
      <c r="AG22" s="20">
        <f>AF22*Przelicznik_GJ_tona</f>
        <v/>
      </c>
      <c r="AH22" s="20">
        <f>IF(UPPER(AD22)="SKORYGOWANY",0,IF(OR(UPPER(E22)="TRANSPORT",UPPER(E22)="MM"),0,IF(UPPER(G22)&lt;&gt;"TAK",0,IF(OR(UPPER(E22)="ZAKUP",UPPER(E22)="PRODUKCJA"),AE22,IF(OR(UPPER(E22)="SPRZEDAŻ",UPPER(E22)="ZUŻYCIE"),-AE22,0)))))</f>
        <v/>
      </c>
      <c r="AI22" s="20">
        <f>IF(UPPER(AD22)="SKORYGOWANY",0,IF(OR(UPPER(E22)="TRANSPORT",UPPER(E22)="MM"),0,IF(UPPER(G22)&lt;&gt;"TAK",0,IF(OR(UPPER(E22)="ZAKUP",UPPER(E22)="PRODUKCJA"),AF22,IF(OR(UPPER(E22)="SPRZEDAŻ",UPPER(E22)="ZUŻYCIE"),-AF22,0)))))</f>
        <v/>
      </c>
      <c r="AJ22" s="21">
        <f>IF(UPPER(AD22)="SKORYGOWANY",0,IF(UPPER(E22)="ZAKUP",IF(L22&lt;&gt;"",L22,I22*K22),0))</f>
        <v/>
      </c>
      <c r="AK22" s="21">
        <f>IF(UPPER(AD22)="SKORYGOWANY",0,IF(UPPER(E22)="SPRZEDAŻ",IF(L22&lt;&gt;"",L22,I22*M22),0))</f>
        <v/>
      </c>
      <c r="AL22" s="21">
        <f>AE22*Q22</f>
        <v/>
      </c>
      <c r="AM22">
        <f>IF(R22="","",IF(LOWER(R22)="brak","Brak",IF(OR(ISNUMBER(SEARCH("własn",LOWER(R22))),ISNUMBER(SEARCH("wlasn",LOWER(R22))),ISNUMBER(SEARCH("wojciechowski",LOWER(R22)))),"Własny","Zewnętrzny")))</f>
        <v/>
      </c>
      <c r="AN22" s="24">
        <f>IF(C22="","",YEAR(C22))</f>
        <v/>
      </c>
      <c r="AO22" s="24">
        <f>IF(C22="","",MONTH(C22))</f>
        <v/>
      </c>
      <c r="AP22">
        <f>IF(C22="","",UPPER(TEXT(C22,"mmmm")))</f>
        <v/>
      </c>
      <c r="AQ22">
        <f>IF(C22="","","Q"&amp;ROUNDUP(MONTH(C22)/3,0))</f>
        <v/>
      </c>
    </row>
    <row r="23">
      <c r="A23" s="19" t="n">
        <v>46210</v>
      </c>
      <c r="C23" s="19" t="n">
        <v>46210</v>
      </c>
      <c r="D23" t="inlineStr">
        <is>
          <t>Lander Agro</t>
        </is>
      </c>
      <c r="E23" t="inlineStr">
        <is>
          <t>PRODUKCJA</t>
        </is>
      </c>
      <c r="F23" t="inlineStr">
        <is>
          <t>PZ/6</t>
        </is>
      </c>
      <c r="G23" t="inlineStr">
        <is>
          <t>TAK</t>
        </is>
      </c>
      <c r="H23" t="inlineStr">
        <is>
          <t>Deklaracja</t>
        </is>
      </c>
      <c r="I23" s="20" t="n">
        <v>88</v>
      </c>
      <c r="J23" t="inlineStr">
        <is>
          <t>MP</t>
        </is>
      </c>
      <c r="K23" s="21" t="n">
        <v>0</v>
      </c>
      <c r="L23" s="21" t="n">
        <v>0</v>
      </c>
      <c r="M23" s="21" t="n">
        <v>0</v>
      </c>
      <c r="N23" t="inlineStr">
        <is>
          <t>Zrębka Produkcyjna Leśna</t>
        </is>
      </c>
      <c r="P23" t="inlineStr">
        <is>
          <t>własne</t>
        </is>
      </c>
      <c r="Q23" s="21" t="n">
        <v>10</v>
      </c>
      <c r="T23" s="22" t="n">
        <v>0</v>
      </c>
      <c r="U23" s="21" t="n">
        <v>0</v>
      </c>
      <c r="V23" s="21" t="n">
        <v>0</v>
      </c>
      <c r="W23" t="inlineStr">
        <is>
          <t>Magazyn Zabrze</t>
        </is>
      </c>
      <c r="X23" t="inlineStr">
        <is>
          <t>Myszków</t>
        </is>
      </c>
      <c r="Y23" t="inlineStr">
        <is>
          <t>Automatyczna produkcja z zakupionego surowca</t>
        </is>
      </c>
      <c r="AA23" s="23" t="n">
        <v>46212.33265046297</v>
      </c>
      <c r="AB23" t="inlineStr">
        <is>
          <t>OP-MIGR-00013</t>
        </is>
      </c>
      <c r="AD23" t="inlineStr">
        <is>
          <t>AKTYWNY</t>
        </is>
      </c>
      <c r="AE23" s="20">
        <f>IF(I23="",0,IF(ISNUMBER(SEARCH("MP",UPPER(J23))),I23,IF(ISNUMBER(SEARCH("TON",UPPER(J23))),I23/Przelicznik_MP_tona,IF(ISNUMBER(SEARCH("M3",UPPER(J23))),I23*Przelicznik_M3_MP,IF(ISNUMBER(SEARCH("GJ",UPPER(J23))),I23/Przelicznik_GJ_tona/Przelicznik_MP_tona,I23)))))</f>
        <v/>
      </c>
      <c r="AF23" s="20">
        <f>IF(I23="",0,IF(ISNUMBER(SEARCH("TON",UPPER(J23))),I23,IF(ISNUMBER(SEARCH("GJ",UPPER(J23))),I23/Przelicznik_GJ_tona,AE23*Przelicznik_MP_tona)))</f>
        <v/>
      </c>
      <c r="AG23" s="20">
        <f>AF23*Przelicznik_GJ_tona</f>
        <v/>
      </c>
      <c r="AH23" s="20">
        <f>IF(UPPER(AD23)="SKORYGOWANY",0,IF(OR(UPPER(E23)="TRANSPORT",UPPER(E23)="MM"),0,IF(UPPER(G23)&lt;&gt;"TAK",0,IF(OR(UPPER(E23)="ZAKUP",UPPER(E23)="PRODUKCJA"),AE23,IF(OR(UPPER(E23)="SPRZEDAŻ",UPPER(E23)="ZUŻYCIE"),-AE23,0)))))</f>
        <v/>
      </c>
      <c r="AI23" s="20">
        <f>IF(UPPER(AD23)="SKORYGOWANY",0,IF(OR(UPPER(E23)="TRANSPORT",UPPER(E23)="MM"),0,IF(UPPER(G23)&lt;&gt;"TAK",0,IF(OR(UPPER(E23)="ZAKUP",UPPER(E23)="PRODUKCJA"),AF23,IF(OR(UPPER(E23)="SPRZEDAŻ",UPPER(E23)="ZUŻYCIE"),-AF23,0)))))</f>
        <v/>
      </c>
      <c r="AJ23" s="21">
        <f>IF(UPPER(AD23)="SKORYGOWANY",0,IF(UPPER(E23)="ZAKUP",IF(L23&lt;&gt;"",L23,I23*K23),0))</f>
        <v/>
      </c>
      <c r="AK23" s="21">
        <f>IF(UPPER(AD23)="SKORYGOWANY",0,IF(UPPER(E23)="SPRZEDAŻ",IF(L23&lt;&gt;"",L23,I23*M23),0))</f>
        <v/>
      </c>
      <c r="AL23" s="21">
        <f>AE23*Q23</f>
        <v/>
      </c>
      <c r="AM23">
        <f>IF(R23="","",IF(LOWER(R23)="brak","Brak",IF(OR(ISNUMBER(SEARCH("własn",LOWER(R23))),ISNUMBER(SEARCH("wlasn",LOWER(R23))),ISNUMBER(SEARCH("wojciechowski",LOWER(R23)))),"Własny","Zewnętrzny")))</f>
        <v/>
      </c>
      <c r="AN23" s="24">
        <f>IF(C23="","",YEAR(C23))</f>
        <v/>
      </c>
      <c r="AO23" s="24">
        <f>IF(C23="","",MONTH(C23))</f>
        <v/>
      </c>
      <c r="AP23">
        <f>IF(C23="","",UPPER(TEXT(C23,"mmmm")))</f>
        <v/>
      </c>
      <c r="AQ23">
        <f>IF(C23="","","Q"&amp;ROUNDUP(MONTH(C23)/3,0))</f>
        <v/>
      </c>
    </row>
    <row r="24">
      <c r="A24" s="19" t="n">
        <v>46210</v>
      </c>
      <c r="C24" s="19" t="n">
        <v>46210</v>
      </c>
      <c r="D24" t="inlineStr">
        <is>
          <t>Lander Agro</t>
        </is>
      </c>
      <c r="E24" t="inlineStr">
        <is>
          <t>ZAKUP</t>
        </is>
      </c>
      <c r="F24" t="inlineStr">
        <is>
          <t>PZ/6</t>
        </is>
      </c>
      <c r="G24" t="inlineStr">
        <is>
          <t>NIE</t>
        </is>
      </c>
      <c r="H24" t="inlineStr">
        <is>
          <t>Deklaracja</t>
        </is>
      </c>
      <c r="I24" s="20" t="n">
        <v>88</v>
      </c>
      <c r="J24" t="inlineStr">
        <is>
          <t>MP</t>
        </is>
      </c>
      <c r="K24" s="21" t="n">
        <v>78</v>
      </c>
      <c r="L24" s="21" t="n">
        <v>6864</v>
      </c>
      <c r="M24" s="21" t="n">
        <v>0</v>
      </c>
      <c r="N24" t="inlineStr">
        <is>
          <t>Drewno opałowe z lasu</t>
        </is>
      </c>
      <c r="P24" t="inlineStr">
        <is>
          <t>własne</t>
        </is>
      </c>
      <c r="Q24" s="21" t="n">
        <v>10</v>
      </c>
      <c r="T24" s="22" t="n">
        <v>0</v>
      </c>
      <c r="U24" s="21" t="n">
        <v>0</v>
      </c>
      <c r="V24" s="21" t="n">
        <v>0</v>
      </c>
      <c r="W24" t="inlineStr">
        <is>
          <t>Magazyn Zabrze</t>
        </is>
      </c>
      <c r="X24" t="inlineStr">
        <is>
          <t>Myszków</t>
        </is>
      </c>
      <c r="Z24" t="inlineStr">
        <is>
          <t>Roesner Mateusz</t>
        </is>
      </c>
      <c r="AA24" s="23" t="n">
        <v>46212.33265046297</v>
      </c>
      <c r="AB24" t="inlineStr">
        <is>
          <t>OP-MIGR-00021</t>
        </is>
      </c>
      <c r="AD24" t="inlineStr">
        <is>
          <t>AKTYWNY</t>
        </is>
      </c>
      <c r="AE24" s="20">
        <f>IF(I24="",0,IF(ISNUMBER(SEARCH("MP",UPPER(J24))),I24,IF(ISNUMBER(SEARCH("TON",UPPER(J24))),I24/Przelicznik_MP_tona,IF(ISNUMBER(SEARCH("M3",UPPER(J24))),I24*Przelicznik_M3_MP,IF(ISNUMBER(SEARCH("GJ",UPPER(J24))),I24/Przelicznik_GJ_tona/Przelicznik_MP_tona,I24)))))</f>
        <v/>
      </c>
      <c r="AF24" s="20">
        <f>IF(I24="",0,IF(ISNUMBER(SEARCH("TON",UPPER(J24))),I24,IF(ISNUMBER(SEARCH("GJ",UPPER(J24))),I24/Przelicznik_GJ_tona,AE24*Przelicznik_MP_tona)))</f>
        <v/>
      </c>
      <c r="AG24" s="20">
        <f>AF24*Przelicznik_GJ_tona</f>
        <v/>
      </c>
      <c r="AH24" s="20">
        <f>IF(UPPER(AD24)="SKORYGOWANY",0,IF(OR(UPPER(E24)="TRANSPORT",UPPER(E24)="MM"),0,IF(UPPER(G24)&lt;&gt;"TAK",0,IF(OR(UPPER(E24)="ZAKUP",UPPER(E24)="PRODUKCJA"),AE24,IF(OR(UPPER(E24)="SPRZEDAŻ",UPPER(E24)="ZUŻYCIE"),-AE24,0)))))</f>
        <v/>
      </c>
      <c r="AI24" s="20">
        <f>IF(UPPER(AD24)="SKORYGOWANY",0,IF(OR(UPPER(E24)="TRANSPORT",UPPER(E24)="MM"),0,IF(UPPER(G24)&lt;&gt;"TAK",0,IF(OR(UPPER(E24)="ZAKUP",UPPER(E24)="PRODUKCJA"),AF24,IF(OR(UPPER(E24)="SPRZEDAŻ",UPPER(E24)="ZUŻYCIE"),-AF24,0)))))</f>
        <v/>
      </c>
      <c r="AJ24" s="21">
        <f>IF(UPPER(AD24)="SKORYGOWANY",0,IF(UPPER(E24)="ZAKUP",IF(L24&lt;&gt;"",L24,I24*K24),0))</f>
        <v/>
      </c>
      <c r="AK24" s="21">
        <f>IF(UPPER(AD24)="SKORYGOWANY",0,IF(UPPER(E24)="SPRZEDAŻ",IF(L24&lt;&gt;"",L24,I24*M24),0))</f>
        <v/>
      </c>
      <c r="AL24" s="21">
        <f>AE24*Q24</f>
        <v/>
      </c>
      <c r="AM24">
        <f>IF(R24="","",IF(LOWER(R24)="brak","Brak",IF(OR(ISNUMBER(SEARCH("własn",LOWER(R24))),ISNUMBER(SEARCH("wlasn",LOWER(R24))),ISNUMBER(SEARCH("wojciechowski",LOWER(R24)))),"Własny","Zewnętrzny")))</f>
        <v/>
      </c>
      <c r="AN24" s="24">
        <f>IF(C24="","",YEAR(C24))</f>
        <v/>
      </c>
      <c r="AO24" s="24">
        <f>IF(C24="","",MONTH(C24))</f>
        <v/>
      </c>
      <c r="AP24">
        <f>IF(C24="","",UPPER(TEXT(C24,"mmmm")))</f>
        <v/>
      </c>
      <c r="AQ24">
        <f>IF(C24="","","Q"&amp;ROUNDUP(MONTH(C24)/3,0))</f>
        <v/>
      </c>
    </row>
    <row r="25">
      <c r="A25" s="19" t="n">
        <v>46210</v>
      </c>
      <c r="C25" s="19" t="n">
        <v>46210</v>
      </c>
      <c r="D25" t="inlineStr">
        <is>
          <t>Lander Agro</t>
        </is>
      </c>
      <c r="E25" t="inlineStr">
        <is>
          <t>ZUŻYCIE</t>
        </is>
      </c>
      <c r="F25" t="inlineStr">
        <is>
          <t>PZ/6</t>
        </is>
      </c>
      <c r="G25" t="inlineStr">
        <is>
          <t>NIE</t>
        </is>
      </c>
      <c r="H25" t="inlineStr">
        <is>
          <t>Deklaracja</t>
        </is>
      </c>
      <c r="I25" s="20" t="n">
        <v>88</v>
      </c>
      <c r="J25" t="inlineStr">
        <is>
          <t>MP</t>
        </is>
      </c>
      <c r="K25" s="21" t="n">
        <v>0</v>
      </c>
      <c r="L25" s="21" t="n">
        <v>0</v>
      </c>
      <c r="M25" s="21" t="n">
        <v>0</v>
      </c>
      <c r="N25" t="inlineStr">
        <is>
          <t>Drewno opałowe z lasu</t>
        </is>
      </c>
      <c r="P25" t="inlineStr">
        <is>
          <t>własne</t>
        </is>
      </c>
      <c r="Q25" s="21" t="n">
        <v>10</v>
      </c>
      <c r="T25" s="22" t="n">
        <v>0</v>
      </c>
      <c r="U25" s="21" t="n">
        <v>0</v>
      </c>
      <c r="V25" s="21" t="n">
        <v>0</v>
      </c>
      <c r="W25" t="inlineStr">
        <is>
          <t>Magazyn Zabrze</t>
        </is>
      </c>
      <c r="X25" t="inlineStr">
        <is>
          <t>Myszków</t>
        </is>
      </c>
      <c r="Y25" t="inlineStr">
        <is>
          <t>Automatyczne zużycie surowca</t>
        </is>
      </c>
      <c r="AA25" s="23" t="n">
        <v>46212.33265046297</v>
      </c>
      <c r="AB25" t="inlineStr">
        <is>
          <t>OP-MIGR-00029</t>
        </is>
      </c>
      <c r="AD25" t="inlineStr">
        <is>
          <t>AKTYWNY</t>
        </is>
      </c>
      <c r="AE25" s="20">
        <f>IF(I25="",0,IF(ISNUMBER(SEARCH("MP",UPPER(J25))),I25,IF(ISNUMBER(SEARCH("TON",UPPER(J25))),I25/Przelicznik_MP_tona,IF(ISNUMBER(SEARCH("M3",UPPER(J25))),I25*Przelicznik_M3_MP,IF(ISNUMBER(SEARCH("GJ",UPPER(J25))),I25/Przelicznik_GJ_tona/Przelicznik_MP_tona,I25)))))</f>
        <v/>
      </c>
      <c r="AF25" s="20">
        <f>IF(I25="",0,IF(ISNUMBER(SEARCH("TON",UPPER(J25))),I25,IF(ISNUMBER(SEARCH("GJ",UPPER(J25))),I25/Przelicznik_GJ_tona,AE25*Przelicznik_MP_tona)))</f>
        <v/>
      </c>
      <c r="AG25" s="20">
        <f>AF25*Przelicznik_GJ_tona</f>
        <v/>
      </c>
      <c r="AH25" s="20">
        <f>IF(UPPER(AD25)="SKORYGOWANY",0,IF(OR(UPPER(E25)="TRANSPORT",UPPER(E25)="MM"),0,IF(UPPER(G25)&lt;&gt;"TAK",0,IF(OR(UPPER(E25)="ZAKUP",UPPER(E25)="PRODUKCJA"),AE25,IF(OR(UPPER(E25)="SPRZEDAŻ",UPPER(E25)="ZUŻYCIE"),-AE25,0)))))</f>
        <v/>
      </c>
      <c r="AI25" s="20">
        <f>IF(UPPER(AD25)="SKORYGOWANY",0,IF(OR(UPPER(E25)="TRANSPORT",UPPER(E25)="MM"),0,IF(UPPER(G25)&lt;&gt;"TAK",0,IF(OR(UPPER(E25)="ZAKUP",UPPER(E25)="PRODUKCJA"),AF25,IF(OR(UPPER(E25)="SPRZEDAŻ",UPPER(E25)="ZUŻYCIE"),-AF25,0)))))</f>
        <v/>
      </c>
      <c r="AJ25" s="21">
        <f>IF(UPPER(AD25)="SKORYGOWANY",0,IF(UPPER(E25)="ZAKUP",IF(L25&lt;&gt;"",L25,I25*K25),0))</f>
        <v/>
      </c>
      <c r="AK25" s="21">
        <f>IF(UPPER(AD25)="SKORYGOWANY",0,IF(UPPER(E25)="SPRZEDAŻ",IF(L25&lt;&gt;"",L25,I25*M25),0))</f>
        <v/>
      </c>
      <c r="AL25" s="21">
        <f>AE25*Q25</f>
        <v/>
      </c>
      <c r="AM25">
        <f>IF(R25="","",IF(LOWER(R25)="brak","Brak",IF(OR(ISNUMBER(SEARCH("własn",LOWER(R25))),ISNUMBER(SEARCH("wlasn",LOWER(R25))),ISNUMBER(SEARCH("wojciechowski",LOWER(R25)))),"Własny","Zewnętrzny")))</f>
        <v/>
      </c>
      <c r="AN25" s="24">
        <f>IF(C25="","",YEAR(C25))</f>
        <v/>
      </c>
      <c r="AO25" s="24">
        <f>IF(C25="","",MONTH(C25))</f>
        <v/>
      </c>
      <c r="AP25">
        <f>IF(C25="","",UPPER(TEXT(C25,"mmmm")))</f>
        <v/>
      </c>
      <c r="AQ25">
        <f>IF(C25="","","Q"&amp;ROUNDUP(MONTH(C25)/3,0))</f>
        <v/>
      </c>
    </row>
    <row r="26">
      <c r="A26" s="19" t="n">
        <v>46210</v>
      </c>
      <c r="B26" t="inlineStr">
        <is>
          <t>Myszków</t>
        </is>
      </c>
      <c r="C26" s="19" t="n">
        <v>46210</v>
      </c>
      <c r="D26" t="inlineStr">
        <is>
          <t>Magazyn Zabrze</t>
        </is>
      </c>
      <c r="E26" t="inlineStr">
        <is>
          <t>ZAKUP</t>
        </is>
      </c>
      <c r="F26" t="inlineStr">
        <is>
          <t>PZ/6</t>
        </is>
      </c>
      <c r="G26" t="inlineStr">
        <is>
          <t>TAK</t>
        </is>
      </c>
      <c r="H26" t="inlineStr">
        <is>
          <t>Deklaracja</t>
        </is>
      </c>
      <c r="I26" s="20" t="n">
        <v>88</v>
      </c>
      <c r="J26" t="inlineStr">
        <is>
          <t>MP</t>
        </is>
      </c>
      <c r="K26" s="21" t="n">
        <v>70</v>
      </c>
      <c r="L26" s="21" t="n">
        <v>6864</v>
      </c>
      <c r="M26" s="21" t="n">
        <v>0</v>
      </c>
      <c r="N26" t="inlineStr">
        <is>
          <t>Zrębka Produkcyjna Leśna</t>
        </is>
      </c>
      <c r="O26" t="inlineStr">
        <is>
          <t>B</t>
        </is>
      </c>
      <c r="Q26" s="21" t="n">
        <v>0</v>
      </c>
      <c r="R26" t="inlineStr">
        <is>
          <t>Nowatrans</t>
        </is>
      </c>
      <c r="S26" t="inlineStr">
        <is>
          <t>WND 3546F</t>
        </is>
      </c>
      <c r="T26" s="22" t="n">
        <v>110</v>
      </c>
      <c r="U26" s="21" t="n">
        <v>5</v>
      </c>
      <c r="V26" s="21" t="n">
        <v>550</v>
      </c>
      <c r="W26" t="inlineStr">
        <is>
          <t>Magazyn Zabrze</t>
        </is>
      </c>
      <c r="X26" t="inlineStr">
        <is>
          <t>Myszków</t>
        </is>
      </c>
      <c r="Z26" t="inlineStr">
        <is>
          <t>Roesner Mateusz</t>
        </is>
      </c>
      <c r="AA26" s="23" t="n">
        <v>46212.33403935185</v>
      </c>
      <c r="AB26" t="inlineStr">
        <is>
          <t>OP-MIGR-00022</t>
        </is>
      </c>
      <c r="AD26" t="inlineStr">
        <is>
          <t>AKTYWNY</t>
        </is>
      </c>
      <c r="AE26" s="20">
        <f>IF(I26="",0,IF(ISNUMBER(SEARCH("MP",UPPER(J26))),I26,IF(ISNUMBER(SEARCH("TON",UPPER(J26))),I26/Przelicznik_MP_tona,IF(ISNUMBER(SEARCH("M3",UPPER(J26))),I26*Przelicznik_M3_MP,IF(ISNUMBER(SEARCH("GJ",UPPER(J26))),I26/Przelicznik_GJ_tona/Przelicznik_MP_tona,I26)))))</f>
        <v/>
      </c>
      <c r="AF26" s="20">
        <f>IF(I26="",0,IF(ISNUMBER(SEARCH("TON",UPPER(J26))),I26,IF(ISNUMBER(SEARCH("GJ",UPPER(J26))),I26/Przelicznik_GJ_tona,AE26*Przelicznik_MP_tona)))</f>
        <v/>
      </c>
      <c r="AG26" s="20">
        <f>AF26*Przelicznik_GJ_tona</f>
        <v/>
      </c>
      <c r="AH26" s="20">
        <f>IF(UPPER(AD26)="SKORYGOWANY",0,IF(OR(UPPER(E26)="TRANSPORT",UPPER(E26)="MM"),0,IF(UPPER(G26)&lt;&gt;"TAK",0,IF(OR(UPPER(E26)="ZAKUP",UPPER(E26)="PRODUKCJA"),AE26,IF(OR(UPPER(E26)="SPRZEDAŻ",UPPER(E26)="ZUŻYCIE"),-AE26,0)))))</f>
        <v/>
      </c>
      <c r="AI26" s="20">
        <f>IF(UPPER(AD26)="SKORYGOWANY",0,IF(OR(UPPER(E26)="TRANSPORT",UPPER(E26)="MM"),0,IF(UPPER(G26)&lt;&gt;"TAK",0,IF(OR(UPPER(E26)="ZAKUP",UPPER(E26)="PRODUKCJA"),AF26,IF(OR(UPPER(E26)="SPRZEDAŻ",UPPER(E26)="ZUŻYCIE"),-AF26,0)))))</f>
        <v/>
      </c>
      <c r="AJ26" s="21">
        <f>IF(UPPER(AD26)="SKORYGOWANY",0,IF(UPPER(E26)="ZAKUP",IF(L26&lt;&gt;"",L26,I26*K26),0))</f>
        <v/>
      </c>
      <c r="AK26" s="21">
        <f>IF(UPPER(AD26)="SKORYGOWANY",0,IF(UPPER(E26)="SPRZEDAŻ",IF(L26&lt;&gt;"",L26,I26*M26),0))</f>
        <v/>
      </c>
      <c r="AL26" s="21">
        <f>AE26*Q26</f>
        <v/>
      </c>
      <c r="AM26">
        <f>IF(R26="","",IF(LOWER(R26)="brak","Brak",IF(OR(ISNUMBER(SEARCH("własn",LOWER(R26))),ISNUMBER(SEARCH("wlasn",LOWER(R26))),ISNUMBER(SEARCH("wojciechowski",LOWER(R26)))),"Własny","Zewnętrzny")))</f>
        <v/>
      </c>
      <c r="AN26" s="24">
        <f>IF(C26="","",YEAR(C26))</f>
        <v/>
      </c>
      <c r="AO26" s="24">
        <f>IF(C26="","",MONTH(C26))</f>
        <v/>
      </c>
      <c r="AP26">
        <f>IF(C26="","",UPPER(TEXT(C26,"mmmm")))</f>
        <v/>
      </c>
      <c r="AQ26">
        <f>IF(C26="","","Q"&amp;ROUNDUP(MONTH(C26)/3,0))</f>
        <v/>
      </c>
    </row>
    <row r="27">
      <c r="A27" s="19" t="n">
        <v>46210</v>
      </c>
      <c r="C27" s="19" t="n">
        <v>46210</v>
      </c>
      <c r="D27" t="inlineStr">
        <is>
          <t>Lander Agro</t>
        </is>
      </c>
      <c r="E27" t="inlineStr">
        <is>
          <t>PRODUKCJA</t>
        </is>
      </c>
      <c r="F27" t="inlineStr">
        <is>
          <t>PZ/7</t>
        </is>
      </c>
      <c r="G27" t="inlineStr">
        <is>
          <t>TAK</t>
        </is>
      </c>
      <c r="H27" t="inlineStr">
        <is>
          <t>Deklaracja</t>
        </is>
      </c>
      <c r="I27" s="20" t="n">
        <v>88</v>
      </c>
      <c r="J27" t="inlineStr">
        <is>
          <t>MP</t>
        </is>
      </c>
      <c r="K27" s="21" t="n">
        <v>0</v>
      </c>
      <c r="L27" s="21" t="n">
        <v>0</v>
      </c>
      <c r="M27" s="21" t="n">
        <v>0</v>
      </c>
      <c r="N27" t="inlineStr">
        <is>
          <t>Zrębka Produkcyjna Leśna</t>
        </is>
      </c>
      <c r="P27" t="inlineStr">
        <is>
          <t>własne</t>
        </is>
      </c>
      <c r="Q27" s="21" t="n">
        <v>10</v>
      </c>
      <c r="T27" s="22" t="n">
        <v>0</v>
      </c>
      <c r="U27" s="21" t="n">
        <v>0</v>
      </c>
      <c r="V27" s="21" t="n">
        <v>0</v>
      </c>
      <c r="W27" t="inlineStr">
        <is>
          <t>Magazyn Zabrze</t>
        </is>
      </c>
      <c r="X27" t="inlineStr">
        <is>
          <t>Myszków</t>
        </is>
      </c>
      <c r="Y27" t="inlineStr">
        <is>
          <t>Automatyczna produkcja z zakupionego surowca</t>
        </is>
      </c>
      <c r="AA27" s="23" t="n">
        <v>46212.33627314815</v>
      </c>
      <c r="AB27" t="inlineStr">
        <is>
          <t>OP-MIGR-00014</t>
        </is>
      </c>
      <c r="AD27" t="inlineStr">
        <is>
          <t>AKTYWNY</t>
        </is>
      </c>
      <c r="AE27" s="20">
        <f>IF(I27="",0,IF(ISNUMBER(SEARCH("MP",UPPER(J27))),I27,IF(ISNUMBER(SEARCH("TON",UPPER(J27))),I27/Przelicznik_MP_tona,IF(ISNUMBER(SEARCH("M3",UPPER(J27))),I27*Przelicznik_M3_MP,IF(ISNUMBER(SEARCH("GJ",UPPER(J27))),I27/Przelicznik_GJ_tona/Przelicznik_MP_tona,I27)))))</f>
        <v/>
      </c>
      <c r="AF27" s="20">
        <f>IF(I27="",0,IF(ISNUMBER(SEARCH("TON",UPPER(J27))),I27,IF(ISNUMBER(SEARCH("GJ",UPPER(J27))),I27/Przelicznik_GJ_tona,AE27*Przelicznik_MP_tona)))</f>
        <v/>
      </c>
      <c r="AG27" s="20">
        <f>AF27*Przelicznik_GJ_tona</f>
        <v/>
      </c>
      <c r="AH27" s="20">
        <f>IF(UPPER(AD27)="SKORYGOWANY",0,IF(OR(UPPER(E27)="TRANSPORT",UPPER(E27)="MM"),0,IF(UPPER(G27)&lt;&gt;"TAK",0,IF(OR(UPPER(E27)="ZAKUP",UPPER(E27)="PRODUKCJA"),AE27,IF(OR(UPPER(E27)="SPRZEDAŻ",UPPER(E27)="ZUŻYCIE"),-AE27,0)))))</f>
        <v/>
      </c>
      <c r="AI27" s="20">
        <f>IF(UPPER(AD27)="SKORYGOWANY",0,IF(OR(UPPER(E27)="TRANSPORT",UPPER(E27)="MM"),0,IF(UPPER(G27)&lt;&gt;"TAK",0,IF(OR(UPPER(E27)="ZAKUP",UPPER(E27)="PRODUKCJA"),AF27,IF(OR(UPPER(E27)="SPRZEDAŻ",UPPER(E27)="ZUŻYCIE"),-AF27,0)))))</f>
        <v/>
      </c>
      <c r="AJ27" s="21">
        <f>IF(UPPER(AD27)="SKORYGOWANY",0,IF(UPPER(E27)="ZAKUP",IF(L27&lt;&gt;"",L27,I27*K27),0))</f>
        <v/>
      </c>
      <c r="AK27" s="21">
        <f>IF(UPPER(AD27)="SKORYGOWANY",0,IF(UPPER(E27)="SPRZEDAŻ",IF(L27&lt;&gt;"",L27,I27*M27),0))</f>
        <v/>
      </c>
      <c r="AL27" s="21">
        <f>AE27*Q27</f>
        <v/>
      </c>
      <c r="AM27">
        <f>IF(R27="","",IF(LOWER(R27)="brak","Brak",IF(OR(ISNUMBER(SEARCH("własn",LOWER(R27))),ISNUMBER(SEARCH("wlasn",LOWER(R27))),ISNUMBER(SEARCH("wojciechowski",LOWER(R27)))),"Własny","Zewnętrzny")))</f>
        <v/>
      </c>
      <c r="AN27" s="24">
        <f>IF(C27="","",YEAR(C27))</f>
        <v/>
      </c>
      <c r="AO27" s="24">
        <f>IF(C27="","",MONTH(C27))</f>
        <v/>
      </c>
      <c r="AP27">
        <f>IF(C27="","",UPPER(TEXT(C27,"mmmm")))</f>
        <v/>
      </c>
      <c r="AQ27">
        <f>IF(C27="","","Q"&amp;ROUNDUP(MONTH(C27)/3,0))</f>
        <v/>
      </c>
    </row>
    <row r="28">
      <c r="A28" s="19" t="n">
        <v>46210</v>
      </c>
      <c r="C28" s="19" t="n">
        <v>46210</v>
      </c>
      <c r="D28" t="inlineStr">
        <is>
          <t>Lander Agro</t>
        </is>
      </c>
      <c r="E28" t="inlineStr">
        <is>
          <t>ZAKUP</t>
        </is>
      </c>
      <c r="F28" t="inlineStr">
        <is>
          <t>PZ/7</t>
        </is>
      </c>
      <c r="G28" t="inlineStr">
        <is>
          <t>NIE</t>
        </is>
      </c>
      <c r="H28" t="inlineStr">
        <is>
          <t>Deklaracja</t>
        </is>
      </c>
      <c r="I28" s="20" t="n">
        <v>88</v>
      </c>
      <c r="J28" t="inlineStr">
        <is>
          <t>MP</t>
        </is>
      </c>
      <c r="K28" s="21" t="n">
        <v>78</v>
      </c>
      <c r="L28" s="21" t="n">
        <v>6864</v>
      </c>
      <c r="M28" s="21" t="n">
        <v>0</v>
      </c>
      <c r="N28" t="inlineStr">
        <is>
          <t>Drewno opałowe z lasu</t>
        </is>
      </c>
      <c r="P28" t="inlineStr">
        <is>
          <t>własne</t>
        </is>
      </c>
      <c r="Q28" s="21" t="n">
        <v>10</v>
      </c>
      <c r="T28" s="22" t="n">
        <v>0</v>
      </c>
      <c r="U28" s="21" t="n">
        <v>0</v>
      </c>
      <c r="V28" s="21" t="n">
        <v>0</v>
      </c>
      <c r="W28" t="inlineStr">
        <is>
          <t>Magazyn Zabrze</t>
        </is>
      </c>
      <c r="X28" t="inlineStr">
        <is>
          <t>Myszków</t>
        </is>
      </c>
      <c r="Z28" t="inlineStr">
        <is>
          <t>Roesner Mateusz</t>
        </is>
      </c>
      <c r="AA28" s="23" t="n">
        <v>46212.33627314815</v>
      </c>
      <c r="AB28" t="inlineStr">
        <is>
          <t>OP-MIGR-00023</t>
        </is>
      </c>
      <c r="AD28" t="inlineStr">
        <is>
          <t>AKTYWNY</t>
        </is>
      </c>
      <c r="AE28" s="20">
        <f>IF(I28="",0,IF(ISNUMBER(SEARCH("MP",UPPER(J28))),I28,IF(ISNUMBER(SEARCH("TON",UPPER(J28))),I28/Przelicznik_MP_tona,IF(ISNUMBER(SEARCH("M3",UPPER(J28))),I28*Przelicznik_M3_MP,IF(ISNUMBER(SEARCH("GJ",UPPER(J28))),I28/Przelicznik_GJ_tona/Przelicznik_MP_tona,I28)))))</f>
        <v/>
      </c>
      <c r="AF28" s="20">
        <f>IF(I28="",0,IF(ISNUMBER(SEARCH("TON",UPPER(J28))),I28,IF(ISNUMBER(SEARCH("GJ",UPPER(J28))),I28/Przelicznik_GJ_tona,AE28*Przelicznik_MP_tona)))</f>
        <v/>
      </c>
      <c r="AG28" s="20">
        <f>AF28*Przelicznik_GJ_tona</f>
        <v/>
      </c>
      <c r="AH28" s="20">
        <f>IF(UPPER(AD28)="SKORYGOWANY",0,IF(OR(UPPER(E28)="TRANSPORT",UPPER(E28)="MM"),0,IF(UPPER(G28)&lt;&gt;"TAK",0,IF(OR(UPPER(E28)="ZAKUP",UPPER(E28)="PRODUKCJA"),AE28,IF(OR(UPPER(E28)="SPRZEDAŻ",UPPER(E28)="ZUŻYCIE"),-AE28,0)))))</f>
        <v/>
      </c>
      <c r="AI28" s="20">
        <f>IF(UPPER(AD28)="SKORYGOWANY",0,IF(OR(UPPER(E28)="TRANSPORT",UPPER(E28)="MM"),0,IF(UPPER(G28)&lt;&gt;"TAK",0,IF(OR(UPPER(E28)="ZAKUP",UPPER(E28)="PRODUKCJA"),AF28,IF(OR(UPPER(E28)="SPRZEDAŻ",UPPER(E28)="ZUŻYCIE"),-AF28,0)))))</f>
        <v/>
      </c>
      <c r="AJ28" s="21">
        <f>IF(UPPER(AD28)="SKORYGOWANY",0,IF(UPPER(E28)="ZAKUP",IF(L28&lt;&gt;"",L28,I28*K28),0))</f>
        <v/>
      </c>
      <c r="AK28" s="21">
        <f>IF(UPPER(AD28)="SKORYGOWANY",0,IF(UPPER(E28)="SPRZEDAŻ",IF(L28&lt;&gt;"",L28,I28*M28),0))</f>
        <v/>
      </c>
      <c r="AL28" s="21">
        <f>AE28*Q28</f>
        <v/>
      </c>
      <c r="AM28">
        <f>IF(R28="","",IF(LOWER(R28)="brak","Brak",IF(OR(ISNUMBER(SEARCH("własn",LOWER(R28))),ISNUMBER(SEARCH("wlasn",LOWER(R28))),ISNUMBER(SEARCH("wojciechowski",LOWER(R28)))),"Własny","Zewnętrzny")))</f>
        <v/>
      </c>
      <c r="AN28" s="24">
        <f>IF(C28="","",YEAR(C28))</f>
        <v/>
      </c>
      <c r="AO28" s="24">
        <f>IF(C28="","",MONTH(C28))</f>
        <v/>
      </c>
      <c r="AP28">
        <f>IF(C28="","",UPPER(TEXT(C28,"mmmm")))</f>
        <v/>
      </c>
      <c r="AQ28">
        <f>IF(C28="","","Q"&amp;ROUNDUP(MONTH(C28)/3,0))</f>
        <v/>
      </c>
    </row>
    <row r="29">
      <c r="A29" s="19" t="n">
        <v>46210</v>
      </c>
      <c r="C29" s="19" t="n">
        <v>46210</v>
      </c>
      <c r="D29" t="inlineStr">
        <is>
          <t>Lander Agro</t>
        </is>
      </c>
      <c r="E29" t="inlineStr">
        <is>
          <t>ZUŻYCIE</t>
        </is>
      </c>
      <c r="F29" t="inlineStr">
        <is>
          <t>PZ/7</t>
        </is>
      </c>
      <c r="G29" t="inlineStr">
        <is>
          <t>NIE</t>
        </is>
      </c>
      <c r="H29" t="inlineStr">
        <is>
          <t>Deklaracja</t>
        </is>
      </c>
      <c r="I29" s="20" t="n">
        <v>88</v>
      </c>
      <c r="J29" t="inlineStr">
        <is>
          <t>MP</t>
        </is>
      </c>
      <c r="K29" s="21" t="n">
        <v>0</v>
      </c>
      <c r="L29" s="21" t="n">
        <v>0</v>
      </c>
      <c r="M29" s="21" t="n">
        <v>0</v>
      </c>
      <c r="N29" t="inlineStr">
        <is>
          <t>Drewno opałowe z lasu</t>
        </is>
      </c>
      <c r="P29" t="inlineStr">
        <is>
          <t>własne</t>
        </is>
      </c>
      <c r="Q29" s="21" t="n">
        <v>10</v>
      </c>
      <c r="T29" s="22" t="n">
        <v>0</v>
      </c>
      <c r="U29" s="21" t="n">
        <v>0</v>
      </c>
      <c r="V29" s="21" t="n">
        <v>0</v>
      </c>
      <c r="W29" t="inlineStr">
        <is>
          <t>Magazyn Zabrze</t>
        </is>
      </c>
      <c r="X29" t="inlineStr">
        <is>
          <t>Myszków</t>
        </is>
      </c>
      <c r="Y29" t="inlineStr">
        <is>
          <t>Automatyczne zużycie surowca</t>
        </is>
      </c>
      <c r="AA29" s="23" t="n">
        <v>46212.33627314815</v>
      </c>
      <c r="AB29" t="inlineStr">
        <is>
          <t>OP-MIGR-00030</t>
        </is>
      </c>
      <c r="AD29" t="inlineStr">
        <is>
          <t>AKTYWNY</t>
        </is>
      </c>
      <c r="AE29" s="20">
        <f>IF(I29="",0,IF(ISNUMBER(SEARCH("MP",UPPER(J29))),I29,IF(ISNUMBER(SEARCH("TON",UPPER(J29))),I29/Przelicznik_MP_tona,IF(ISNUMBER(SEARCH("M3",UPPER(J29))),I29*Przelicznik_M3_MP,IF(ISNUMBER(SEARCH("GJ",UPPER(J29))),I29/Przelicznik_GJ_tona/Przelicznik_MP_tona,I29)))))</f>
        <v/>
      </c>
      <c r="AF29" s="20">
        <f>IF(I29="",0,IF(ISNUMBER(SEARCH("TON",UPPER(J29))),I29,IF(ISNUMBER(SEARCH("GJ",UPPER(J29))),I29/Przelicznik_GJ_tona,AE29*Przelicznik_MP_tona)))</f>
        <v/>
      </c>
      <c r="AG29" s="20">
        <f>AF29*Przelicznik_GJ_tona</f>
        <v/>
      </c>
      <c r="AH29" s="20">
        <f>IF(UPPER(AD29)="SKORYGOWANY",0,IF(OR(UPPER(E29)="TRANSPORT",UPPER(E29)="MM"),0,IF(UPPER(G29)&lt;&gt;"TAK",0,IF(OR(UPPER(E29)="ZAKUP",UPPER(E29)="PRODUKCJA"),AE29,IF(OR(UPPER(E29)="SPRZEDAŻ",UPPER(E29)="ZUŻYCIE"),-AE29,0)))))</f>
        <v/>
      </c>
      <c r="AI29" s="20">
        <f>IF(UPPER(AD29)="SKORYGOWANY",0,IF(OR(UPPER(E29)="TRANSPORT",UPPER(E29)="MM"),0,IF(UPPER(G29)&lt;&gt;"TAK",0,IF(OR(UPPER(E29)="ZAKUP",UPPER(E29)="PRODUKCJA"),AF29,IF(OR(UPPER(E29)="SPRZEDAŻ",UPPER(E29)="ZUŻYCIE"),-AF29,0)))))</f>
        <v/>
      </c>
      <c r="AJ29" s="21">
        <f>IF(UPPER(AD29)="SKORYGOWANY",0,IF(UPPER(E29)="ZAKUP",IF(L29&lt;&gt;"",L29,I29*K29),0))</f>
        <v/>
      </c>
      <c r="AK29" s="21">
        <f>IF(UPPER(AD29)="SKORYGOWANY",0,IF(UPPER(E29)="SPRZEDAŻ",IF(L29&lt;&gt;"",L29,I29*M29),0))</f>
        <v/>
      </c>
      <c r="AL29" s="21">
        <f>AE29*Q29</f>
        <v/>
      </c>
      <c r="AM29">
        <f>IF(R29="","",IF(LOWER(R29)="brak","Brak",IF(OR(ISNUMBER(SEARCH("własn",LOWER(R29))),ISNUMBER(SEARCH("wlasn",LOWER(R29))),ISNUMBER(SEARCH("wojciechowski",LOWER(R29)))),"Własny","Zewnętrzny")))</f>
        <v/>
      </c>
      <c r="AN29" s="24">
        <f>IF(C29="","",YEAR(C29))</f>
        <v/>
      </c>
      <c r="AO29" s="24">
        <f>IF(C29="","",MONTH(C29))</f>
        <v/>
      </c>
      <c r="AP29">
        <f>IF(C29="","",UPPER(TEXT(C29,"mmmm")))</f>
        <v/>
      </c>
      <c r="AQ29">
        <f>IF(C29="","","Q"&amp;ROUNDUP(MONTH(C29)/3,0))</f>
        <v/>
      </c>
    </row>
    <row r="30">
      <c r="A30" s="19" t="n">
        <v>46210</v>
      </c>
      <c r="B30" t="inlineStr">
        <is>
          <t>Myszków</t>
        </is>
      </c>
      <c r="C30" s="19" t="n">
        <v>46210</v>
      </c>
      <c r="D30" t="inlineStr">
        <is>
          <t>Magazyn Zabrze</t>
        </is>
      </c>
      <c r="E30" t="inlineStr">
        <is>
          <t>ZAKUP</t>
        </is>
      </c>
      <c r="F30" t="inlineStr">
        <is>
          <t>PZ/7</t>
        </is>
      </c>
      <c r="G30" t="inlineStr">
        <is>
          <t>TAK</t>
        </is>
      </c>
      <c r="H30" t="inlineStr">
        <is>
          <t>Deklaracja</t>
        </is>
      </c>
      <c r="I30" s="20" t="n">
        <v>88</v>
      </c>
      <c r="J30" t="inlineStr">
        <is>
          <t>MP</t>
        </is>
      </c>
      <c r="K30" s="21" t="n">
        <v>70</v>
      </c>
      <c r="L30" s="21" t="n">
        <v>6864</v>
      </c>
      <c r="M30" s="21" t="n">
        <v>0</v>
      </c>
      <c r="N30" t="inlineStr">
        <is>
          <t>Zrębka Produkcyjna Leśna</t>
        </is>
      </c>
      <c r="O30" t="inlineStr">
        <is>
          <t>B</t>
        </is>
      </c>
      <c r="Q30" s="21" t="n">
        <v>0</v>
      </c>
      <c r="R30" t="inlineStr">
        <is>
          <t>własny (Kretek)</t>
        </is>
      </c>
      <c r="S30" t="inlineStr">
        <is>
          <t>SK 7J885</t>
        </is>
      </c>
      <c r="T30" s="22" t="n">
        <v>110</v>
      </c>
      <c r="U30" s="21" t="n">
        <v>5</v>
      </c>
      <c r="V30" s="21" t="n">
        <v>550</v>
      </c>
      <c r="W30" t="inlineStr">
        <is>
          <t>Magazyn Zabrze</t>
        </is>
      </c>
      <c r="X30" t="inlineStr">
        <is>
          <t>Myszków</t>
        </is>
      </c>
      <c r="Z30" t="inlineStr">
        <is>
          <t>Roesner Mateusz</t>
        </is>
      </c>
      <c r="AA30" s="23" t="n">
        <v>46212.33739583333</v>
      </c>
      <c r="AB30" t="inlineStr">
        <is>
          <t>OP-MIGR-00024</t>
        </is>
      </c>
      <c r="AD30" t="inlineStr">
        <is>
          <t>AKTYWNY</t>
        </is>
      </c>
      <c r="AE30" s="20">
        <f>IF(I30="",0,IF(ISNUMBER(SEARCH("MP",UPPER(J30))),I30,IF(ISNUMBER(SEARCH("TON",UPPER(J30))),I30/Przelicznik_MP_tona,IF(ISNUMBER(SEARCH("M3",UPPER(J30))),I30*Przelicznik_M3_MP,IF(ISNUMBER(SEARCH("GJ",UPPER(J30))),I30/Przelicznik_GJ_tona/Przelicznik_MP_tona,I30)))))</f>
        <v/>
      </c>
      <c r="AF30" s="20">
        <f>IF(I30="",0,IF(ISNUMBER(SEARCH("TON",UPPER(J30))),I30,IF(ISNUMBER(SEARCH("GJ",UPPER(J30))),I30/Przelicznik_GJ_tona,AE30*Przelicznik_MP_tona)))</f>
        <v/>
      </c>
      <c r="AG30" s="20">
        <f>AF30*Przelicznik_GJ_tona</f>
        <v/>
      </c>
      <c r="AH30" s="20">
        <f>IF(UPPER(AD30)="SKORYGOWANY",0,IF(OR(UPPER(E30)="TRANSPORT",UPPER(E30)="MM"),0,IF(UPPER(G30)&lt;&gt;"TAK",0,IF(OR(UPPER(E30)="ZAKUP",UPPER(E30)="PRODUKCJA"),AE30,IF(OR(UPPER(E30)="SPRZEDAŻ",UPPER(E30)="ZUŻYCIE"),-AE30,0)))))</f>
        <v/>
      </c>
      <c r="AI30" s="20">
        <f>IF(UPPER(AD30)="SKORYGOWANY",0,IF(OR(UPPER(E30)="TRANSPORT",UPPER(E30)="MM"),0,IF(UPPER(G30)&lt;&gt;"TAK",0,IF(OR(UPPER(E30)="ZAKUP",UPPER(E30)="PRODUKCJA"),AF30,IF(OR(UPPER(E30)="SPRZEDAŻ",UPPER(E30)="ZUŻYCIE"),-AF30,0)))))</f>
        <v/>
      </c>
      <c r="AJ30" s="21">
        <f>IF(UPPER(AD30)="SKORYGOWANY",0,IF(UPPER(E30)="ZAKUP",IF(L30&lt;&gt;"",L30,I30*K30),0))</f>
        <v/>
      </c>
      <c r="AK30" s="21">
        <f>IF(UPPER(AD30)="SKORYGOWANY",0,IF(UPPER(E30)="SPRZEDAŻ",IF(L30&lt;&gt;"",L30,I30*M30),0))</f>
        <v/>
      </c>
      <c r="AL30" s="21">
        <f>AE30*Q30</f>
        <v/>
      </c>
      <c r="AM30">
        <f>IF(R30="","",IF(LOWER(R30)="brak","Brak",IF(OR(ISNUMBER(SEARCH("własn",LOWER(R30))),ISNUMBER(SEARCH("wlasn",LOWER(R30))),ISNUMBER(SEARCH("wojciechowski",LOWER(R30)))),"Własny","Zewnętrzny")))</f>
        <v/>
      </c>
      <c r="AN30" s="24">
        <f>IF(C30="","",YEAR(C30))</f>
        <v/>
      </c>
      <c r="AO30" s="24">
        <f>IF(C30="","",MONTH(C30))</f>
        <v/>
      </c>
      <c r="AP30">
        <f>IF(C30="","",UPPER(TEXT(C30,"mmmm")))</f>
        <v/>
      </c>
      <c r="AQ30">
        <f>IF(C30="","","Q"&amp;ROUNDUP(MONTH(C30)/3,0))</f>
        <v/>
      </c>
    </row>
    <row r="31">
      <c r="A31" s="19" t="n">
        <v>46210</v>
      </c>
      <c r="C31" s="19" t="n">
        <v>46210</v>
      </c>
      <c r="D31" t="inlineStr">
        <is>
          <t>Drewnex</t>
        </is>
      </c>
      <c r="E31" t="inlineStr">
        <is>
          <t>ZAKUP</t>
        </is>
      </c>
      <c r="F31" t="inlineStr">
        <is>
          <t>PZ/8</t>
        </is>
      </c>
      <c r="G31" t="inlineStr">
        <is>
          <t>TAK</t>
        </is>
      </c>
      <c r="H31" t="inlineStr">
        <is>
          <t>KZR</t>
        </is>
      </c>
      <c r="I31" s="20" t="n">
        <v>26.36</v>
      </c>
      <c r="J31" t="inlineStr">
        <is>
          <t>TON</t>
        </is>
      </c>
      <c r="K31" s="21" t="n">
        <v>265</v>
      </c>
      <c r="L31" s="21" t="n">
        <v>6985.4</v>
      </c>
      <c r="M31" s="21" t="n">
        <v>0</v>
      </c>
      <c r="N31" t="inlineStr">
        <is>
          <t>Zrębka towar</t>
        </is>
      </c>
      <c r="Q31" s="21" t="n">
        <v>0</v>
      </c>
      <c r="T31" s="22" t="n">
        <v>0</v>
      </c>
      <c r="U31" s="21" t="n">
        <v>0</v>
      </c>
      <c r="V31" s="21" t="n">
        <v>0</v>
      </c>
      <c r="W31" t="inlineStr">
        <is>
          <t>Magazyn Zabrze</t>
        </is>
      </c>
      <c r="Z31" t="inlineStr">
        <is>
          <t>Roesner Mateusz</t>
        </is>
      </c>
      <c r="AA31" s="23" t="n">
        <v>46216.53043981481</v>
      </c>
      <c r="AB31" t="inlineStr">
        <is>
          <t>OP-MIGR-00025</t>
        </is>
      </c>
      <c r="AD31" t="inlineStr">
        <is>
          <t>AKTYWNY</t>
        </is>
      </c>
      <c r="AE31" s="20">
        <f>IF(I31="",0,IF(ISNUMBER(SEARCH("MP",UPPER(J31))),I31,IF(ISNUMBER(SEARCH("TON",UPPER(J31))),I31/Przelicznik_MP_tona,IF(ISNUMBER(SEARCH("M3",UPPER(J31))),I31*Przelicznik_M3_MP,IF(ISNUMBER(SEARCH("GJ",UPPER(J31))),I31/Przelicznik_GJ_tona/Przelicznik_MP_tona,I31)))))</f>
        <v/>
      </c>
      <c r="AF31" s="20">
        <f>IF(I31="",0,IF(ISNUMBER(SEARCH("TON",UPPER(J31))),I31,IF(ISNUMBER(SEARCH("GJ",UPPER(J31))),I31/Przelicznik_GJ_tona,AE31*Przelicznik_MP_tona)))</f>
        <v/>
      </c>
      <c r="AG31" s="20">
        <f>AF31*Przelicznik_GJ_tona</f>
        <v/>
      </c>
      <c r="AH31" s="20">
        <f>IF(UPPER(AD31)="SKORYGOWANY",0,IF(OR(UPPER(E31)="TRANSPORT",UPPER(E31)="MM"),0,IF(UPPER(G31)&lt;&gt;"TAK",0,IF(OR(UPPER(E31)="ZAKUP",UPPER(E31)="PRODUKCJA"),AE31,IF(OR(UPPER(E31)="SPRZEDAŻ",UPPER(E31)="ZUŻYCIE"),-AE31,0)))))</f>
        <v/>
      </c>
      <c r="AI31" s="20">
        <f>IF(UPPER(AD31)="SKORYGOWANY",0,IF(OR(UPPER(E31)="TRANSPORT",UPPER(E31)="MM"),0,IF(UPPER(G31)&lt;&gt;"TAK",0,IF(OR(UPPER(E31)="ZAKUP",UPPER(E31)="PRODUKCJA"),AF31,IF(OR(UPPER(E31)="SPRZEDAŻ",UPPER(E31)="ZUŻYCIE"),-AF31,0)))))</f>
        <v/>
      </c>
      <c r="AJ31" s="21">
        <f>IF(UPPER(AD31)="SKORYGOWANY",0,IF(UPPER(E31)="ZAKUP",IF(L31&lt;&gt;"",L31,I31*K31),0))</f>
        <v/>
      </c>
      <c r="AK31" s="21">
        <f>IF(UPPER(AD31)="SKORYGOWANY",0,IF(UPPER(E31)="SPRZEDAŻ",IF(L31&lt;&gt;"",L31,I31*M31),0))</f>
        <v/>
      </c>
      <c r="AL31" s="21">
        <f>AE31*Q31</f>
        <v/>
      </c>
      <c r="AM31">
        <f>IF(R31="","",IF(LOWER(R31)="brak","Brak",IF(OR(ISNUMBER(SEARCH("własn",LOWER(R31))),ISNUMBER(SEARCH("wlasn",LOWER(R31))),ISNUMBER(SEARCH("wojciechowski",LOWER(R31)))),"Własny","Zewnętrzny")))</f>
        <v/>
      </c>
      <c r="AN31" s="24">
        <f>IF(C31="","",YEAR(C31))</f>
        <v/>
      </c>
      <c r="AO31" s="24">
        <f>IF(C31="","",MONTH(C31))</f>
        <v/>
      </c>
      <c r="AP31">
        <f>IF(C31="","",UPPER(TEXT(C31,"mmmm")))</f>
        <v/>
      </c>
      <c r="AQ31">
        <f>IF(C31="","","Q"&amp;ROUNDUP(MONTH(C31)/3,0))</f>
        <v/>
      </c>
    </row>
    <row r="32">
      <c r="A32" s="19" t="n">
        <v>46211</v>
      </c>
      <c r="B32" t="inlineStr">
        <is>
          <t>Magazyn Pyskowice</t>
        </is>
      </c>
      <c r="C32" s="19" t="n">
        <v>46211</v>
      </c>
      <c r="D32" t="inlineStr">
        <is>
          <t>Magazyn Pyskowice</t>
        </is>
      </c>
      <c r="E32" t="inlineStr">
        <is>
          <t>MM</t>
        </is>
      </c>
      <c r="F32" t="inlineStr">
        <is>
          <t>MM-1</t>
        </is>
      </c>
      <c r="G32" t="inlineStr">
        <is>
          <t>TAK</t>
        </is>
      </c>
      <c r="I32" s="20" t="n">
        <v>86</v>
      </c>
      <c r="J32" t="inlineStr">
        <is>
          <t>MP</t>
        </is>
      </c>
      <c r="K32" s="21" t="n">
        <v>0</v>
      </c>
      <c r="L32" s="21" t="n">
        <v>0</v>
      </c>
      <c r="M32" s="21" t="n">
        <v>0</v>
      </c>
      <c r="N32" t="inlineStr">
        <is>
          <t>Zrębka Produkcyjna Leśna</t>
        </is>
      </c>
      <c r="O32" t="inlineStr">
        <is>
          <t>B</t>
        </is>
      </c>
      <c r="Q32" s="21" t="n">
        <v>0</v>
      </c>
      <c r="R32" t="inlineStr">
        <is>
          <t>własny (Wilczak)</t>
        </is>
      </c>
      <c r="S32" t="inlineStr">
        <is>
          <t>SK 7J884</t>
        </is>
      </c>
      <c r="T32" s="22" t="n">
        <v>40</v>
      </c>
      <c r="U32" s="21" t="n">
        <v>5</v>
      </c>
      <c r="V32" s="21" t="n">
        <v>200</v>
      </c>
      <c r="W32" t="inlineStr">
        <is>
          <t>Magazyn Zabrze</t>
        </is>
      </c>
      <c r="X32" t="inlineStr">
        <is>
          <t>Magazyn Pyskowice</t>
        </is>
      </c>
      <c r="Z32" t="inlineStr">
        <is>
          <t>Roesner Mateusz</t>
        </is>
      </c>
      <c r="AA32" s="23" t="n">
        <v>46212.03097222222</v>
      </c>
      <c r="AB32" t="inlineStr">
        <is>
          <t>OP-MIGR-00031</t>
        </is>
      </c>
      <c r="AD32" t="inlineStr">
        <is>
          <t>AKTYWNY</t>
        </is>
      </c>
      <c r="AE32" s="20">
        <f>IF(I32="",0,IF(ISNUMBER(SEARCH("MP",UPPER(J32))),I32,IF(ISNUMBER(SEARCH("TON",UPPER(J32))),I32/Przelicznik_MP_tona,IF(ISNUMBER(SEARCH("M3",UPPER(J32))),I32*Przelicznik_M3_MP,IF(ISNUMBER(SEARCH("GJ",UPPER(J32))),I32/Przelicznik_GJ_tona/Przelicznik_MP_tona,I32)))))</f>
        <v/>
      </c>
      <c r="AF32" s="20">
        <f>IF(I32="",0,IF(ISNUMBER(SEARCH("TON",UPPER(J32))),I32,IF(ISNUMBER(SEARCH("GJ",UPPER(J32))),I32/Przelicznik_GJ_tona,AE32*Przelicznik_MP_tona)))</f>
        <v/>
      </c>
      <c r="AG32" s="20">
        <f>AF32*Przelicznik_GJ_tona</f>
        <v/>
      </c>
      <c r="AH32" s="20">
        <f>IF(UPPER(AD32)="SKORYGOWANY",0,IF(OR(UPPER(E32)="TRANSPORT",UPPER(E32)="MM"),0,IF(UPPER(G32)&lt;&gt;"TAK",0,IF(OR(UPPER(E32)="ZAKUP",UPPER(E32)="PRODUKCJA"),AE32,IF(OR(UPPER(E32)="SPRZEDAŻ",UPPER(E32)="ZUŻYCIE"),-AE32,0)))))</f>
        <v/>
      </c>
      <c r="AI32" s="20">
        <f>IF(UPPER(AD32)="SKORYGOWANY",0,IF(OR(UPPER(E32)="TRANSPORT",UPPER(E32)="MM"),0,IF(UPPER(G32)&lt;&gt;"TAK",0,IF(OR(UPPER(E32)="ZAKUP",UPPER(E32)="PRODUKCJA"),AF32,IF(OR(UPPER(E32)="SPRZEDAŻ",UPPER(E32)="ZUŻYCIE"),-AF32,0)))))</f>
        <v/>
      </c>
      <c r="AJ32" s="21">
        <f>IF(UPPER(AD32)="SKORYGOWANY",0,IF(UPPER(E32)="ZAKUP",IF(L32&lt;&gt;"",L32,I32*K32),0))</f>
        <v/>
      </c>
      <c r="AK32" s="21">
        <f>IF(UPPER(AD32)="SKORYGOWANY",0,IF(UPPER(E32)="SPRZEDAŻ",IF(L32&lt;&gt;"",L32,I32*M32),0))</f>
        <v/>
      </c>
      <c r="AL32" s="21">
        <f>AE32*Q32</f>
        <v/>
      </c>
      <c r="AM32">
        <f>IF(R32="","",IF(LOWER(R32)="brak","Brak",IF(OR(ISNUMBER(SEARCH("własn",LOWER(R32))),ISNUMBER(SEARCH("wlasn",LOWER(R32))),ISNUMBER(SEARCH("wojciechowski",LOWER(R32)))),"Własny","Zewnętrzny")))</f>
        <v/>
      </c>
      <c r="AN32" s="24">
        <f>IF(C32="","",YEAR(C32))</f>
        <v/>
      </c>
      <c r="AO32" s="24">
        <f>IF(C32="","",MONTH(C32))</f>
        <v/>
      </c>
      <c r="AP32">
        <f>IF(C32="","",UPPER(TEXT(C32,"mmmm")))</f>
        <v/>
      </c>
      <c r="AQ32">
        <f>IF(C32="","","Q"&amp;ROUNDUP(MONTH(C32)/3,0))</f>
        <v/>
      </c>
    </row>
    <row r="33">
      <c r="A33" s="19" t="n">
        <v>46211</v>
      </c>
      <c r="B33" t="inlineStr">
        <is>
          <t>Magazyn Pyskowice</t>
        </is>
      </c>
      <c r="C33" s="19" t="n">
        <v>46211</v>
      </c>
      <c r="D33" t="inlineStr">
        <is>
          <t>Magazyn Pyskowice</t>
        </is>
      </c>
      <c r="E33" t="inlineStr">
        <is>
          <t>MM</t>
        </is>
      </c>
      <c r="F33" t="inlineStr">
        <is>
          <t>MM-2</t>
        </is>
      </c>
      <c r="G33" t="inlineStr">
        <is>
          <t>TAK</t>
        </is>
      </c>
      <c r="I33" s="20" t="n">
        <v>88</v>
      </c>
      <c r="J33" t="inlineStr">
        <is>
          <t>MP</t>
        </is>
      </c>
      <c r="K33" s="21" t="n">
        <v>0</v>
      </c>
      <c r="L33" s="21" t="n">
        <v>0</v>
      </c>
      <c r="M33" s="21" t="n">
        <v>0</v>
      </c>
      <c r="N33" t="inlineStr">
        <is>
          <t>Zrębka Produkcyjna Leśna</t>
        </is>
      </c>
      <c r="O33" t="inlineStr">
        <is>
          <t>B</t>
        </is>
      </c>
      <c r="Q33" s="21" t="n">
        <v>0</v>
      </c>
      <c r="R33" t="inlineStr">
        <is>
          <t>własny (Kretek)</t>
        </is>
      </c>
      <c r="S33" t="inlineStr">
        <is>
          <t>SK 7J885</t>
        </is>
      </c>
      <c r="T33" s="22" t="n">
        <v>40</v>
      </c>
      <c r="U33" s="21" t="n">
        <v>5</v>
      </c>
      <c r="V33" s="21" t="n">
        <v>200</v>
      </c>
      <c r="W33" t="inlineStr">
        <is>
          <t>Magazyn Zabrze</t>
        </is>
      </c>
      <c r="X33" t="inlineStr">
        <is>
          <t>Magazyn Pyskowice</t>
        </is>
      </c>
      <c r="Z33" t="inlineStr">
        <is>
          <t>Roesner Mateusz</t>
        </is>
      </c>
      <c r="AA33" s="23" t="n">
        <v>46212.03303240741</v>
      </c>
      <c r="AB33" t="inlineStr">
        <is>
          <t>OP-MIGR-00032</t>
        </is>
      </c>
      <c r="AD33" t="inlineStr">
        <is>
          <t>AKTYWNY</t>
        </is>
      </c>
      <c r="AE33" s="20">
        <f>IF(I33="",0,IF(ISNUMBER(SEARCH("MP",UPPER(J33))),I33,IF(ISNUMBER(SEARCH("TON",UPPER(J33))),I33/Przelicznik_MP_tona,IF(ISNUMBER(SEARCH("M3",UPPER(J33))),I33*Przelicznik_M3_MP,IF(ISNUMBER(SEARCH("GJ",UPPER(J33))),I33/Przelicznik_GJ_tona/Przelicznik_MP_tona,I33)))))</f>
        <v/>
      </c>
      <c r="AF33" s="20">
        <f>IF(I33="",0,IF(ISNUMBER(SEARCH("TON",UPPER(J33))),I33,IF(ISNUMBER(SEARCH("GJ",UPPER(J33))),I33/Przelicznik_GJ_tona,AE33*Przelicznik_MP_tona)))</f>
        <v/>
      </c>
      <c r="AG33" s="20">
        <f>AF33*Przelicznik_GJ_tona</f>
        <v/>
      </c>
      <c r="AH33" s="20">
        <f>IF(UPPER(AD33)="SKORYGOWANY",0,IF(OR(UPPER(E33)="TRANSPORT",UPPER(E33)="MM"),0,IF(UPPER(G33)&lt;&gt;"TAK",0,IF(OR(UPPER(E33)="ZAKUP",UPPER(E33)="PRODUKCJA"),AE33,IF(OR(UPPER(E33)="SPRZEDAŻ",UPPER(E33)="ZUŻYCIE"),-AE33,0)))))</f>
        <v/>
      </c>
      <c r="AI33" s="20">
        <f>IF(UPPER(AD33)="SKORYGOWANY",0,IF(OR(UPPER(E33)="TRANSPORT",UPPER(E33)="MM"),0,IF(UPPER(G33)&lt;&gt;"TAK",0,IF(OR(UPPER(E33)="ZAKUP",UPPER(E33)="PRODUKCJA"),AF33,IF(OR(UPPER(E33)="SPRZEDAŻ",UPPER(E33)="ZUŻYCIE"),-AF33,0)))))</f>
        <v/>
      </c>
      <c r="AJ33" s="21">
        <f>IF(UPPER(AD33)="SKORYGOWANY",0,IF(UPPER(E33)="ZAKUP",IF(L33&lt;&gt;"",L33,I33*K33),0))</f>
        <v/>
      </c>
      <c r="AK33" s="21">
        <f>IF(UPPER(AD33)="SKORYGOWANY",0,IF(UPPER(E33)="SPRZEDAŻ",IF(L33&lt;&gt;"",L33,I33*M33),0))</f>
        <v/>
      </c>
      <c r="AL33" s="21">
        <f>AE33*Q33</f>
        <v/>
      </c>
      <c r="AM33">
        <f>IF(R33="","",IF(LOWER(R33)="brak","Brak",IF(OR(ISNUMBER(SEARCH("własn",LOWER(R33))),ISNUMBER(SEARCH("wlasn",LOWER(R33))),ISNUMBER(SEARCH("wojciechowski",LOWER(R33)))),"Własny","Zewnętrzny")))</f>
        <v/>
      </c>
      <c r="AN33" s="24">
        <f>IF(C33="","",YEAR(C33))</f>
        <v/>
      </c>
      <c r="AO33" s="24">
        <f>IF(C33="","",MONTH(C33))</f>
        <v/>
      </c>
      <c r="AP33">
        <f>IF(C33="","",UPPER(TEXT(C33,"mmmm")))</f>
        <v/>
      </c>
      <c r="AQ33">
        <f>IF(C33="","","Q"&amp;ROUNDUP(MONTH(C33)/3,0))</f>
        <v/>
      </c>
    </row>
    <row r="34">
      <c r="A34" s="19" t="n">
        <v>46211</v>
      </c>
      <c r="B34" t="inlineStr">
        <is>
          <t>Magazyn Pyskowice</t>
        </is>
      </c>
      <c r="C34" s="19" t="n">
        <v>46211</v>
      </c>
      <c r="D34" t="inlineStr">
        <is>
          <t>Magazyn Pyskowice</t>
        </is>
      </c>
      <c r="E34" t="inlineStr">
        <is>
          <t>MM</t>
        </is>
      </c>
      <c r="F34" t="inlineStr">
        <is>
          <t>MM-3</t>
        </is>
      </c>
      <c r="G34" t="inlineStr">
        <is>
          <t>TAK</t>
        </is>
      </c>
      <c r="I34" s="20" t="n">
        <v>86</v>
      </c>
      <c r="J34" t="inlineStr">
        <is>
          <t>MP</t>
        </is>
      </c>
      <c r="K34" s="21" t="n">
        <v>0</v>
      </c>
      <c r="L34" s="21" t="n">
        <v>0</v>
      </c>
      <c r="M34" s="21" t="n">
        <v>0</v>
      </c>
      <c r="N34" t="inlineStr">
        <is>
          <t>Zrębka Produkcyjna Leśna</t>
        </is>
      </c>
      <c r="O34" t="inlineStr">
        <is>
          <t>B</t>
        </is>
      </c>
      <c r="Q34" s="21" t="n">
        <v>0</v>
      </c>
      <c r="R34" t="inlineStr">
        <is>
          <t>własny (Wilczak)</t>
        </is>
      </c>
      <c r="S34" t="inlineStr">
        <is>
          <t>SK 7J884</t>
        </is>
      </c>
      <c r="T34" s="22" t="n">
        <v>40</v>
      </c>
      <c r="U34" s="21" t="n">
        <v>5</v>
      </c>
      <c r="V34" s="21" t="n">
        <v>200</v>
      </c>
      <c r="W34" t="inlineStr">
        <is>
          <t>Magazyn Zabrze</t>
        </is>
      </c>
      <c r="X34" t="inlineStr">
        <is>
          <t>Magazyn Pyskowice</t>
        </is>
      </c>
      <c r="Z34" t="inlineStr">
        <is>
          <t>Roesner Mateusz</t>
        </is>
      </c>
      <c r="AA34" s="23" t="n">
        <v>46212.03839120371</v>
      </c>
      <c r="AB34" t="inlineStr">
        <is>
          <t>OP-MIGR-00033</t>
        </is>
      </c>
      <c r="AD34" t="inlineStr">
        <is>
          <t>AKTYWNY</t>
        </is>
      </c>
      <c r="AE34" s="20">
        <f>IF(I34="",0,IF(ISNUMBER(SEARCH("MP",UPPER(J34))),I34,IF(ISNUMBER(SEARCH("TON",UPPER(J34))),I34/Przelicznik_MP_tona,IF(ISNUMBER(SEARCH("M3",UPPER(J34))),I34*Przelicznik_M3_MP,IF(ISNUMBER(SEARCH("GJ",UPPER(J34))),I34/Przelicznik_GJ_tona/Przelicznik_MP_tona,I34)))))</f>
        <v/>
      </c>
      <c r="AF34" s="20">
        <f>IF(I34="",0,IF(ISNUMBER(SEARCH("TON",UPPER(J34))),I34,IF(ISNUMBER(SEARCH("GJ",UPPER(J34))),I34/Przelicznik_GJ_tona,AE34*Przelicznik_MP_tona)))</f>
        <v/>
      </c>
      <c r="AG34" s="20">
        <f>AF34*Przelicznik_GJ_tona</f>
        <v/>
      </c>
      <c r="AH34" s="20">
        <f>IF(UPPER(AD34)="SKORYGOWANY",0,IF(OR(UPPER(E34)="TRANSPORT",UPPER(E34)="MM"),0,IF(UPPER(G34)&lt;&gt;"TAK",0,IF(OR(UPPER(E34)="ZAKUP",UPPER(E34)="PRODUKCJA"),AE34,IF(OR(UPPER(E34)="SPRZEDAŻ",UPPER(E34)="ZUŻYCIE"),-AE34,0)))))</f>
        <v/>
      </c>
      <c r="AI34" s="20">
        <f>IF(UPPER(AD34)="SKORYGOWANY",0,IF(OR(UPPER(E34)="TRANSPORT",UPPER(E34)="MM"),0,IF(UPPER(G34)&lt;&gt;"TAK",0,IF(OR(UPPER(E34)="ZAKUP",UPPER(E34)="PRODUKCJA"),AF34,IF(OR(UPPER(E34)="SPRZEDAŻ",UPPER(E34)="ZUŻYCIE"),-AF34,0)))))</f>
        <v/>
      </c>
      <c r="AJ34" s="21">
        <f>IF(UPPER(AD34)="SKORYGOWANY",0,IF(UPPER(E34)="ZAKUP",IF(L34&lt;&gt;"",L34,I34*K34),0))</f>
        <v/>
      </c>
      <c r="AK34" s="21">
        <f>IF(UPPER(AD34)="SKORYGOWANY",0,IF(UPPER(E34)="SPRZEDAŻ",IF(L34&lt;&gt;"",L34,I34*M34),0))</f>
        <v/>
      </c>
      <c r="AL34" s="21">
        <f>AE34*Q34</f>
        <v/>
      </c>
      <c r="AM34">
        <f>IF(R34="","",IF(LOWER(R34)="brak","Brak",IF(OR(ISNUMBER(SEARCH("własn",LOWER(R34))),ISNUMBER(SEARCH("wlasn",LOWER(R34))),ISNUMBER(SEARCH("wojciechowski",LOWER(R34)))),"Własny","Zewnętrzny")))</f>
        <v/>
      </c>
      <c r="AN34" s="24">
        <f>IF(C34="","",YEAR(C34))</f>
        <v/>
      </c>
      <c r="AO34" s="24">
        <f>IF(C34="","",MONTH(C34))</f>
        <v/>
      </c>
      <c r="AP34">
        <f>IF(C34="","",UPPER(TEXT(C34,"mmmm")))</f>
        <v/>
      </c>
      <c r="AQ34">
        <f>IF(C34="","","Q"&amp;ROUNDUP(MONTH(C34)/3,0))</f>
        <v/>
      </c>
    </row>
    <row r="35">
      <c r="A35" s="19" t="n">
        <v>46211</v>
      </c>
      <c r="B35" t="inlineStr">
        <is>
          <t>Magazyn Pyskowice</t>
        </is>
      </c>
      <c r="C35" s="19" t="n">
        <v>46211</v>
      </c>
      <c r="D35" t="inlineStr">
        <is>
          <t>Magazyn Pyskowice</t>
        </is>
      </c>
      <c r="E35" t="inlineStr">
        <is>
          <t>MM</t>
        </is>
      </c>
      <c r="F35" t="inlineStr">
        <is>
          <t>MM-4</t>
        </is>
      </c>
      <c r="G35" t="inlineStr">
        <is>
          <t>TAK</t>
        </is>
      </c>
      <c r="I35" s="20" t="n">
        <v>88</v>
      </c>
      <c r="J35" t="inlineStr">
        <is>
          <t>MP</t>
        </is>
      </c>
      <c r="K35" s="21" t="n">
        <v>0</v>
      </c>
      <c r="L35" s="21" t="n">
        <v>0</v>
      </c>
      <c r="M35" s="21" t="n">
        <v>0</v>
      </c>
      <c r="N35" t="inlineStr">
        <is>
          <t>Zrębka Produkcyjna Leśna</t>
        </is>
      </c>
      <c r="O35" t="inlineStr">
        <is>
          <t>B</t>
        </is>
      </c>
      <c r="Q35" s="21" t="n">
        <v>0</v>
      </c>
      <c r="R35" t="inlineStr">
        <is>
          <t>własny (Kretek)</t>
        </is>
      </c>
      <c r="S35" t="inlineStr">
        <is>
          <t>SK 7J885</t>
        </is>
      </c>
      <c r="T35" s="22" t="n">
        <v>40</v>
      </c>
      <c r="U35" s="21" t="n">
        <v>5</v>
      </c>
      <c r="V35" s="21" t="n">
        <v>200</v>
      </c>
      <c r="W35" t="inlineStr">
        <is>
          <t>Magazyn Zabrze</t>
        </is>
      </c>
      <c r="X35" t="inlineStr">
        <is>
          <t>Magazyn Pyskowice</t>
        </is>
      </c>
      <c r="Z35" t="inlineStr">
        <is>
          <t>Roesner Mateusz</t>
        </is>
      </c>
      <c r="AA35" s="23" t="n">
        <v>46212.04020833333</v>
      </c>
      <c r="AB35" t="inlineStr">
        <is>
          <t>OP-MIGR-00034</t>
        </is>
      </c>
      <c r="AD35" t="inlineStr">
        <is>
          <t>AKTYWNY</t>
        </is>
      </c>
      <c r="AE35" s="20">
        <f>IF(I35="",0,IF(ISNUMBER(SEARCH("MP",UPPER(J35))),I35,IF(ISNUMBER(SEARCH("TON",UPPER(J35))),I35/Przelicznik_MP_tona,IF(ISNUMBER(SEARCH("M3",UPPER(J35))),I35*Przelicznik_M3_MP,IF(ISNUMBER(SEARCH("GJ",UPPER(J35))),I35/Przelicznik_GJ_tona/Przelicznik_MP_tona,I35)))))</f>
        <v/>
      </c>
      <c r="AF35" s="20">
        <f>IF(I35="",0,IF(ISNUMBER(SEARCH("TON",UPPER(J35))),I35,IF(ISNUMBER(SEARCH("GJ",UPPER(J35))),I35/Przelicznik_GJ_tona,AE35*Przelicznik_MP_tona)))</f>
        <v/>
      </c>
      <c r="AG35" s="20">
        <f>AF35*Przelicznik_GJ_tona</f>
        <v/>
      </c>
      <c r="AH35" s="20">
        <f>IF(UPPER(AD35)="SKORYGOWANY",0,IF(OR(UPPER(E35)="TRANSPORT",UPPER(E35)="MM"),0,IF(UPPER(G35)&lt;&gt;"TAK",0,IF(OR(UPPER(E35)="ZAKUP",UPPER(E35)="PRODUKCJA"),AE35,IF(OR(UPPER(E35)="SPRZEDAŻ",UPPER(E35)="ZUŻYCIE"),-AE35,0)))))</f>
        <v/>
      </c>
      <c r="AI35" s="20">
        <f>IF(UPPER(AD35)="SKORYGOWANY",0,IF(OR(UPPER(E35)="TRANSPORT",UPPER(E35)="MM"),0,IF(UPPER(G35)&lt;&gt;"TAK",0,IF(OR(UPPER(E35)="ZAKUP",UPPER(E35)="PRODUKCJA"),AF35,IF(OR(UPPER(E35)="SPRZEDAŻ",UPPER(E35)="ZUŻYCIE"),-AF35,0)))))</f>
        <v/>
      </c>
      <c r="AJ35" s="21">
        <f>IF(UPPER(AD35)="SKORYGOWANY",0,IF(UPPER(E35)="ZAKUP",IF(L35&lt;&gt;"",L35,I35*K35),0))</f>
        <v/>
      </c>
      <c r="AK35" s="21">
        <f>IF(UPPER(AD35)="SKORYGOWANY",0,IF(UPPER(E35)="SPRZEDAŻ",IF(L35&lt;&gt;"",L35,I35*M35),0))</f>
        <v/>
      </c>
      <c r="AL35" s="21">
        <f>AE35*Q35</f>
        <v/>
      </c>
      <c r="AM35">
        <f>IF(R35="","",IF(LOWER(R35)="brak","Brak",IF(OR(ISNUMBER(SEARCH("własn",LOWER(R35))),ISNUMBER(SEARCH("wlasn",LOWER(R35))),ISNUMBER(SEARCH("wojciechowski",LOWER(R35)))),"Własny","Zewnętrzny")))</f>
        <v/>
      </c>
      <c r="AN35" s="24">
        <f>IF(C35="","",YEAR(C35))</f>
        <v/>
      </c>
      <c r="AO35" s="24">
        <f>IF(C35="","",MONTH(C35))</f>
        <v/>
      </c>
      <c r="AP35">
        <f>IF(C35="","",UPPER(TEXT(C35,"mmmm")))</f>
        <v/>
      </c>
      <c r="AQ35">
        <f>IF(C35="","","Q"&amp;ROUNDUP(MONTH(C35)/3,0))</f>
        <v/>
      </c>
    </row>
    <row r="36">
      <c r="A36" s="19" t="n">
        <v>46211</v>
      </c>
      <c r="C36" s="19" t="n">
        <v>46211</v>
      </c>
      <c r="D36" t="inlineStr">
        <is>
          <t>Lander Agro</t>
        </is>
      </c>
      <c r="E36" t="inlineStr">
        <is>
          <t>ZAKUP</t>
        </is>
      </c>
      <c r="F36" t="inlineStr">
        <is>
          <t>PZ/2/D</t>
        </is>
      </c>
      <c r="G36" t="inlineStr">
        <is>
          <t>TAK</t>
        </is>
      </c>
      <c r="H36" t="inlineStr">
        <is>
          <t>KZR</t>
        </is>
      </c>
      <c r="I36" s="20" t="n">
        <v>28.12</v>
      </c>
      <c r="J36" t="inlineStr">
        <is>
          <t>M3</t>
        </is>
      </c>
      <c r="K36" s="21" t="n">
        <v>230</v>
      </c>
      <c r="L36" s="21" t="n">
        <v>6467.6</v>
      </c>
      <c r="M36" s="21" t="n">
        <v>0</v>
      </c>
      <c r="N36" t="inlineStr">
        <is>
          <t>Drewno opałowe z lasu</t>
        </is>
      </c>
      <c r="Q36" s="21" t="n">
        <v>0</v>
      </c>
      <c r="T36" s="22" t="n">
        <v>0</v>
      </c>
      <c r="U36" s="21" t="n">
        <v>0</v>
      </c>
      <c r="V36" s="21" t="n">
        <v>0</v>
      </c>
      <c r="W36" t="inlineStr">
        <is>
          <t>Magazyn Zabrze</t>
        </is>
      </c>
      <c r="Z36" t="inlineStr">
        <is>
          <t>Roesner Mateusz</t>
        </is>
      </c>
      <c r="AA36" s="23" t="n">
        <v>46213.41596064815</v>
      </c>
      <c r="AB36" t="inlineStr">
        <is>
          <t>OP-MIGR-00037</t>
        </is>
      </c>
      <c r="AD36" t="inlineStr">
        <is>
          <t>AKTYWNY</t>
        </is>
      </c>
      <c r="AE36" s="20">
        <f>IF(I36="",0,IF(ISNUMBER(SEARCH("MP",UPPER(J36))),I36,IF(ISNUMBER(SEARCH("TON",UPPER(J36))),I36/Przelicznik_MP_tona,IF(ISNUMBER(SEARCH("M3",UPPER(J36))),I36*Przelicznik_M3_MP,IF(ISNUMBER(SEARCH("GJ",UPPER(J36))),I36/Przelicznik_GJ_tona/Przelicznik_MP_tona,I36)))))</f>
        <v/>
      </c>
      <c r="AF36" s="20">
        <f>IF(I36="",0,IF(ISNUMBER(SEARCH("TON",UPPER(J36))),I36,IF(ISNUMBER(SEARCH("GJ",UPPER(J36))),I36/Przelicznik_GJ_tona,AE36*Przelicznik_MP_tona)))</f>
        <v/>
      </c>
      <c r="AG36" s="20">
        <f>AF36*Przelicznik_GJ_tona</f>
        <v/>
      </c>
      <c r="AH36" s="20">
        <f>IF(UPPER(AD36)="SKORYGOWANY",0,IF(OR(UPPER(E36)="TRANSPORT",UPPER(E36)="MM"),0,IF(UPPER(G36)&lt;&gt;"TAK",0,IF(OR(UPPER(E36)="ZAKUP",UPPER(E36)="PRODUKCJA"),AE36,IF(OR(UPPER(E36)="SPRZEDAŻ",UPPER(E36)="ZUŻYCIE"),-AE36,0)))))</f>
        <v/>
      </c>
      <c r="AI36" s="20">
        <f>IF(UPPER(AD36)="SKORYGOWANY",0,IF(OR(UPPER(E36)="TRANSPORT",UPPER(E36)="MM"),0,IF(UPPER(G36)&lt;&gt;"TAK",0,IF(OR(UPPER(E36)="ZAKUP",UPPER(E36)="PRODUKCJA"),AF36,IF(OR(UPPER(E36)="SPRZEDAŻ",UPPER(E36)="ZUŻYCIE"),-AF36,0)))))</f>
        <v/>
      </c>
      <c r="AJ36" s="21">
        <f>IF(UPPER(AD36)="SKORYGOWANY",0,IF(UPPER(E36)="ZAKUP",IF(L36&lt;&gt;"",L36,I36*K36),0))</f>
        <v/>
      </c>
      <c r="AK36" s="21">
        <f>IF(UPPER(AD36)="SKORYGOWANY",0,IF(UPPER(E36)="SPRZEDAŻ",IF(L36&lt;&gt;"",L36,I36*M36),0))</f>
        <v/>
      </c>
      <c r="AL36" s="21">
        <f>AE36*Q36</f>
        <v/>
      </c>
      <c r="AM36">
        <f>IF(R36="","",IF(LOWER(R36)="brak","Brak",IF(OR(ISNUMBER(SEARCH("własn",LOWER(R36))),ISNUMBER(SEARCH("wlasn",LOWER(R36))),ISNUMBER(SEARCH("wojciechowski",LOWER(R36)))),"Własny","Zewnętrzny")))</f>
        <v/>
      </c>
      <c r="AN36" s="24">
        <f>IF(C36="","",YEAR(C36))</f>
        <v/>
      </c>
      <c r="AO36" s="24">
        <f>IF(C36="","",MONTH(C36))</f>
        <v/>
      </c>
      <c r="AP36">
        <f>IF(C36="","",UPPER(TEXT(C36,"mmmm")))</f>
        <v/>
      </c>
      <c r="AQ36">
        <f>IF(C36="","","Q"&amp;ROUNDUP(MONTH(C36)/3,0))</f>
        <v/>
      </c>
    </row>
    <row r="37">
      <c r="A37" s="19" t="n">
        <v>46211</v>
      </c>
      <c r="C37" s="19" t="n">
        <v>46211</v>
      </c>
      <c r="D37" t="inlineStr">
        <is>
          <t>Lander Agro</t>
        </is>
      </c>
      <c r="E37" t="inlineStr">
        <is>
          <t>ZAKUP</t>
        </is>
      </c>
      <c r="F37" t="inlineStr">
        <is>
          <t>PZ/3/D</t>
        </is>
      </c>
      <c r="G37" t="inlineStr">
        <is>
          <t>TAK</t>
        </is>
      </c>
      <c r="H37" t="inlineStr">
        <is>
          <t>KZR</t>
        </is>
      </c>
      <c r="I37" s="20" t="n">
        <v>30.66</v>
      </c>
      <c r="J37" t="inlineStr">
        <is>
          <t>M3</t>
        </is>
      </c>
      <c r="K37" s="21" t="n">
        <v>230</v>
      </c>
      <c r="L37" s="21" t="n">
        <v>7051.8</v>
      </c>
      <c r="M37" s="21" t="n">
        <v>0</v>
      </c>
      <c r="N37" t="inlineStr">
        <is>
          <t>Drewno opałowe z lasu</t>
        </is>
      </c>
      <c r="Q37" s="21" t="n">
        <v>0</v>
      </c>
      <c r="T37" s="22" t="n">
        <v>0</v>
      </c>
      <c r="U37" s="21" t="n">
        <v>0</v>
      </c>
      <c r="V37" s="21" t="n">
        <v>0</v>
      </c>
      <c r="W37" t="inlineStr">
        <is>
          <t>Magazyn Zabrze</t>
        </is>
      </c>
      <c r="Z37" t="inlineStr">
        <is>
          <t>Roesner Mateusz</t>
        </is>
      </c>
      <c r="AA37" s="23" t="n">
        <v>46213.41831018519</v>
      </c>
      <c r="AB37" t="inlineStr">
        <is>
          <t>OP-MIGR-00038</t>
        </is>
      </c>
      <c r="AD37" t="inlineStr">
        <is>
          <t>AKTYWNY</t>
        </is>
      </c>
      <c r="AE37" s="20">
        <f>IF(I37="",0,IF(ISNUMBER(SEARCH("MP",UPPER(J37))),I37,IF(ISNUMBER(SEARCH("TON",UPPER(J37))),I37/Przelicznik_MP_tona,IF(ISNUMBER(SEARCH("M3",UPPER(J37))),I37*Przelicznik_M3_MP,IF(ISNUMBER(SEARCH("GJ",UPPER(J37))),I37/Przelicznik_GJ_tona/Przelicznik_MP_tona,I37)))))</f>
        <v/>
      </c>
      <c r="AF37" s="20">
        <f>IF(I37="",0,IF(ISNUMBER(SEARCH("TON",UPPER(J37))),I37,IF(ISNUMBER(SEARCH("GJ",UPPER(J37))),I37/Przelicznik_GJ_tona,AE37*Przelicznik_MP_tona)))</f>
        <v/>
      </c>
      <c r="AG37" s="20">
        <f>AF37*Przelicznik_GJ_tona</f>
        <v/>
      </c>
      <c r="AH37" s="20">
        <f>IF(UPPER(AD37)="SKORYGOWANY",0,IF(OR(UPPER(E37)="TRANSPORT",UPPER(E37)="MM"),0,IF(UPPER(G37)&lt;&gt;"TAK",0,IF(OR(UPPER(E37)="ZAKUP",UPPER(E37)="PRODUKCJA"),AE37,IF(OR(UPPER(E37)="SPRZEDAŻ",UPPER(E37)="ZUŻYCIE"),-AE37,0)))))</f>
        <v/>
      </c>
      <c r="AI37" s="20">
        <f>IF(UPPER(AD37)="SKORYGOWANY",0,IF(OR(UPPER(E37)="TRANSPORT",UPPER(E37)="MM"),0,IF(UPPER(G37)&lt;&gt;"TAK",0,IF(OR(UPPER(E37)="ZAKUP",UPPER(E37)="PRODUKCJA"),AF37,IF(OR(UPPER(E37)="SPRZEDAŻ",UPPER(E37)="ZUŻYCIE"),-AF37,0)))))</f>
        <v/>
      </c>
      <c r="AJ37" s="21">
        <f>IF(UPPER(AD37)="SKORYGOWANY",0,IF(UPPER(E37)="ZAKUP",IF(L37&lt;&gt;"",L37,I37*K37),0))</f>
        <v/>
      </c>
      <c r="AK37" s="21">
        <f>IF(UPPER(AD37)="SKORYGOWANY",0,IF(UPPER(E37)="SPRZEDAŻ",IF(L37&lt;&gt;"",L37,I37*M37),0))</f>
        <v/>
      </c>
      <c r="AL37" s="21">
        <f>AE37*Q37</f>
        <v/>
      </c>
      <c r="AM37">
        <f>IF(R37="","",IF(LOWER(R37)="brak","Brak",IF(OR(ISNUMBER(SEARCH("własn",LOWER(R37))),ISNUMBER(SEARCH("wlasn",LOWER(R37))),ISNUMBER(SEARCH("wojciechowski",LOWER(R37)))),"Własny","Zewnętrzny")))</f>
        <v/>
      </c>
      <c r="AN37" s="24">
        <f>IF(C37="","",YEAR(C37))</f>
        <v/>
      </c>
      <c r="AO37" s="24">
        <f>IF(C37="","",MONTH(C37))</f>
        <v/>
      </c>
      <c r="AP37">
        <f>IF(C37="","",UPPER(TEXT(C37,"mmmm")))</f>
        <v/>
      </c>
      <c r="AQ37">
        <f>IF(C37="","","Q"&amp;ROUNDUP(MONTH(C37)/3,0))</f>
        <v/>
      </c>
    </row>
    <row r="38">
      <c r="A38" s="19" t="n">
        <v>46211</v>
      </c>
      <c r="B38" t="inlineStr">
        <is>
          <t>Magazyn Pyskowice</t>
        </is>
      </c>
      <c r="C38" s="19" t="n">
        <v>46211</v>
      </c>
      <c r="D38" t="inlineStr">
        <is>
          <t>Magazyn Pyskowice</t>
        </is>
      </c>
      <c r="E38" t="inlineStr">
        <is>
          <t>MM</t>
        </is>
      </c>
      <c r="F38" t="inlineStr">
        <is>
          <t>MM-5</t>
        </is>
      </c>
      <c r="G38" t="inlineStr">
        <is>
          <t>TAK</t>
        </is>
      </c>
      <c r="I38" s="20" t="n">
        <v>61</v>
      </c>
      <c r="J38" t="inlineStr">
        <is>
          <t>MP</t>
        </is>
      </c>
      <c r="K38" s="21" t="n">
        <v>0</v>
      </c>
      <c r="L38" s="21" t="n">
        <v>0</v>
      </c>
      <c r="M38" s="21" t="n">
        <v>0</v>
      </c>
      <c r="N38" t="inlineStr">
        <is>
          <t>Zrębka Produkcyjna Leśna</t>
        </is>
      </c>
      <c r="Q38" s="21" t="n">
        <v>0</v>
      </c>
      <c r="R38" t="inlineStr">
        <is>
          <t>własny (Wiór)</t>
        </is>
      </c>
      <c r="S38" t="inlineStr">
        <is>
          <t>SK 7H433</t>
        </is>
      </c>
      <c r="T38" s="22" t="n">
        <v>40</v>
      </c>
      <c r="U38" s="21" t="n">
        <v>6</v>
      </c>
      <c r="V38" s="21" t="n">
        <v>240</v>
      </c>
      <c r="W38" t="inlineStr">
        <is>
          <t>Magazyn Zabrze</t>
        </is>
      </c>
      <c r="X38" t="inlineStr">
        <is>
          <t>Magazyn Pyskowice</t>
        </is>
      </c>
      <c r="Z38" t="inlineStr">
        <is>
          <t>Roesner Mateusz</t>
        </is>
      </c>
      <c r="AA38" s="23" t="n">
        <v>46213.46012731481</v>
      </c>
      <c r="AB38" t="inlineStr">
        <is>
          <t>OP-MIGR-00035</t>
        </is>
      </c>
      <c r="AD38" t="inlineStr">
        <is>
          <t>AKTYWNY</t>
        </is>
      </c>
      <c r="AE38" s="20">
        <f>IF(I38="",0,IF(ISNUMBER(SEARCH("MP",UPPER(J38))),I38,IF(ISNUMBER(SEARCH("TON",UPPER(J38))),I38/Przelicznik_MP_tona,IF(ISNUMBER(SEARCH("M3",UPPER(J38))),I38*Przelicznik_M3_MP,IF(ISNUMBER(SEARCH("GJ",UPPER(J38))),I38/Przelicznik_GJ_tona/Przelicznik_MP_tona,I38)))))</f>
        <v/>
      </c>
      <c r="AF38" s="20">
        <f>IF(I38="",0,IF(ISNUMBER(SEARCH("TON",UPPER(J38))),I38,IF(ISNUMBER(SEARCH("GJ",UPPER(J38))),I38/Przelicznik_GJ_tona,AE38*Przelicznik_MP_tona)))</f>
        <v/>
      </c>
      <c r="AG38" s="20">
        <f>AF38*Przelicznik_GJ_tona</f>
        <v/>
      </c>
      <c r="AH38" s="20">
        <f>IF(UPPER(AD38)="SKORYGOWANY",0,IF(OR(UPPER(E38)="TRANSPORT",UPPER(E38)="MM"),0,IF(UPPER(G38)&lt;&gt;"TAK",0,IF(OR(UPPER(E38)="ZAKUP",UPPER(E38)="PRODUKCJA"),AE38,IF(OR(UPPER(E38)="SPRZEDAŻ",UPPER(E38)="ZUŻYCIE"),-AE38,0)))))</f>
        <v/>
      </c>
      <c r="AI38" s="20">
        <f>IF(UPPER(AD38)="SKORYGOWANY",0,IF(OR(UPPER(E38)="TRANSPORT",UPPER(E38)="MM"),0,IF(UPPER(G38)&lt;&gt;"TAK",0,IF(OR(UPPER(E38)="ZAKUP",UPPER(E38)="PRODUKCJA"),AF38,IF(OR(UPPER(E38)="SPRZEDAŻ",UPPER(E38)="ZUŻYCIE"),-AF38,0)))))</f>
        <v/>
      </c>
      <c r="AJ38" s="21">
        <f>IF(UPPER(AD38)="SKORYGOWANY",0,IF(UPPER(E38)="ZAKUP",IF(L38&lt;&gt;"",L38,I38*K38),0))</f>
        <v/>
      </c>
      <c r="AK38" s="21">
        <f>IF(UPPER(AD38)="SKORYGOWANY",0,IF(UPPER(E38)="SPRZEDAŻ",IF(L38&lt;&gt;"",L38,I38*M38),0))</f>
        <v/>
      </c>
      <c r="AL38" s="21">
        <f>AE38*Q38</f>
        <v/>
      </c>
      <c r="AM38">
        <f>IF(R38="","",IF(LOWER(R38)="brak","Brak",IF(OR(ISNUMBER(SEARCH("własn",LOWER(R38))),ISNUMBER(SEARCH("wlasn",LOWER(R38))),ISNUMBER(SEARCH("wojciechowski",LOWER(R38)))),"Własny","Zewnętrzny")))</f>
        <v/>
      </c>
      <c r="AN38" s="24">
        <f>IF(C38="","",YEAR(C38))</f>
        <v/>
      </c>
      <c r="AO38" s="24">
        <f>IF(C38="","",MONTH(C38))</f>
        <v/>
      </c>
      <c r="AP38">
        <f>IF(C38="","",UPPER(TEXT(C38,"mmmm")))</f>
        <v/>
      </c>
      <c r="AQ38">
        <f>IF(C38="","","Q"&amp;ROUNDUP(MONTH(C38)/3,0))</f>
        <v/>
      </c>
    </row>
    <row r="39">
      <c r="A39" s="19" t="n">
        <v>46211</v>
      </c>
      <c r="B39" t="inlineStr">
        <is>
          <t>Magazyn Pyskowice</t>
        </is>
      </c>
      <c r="C39" s="19" t="n">
        <v>46211</v>
      </c>
      <c r="D39" t="inlineStr">
        <is>
          <t>Magazyn Pyskowice</t>
        </is>
      </c>
      <c r="E39" t="inlineStr">
        <is>
          <t>MM</t>
        </is>
      </c>
      <c r="F39" t="inlineStr">
        <is>
          <t>MM-6</t>
        </is>
      </c>
      <c r="G39" t="inlineStr">
        <is>
          <t>TAK</t>
        </is>
      </c>
      <c r="I39" s="20" t="n">
        <v>25</v>
      </c>
      <c r="J39" t="inlineStr">
        <is>
          <t>M3</t>
        </is>
      </c>
      <c r="K39" s="21" t="n">
        <v>0</v>
      </c>
      <c r="L39" s="21" t="n">
        <v>0</v>
      </c>
      <c r="M39" s="21" t="n">
        <v>0</v>
      </c>
      <c r="N39" t="inlineStr">
        <is>
          <t>Drewno opałowe z lasu</t>
        </is>
      </c>
      <c r="Q39" s="21" t="n">
        <v>0</v>
      </c>
      <c r="R39" t="inlineStr">
        <is>
          <t>własny (Wiór)</t>
        </is>
      </c>
      <c r="S39" t="inlineStr">
        <is>
          <t>SK 7H433</t>
        </is>
      </c>
      <c r="T39" s="22" t="n">
        <v>40</v>
      </c>
      <c r="U39" s="21" t="n">
        <v>6</v>
      </c>
      <c r="V39" s="21" t="n">
        <v>240</v>
      </c>
      <c r="W39" t="inlineStr">
        <is>
          <t>Magazyn Zabrze</t>
        </is>
      </c>
      <c r="X39" t="inlineStr">
        <is>
          <t>Magazyn Pyskowice</t>
        </is>
      </c>
      <c r="Z39" t="inlineStr">
        <is>
          <t>Roesner Mateusz</t>
        </is>
      </c>
      <c r="AA39" s="23" t="n">
        <v>46213.46251157407</v>
      </c>
      <c r="AB39" t="inlineStr">
        <is>
          <t>OP-MIGR-00036</t>
        </is>
      </c>
      <c r="AD39" t="inlineStr">
        <is>
          <t>AKTYWNY</t>
        </is>
      </c>
      <c r="AE39" s="20">
        <f>IF(I39="",0,IF(ISNUMBER(SEARCH("MP",UPPER(J39))),I39,IF(ISNUMBER(SEARCH("TON",UPPER(J39))),I39/Przelicznik_MP_tona,IF(ISNUMBER(SEARCH("M3",UPPER(J39))),I39*Przelicznik_M3_MP,IF(ISNUMBER(SEARCH("GJ",UPPER(J39))),I39/Przelicznik_GJ_tona/Przelicznik_MP_tona,I39)))))</f>
        <v/>
      </c>
      <c r="AF39" s="20">
        <f>IF(I39="",0,IF(ISNUMBER(SEARCH("TON",UPPER(J39))),I39,IF(ISNUMBER(SEARCH("GJ",UPPER(J39))),I39/Przelicznik_GJ_tona,AE39*Przelicznik_MP_tona)))</f>
        <v/>
      </c>
      <c r="AG39" s="20">
        <f>AF39*Przelicznik_GJ_tona</f>
        <v/>
      </c>
      <c r="AH39" s="20">
        <f>IF(UPPER(AD39)="SKORYGOWANY",0,IF(OR(UPPER(E39)="TRANSPORT",UPPER(E39)="MM"),0,IF(UPPER(G39)&lt;&gt;"TAK",0,IF(OR(UPPER(E39)="ZAKUP",UPPER(E39)="PRODUKCJA"),AE39,IF(OR(UPPER(E39)="SPRZEDAŻ",UPPER(E39)="ZUŻYCIE"),-AE39,0)))))</f>
        <v/>
      </c>
      <c r="AI39" s="20">
        <f>IF(UPPER(AD39)="SKORYGOWANY",0,IF(OR(UPPER(E39)="TRANSPORT",UPPER(E39)="MM"),0,IF(UPPER(G39)&lt;&gt;"TAK",0,IF(OR(UPPER(E39)="ZAKUP",UPPER(E39)="PRODUKCJA"),AF39,IF(OR(UPPER(E39)="SPRZEDAŻ",UPPER(E39)="ZUŻYCIE"),-AF39,0)))))</f>
        <v/>
      </c>
      <c r="AJ39" s="21">
        <f>IF(UPPER(AD39)="SKORYGOWANY",0,IF(UPPER(E39)="ZAKUP",IF(L39&lt;&gt;"",L39,I39*K39),0))</f>
        <v/>
      </c>
      <c r="AK39" s="21">
        <f>IF(UPPER(AD39)="SKORYGOWANY",0,IF(UPPER(E39)="SPRZEDAŻ",IF(L39&lt;&gt;"",L39,I39*M39),0))</f>
        <v/>
      </c>
      <c r="AL39" s="21">
        <f>AE39*Q39</f>
        <v/>
      </c>
      <c r="AM39">
        <f>IF(R39="","",IF(LOWER(R39)="brak","Brak",IF(OR(ISNUMBER(SEARCH("własn",LOWER(R39))),ISNUMBER(SEARCH("wlasn",LOWER(R39))),ISNUMBER(SEARCH("wojciechowski",LOWER(R39)))),"Własny","Zewnętrzny")))</f>
        <v/>
      </c>
      <c r="AN39" s="24">
        <f>IF(C39="","",YEAR(C39))</f>
        <v/>
      </c>
      <c r="AO39" s="24">
        <f>IF(C39="","",MONTH(C39))</f>
        <v/>
      </c>
      <c r="AP39">
        <f>IF(C39="","",UPPER(TEXT(C39,"mmmm")))</f>
        <v/>
      </c>
      <c r="AQ39">
        <f>IF(C39="","","Q"&amp;ROUNDUP(MONTH(C39)/3,0))</f>
        <v/>
      </c>
    </row>
    <row r="40">
      <c r="A40" s="19" t="n">
        <v>46211</v>
      </c>
      <c r="C40" s="19" t="n">
        <v>46211</v>
      </c>
      <c r="D40" t="inlineStr">
        <is>
          <t>Walber</t>
        </is>
      </c>
      <c r="E40" t="inlineStr">
        <is>
          <t>ZAKUP</t>
        </is>
      </c>
      <c r="F40" t="inlineStr">
        <is>
          <t>PZ/9</t>
        </is>
      </c>
      <c r="G40" t="inlineStr">
        <is>
          <t>TAK</t>
        </is>
      </c>
      <c r="H40" t="inlineStr">
        <is>
          <t>KZR</t>
        </is>
      </c>
      <c r="I40" s="20" t="n">
        <v>24.64</v>
      </c>
      <c r="J40" t="inlineStr">
        <is>
          <t>TON</t>
        </is>
      </c>
      <c r="K40" s="21" t="n">
        <v>275</v>
      </c>
      <c r="L40" s="21" t="n">
        <v>6776</v>
      </c>
      <c r="M40" s="21" t="n">
        <v>0</v>
      </c>
      <c r="N40" t="inlineStr">
        <is>
          <t>Zrębka towar</t>
        </is>
      </c>
      <c r="O40" t="inlineStr">
        <is>
          <t>B</t>
        </is>
      </c>
      <c r="Q40" s="21" t="n">
        <v>0</v>
      </c>
      <c r="T40" s="22" t="n">
        <v>0</v>
      </c>
      <c r="U40" s="21" t="n">
        <v>0</v>
      </c>
      <c r="V40" s="21" t="n">
        <v>0</v>
      </c>
      <c r="W40" t="inlineStr">
        <is>
          <t>Magazyn Zabrze</t>
        </is>
      </c>
      <c r="Z40" t="inlineStr">
        <is>
          <t>Roesner Mateusz</t>
        </is>
      </c>
      <c r="AA40" s="23" t="n">
        <v>46217.43221064815</v>
      </c>
      <c r="AB40" t="inlineStr">
        <is>
          <t>OP-MIGR-00039</t>
        </is>
      </c>
      <c r="AD40" t="inlineStr">
        <is>
          <t>AKTYWNY</t>
        </is>
      </c>
      <c r="AE40" s="20">
        <f>IF(I40="",0,IF(ISNUMBER(SEARCH("MP",UPPER(J40))),I40,IF(ISNUMBER(SEARCH("TON",UPPER(J40))),I40/Przelicznik_MP_tona,IF(ISNUMBER(SEARCH("M3",UPPER(J40))),I40*Przelicznik_M3_MP,IF(ISNUMBER(SEARCH("GJ",UPPER(J40))),I40/Przelicznik_GJ_tona/Przelicznik_MP_tona,I40)))))</f>
        <v/>
      </c>
      <c r="AF40" s="20">
        <f>IF(I40="",0,IF(ISNUMBER(SEARCH("TON",UPPER(J40))),I40,IF(ISNUMBER(SEARCH("GJ",UPPER(J40))),I40/Przelicznik_GJ_tona,AE40*Przelicznik_MP_tona)))</f>
        <v/>
      </c>
      <c r="AG40" s="20">
        <f>AF40*Przelicznik_GJ_tona</f>
        <v/>
      </c>
      <c r="AH40" s="20">
        <f>IF(UPPER(AD40)="SKORYGOWANY",0,IF(OR(UPPER(E40)="TRANSPORT",UPPER(E40)="MM"),0,IF(UPPER(G40)&lt;&gt;"TAK",0,IF(OR(UPPER(E40)="ZAKUP",UPPER(E40)="PRODUKCJA"),AE40,IF(OR(UPPER(E40)="SPRZEDAŻ",UPPER(E40)="ZUŻYCIE"),-AE40,0)))))</f>
        <v/>
      </c>
      <c r="AI40" s="20">
        <f>IF(UPPER(AD40)="SKORYGOWANY",0,IF(OR(UPPER(E40)="TRANSPORT",UPPER(E40)="MM"),0,IF(UPPER(G40)&lt;&gt;"TAK",0,IF(OR(UPPER(E40)="ZAKUP",UPPER(E40)="PRODUKCJA"),AF40,IF(OR(UPPER(E40)="SPRZEDAŻ",UPPER(E40)="ZUŻYCIE"),-AF40,0)))))</f>
        <v/>
      </c>
      <c r="AJ40" s="21">
        <f>IF(UPPER(AD40)="SKORYGOWANY",0,IF(UPPER(E40)="ZAKUP",IF(L40&lt;&gt;"",L40,I40*K40),0))</f>
        <v/>
      </c>
      <c r="AK40" s="21">
        <f>IF(UPPER(AD40)="SKORYGOWANY",0,IF(UPPER(E40)="SPRZEDAŻ",IF(L40&lt;&gt;"",L40,I40*M40),0))</f>
        <v/>
      </c>
      <c r="AL40" s="21">
        <f>AE40*Q40</f>
        <v/>
      </c>
      <c r="AM40">
        <f>IF(R40="","",IF(LOWER(R40)="brak","Brak",IF(OR(ISNUMBER(SEARCH("własn",LOWER(R40))),ISNUMBER(SEARCH("wlasn",LOWER(R40))),ISNUMBER(SEARCH("wojciechowski",LOWER(R40)))),"Własny","Zewnętrzny")))</f>
        <v/>
      </c>
      <c r="AN40" s="24">
        <f>IF(C40="","",YEAR(C40))</f>
        <v/>
      </c>
      <c r="AO40" s="24">
        <f>IF(C40="","",MONTH(C40))</f>
        <v/>
      </c>
      <c r="AP40">
        <f>IF(C40="","",UPPER(TEXT(C40,"mmmm")))</f>
        <v/>
      </c>
      <c r="AQ40">
        <f>IF(C40="","","Q"&amp;ROUNDUP(MONTH(C40)/3,0))</f>
        <v/>
      </c>
    </row>
    <row r="41">
      <c r="A41" s="19" t="n">
        <v>46211</v>
      </c>
      <c r="C41" s="19" t="n">
        <v>46211</v>
      </c>
      <c r="D41" t="inlineStr">
        <is>
          <t>Walber</t>
        </is>
      </c>
      <c r="E41" t="inlineStr">
        <is>
          <t>ZAKUP</t>
        </is>
      </c>
      <c r="F41" t="inlineStr">
        <is>
          <t>PZ/10</t>
        </is>
      </c>
      <c r="G41" t="inlineStr">
        <is>
          <t>TAK</t>
        </is>
      </c>
      <c r="H41" t="inlineStr">
        <is>
          <t>KZR</t>
        </is>
      </c>
      <c r="I41" s="20" t="n">
        <v>24.64</v>
      </c>
      <c r="J41" t="inlineStr">
        <is>
          <t>TON</t>
        </is>
      </c>
      <c r="K41" s="21" t="n">
        <v>275</v>
      </c>
      <c r="L41" s="21" t="n">
        <v>6776</v>
      </c>
      <c r="M41" s="21" t="n">
        <v>0</v>
      </c>
      <c r="N41" t="inlineStr">
        <is>
          <t>Zrębka towar</t>
        </is>
      </c>
      <c r="O41" t="inlineStr">
        <is>
          <t>B</t>
        </is>
      </c>
      <c r="Q41" s="21" t="n">
        <v>0</v>
      </c>
      <c r="T41" s="22" t="n">
        <v>0</v>
      </c>
      <c r="U41" s="21" t="n">
        <v>0</v>
      </c>
      <c r="V41" s="21" t="n">
        <v>0</v>
      </c>
      <c r="W41" t="inlineStr">
        <is>
          <t>Magazyn Zabrze</t>
        </is>
      </c>
      <c r="Z41" t="inlineStr">
        <is>
          <t>Roesner Mateusz</t>
        </is>
      </c>
      <c r="AA41" s="23" t="n">
        <v>46217.43332175926</v>
      </c>
      <c r="AB41" t="inlineStr">
        <is>
          <t>OP-MIGR-00040</t>
        </is>
      </c>
      <c r="AD41" t="inlineStr">
        <is>
          <t>AKTYWNY</t>
        </is>
      </c>
      <c r="AE41" s="20">
        <f>IF(I41="",0,IF(ISNUMBER(SEARCH("MP",UPPER(J41))),I41,IF(ISNUMBER(SEARCH("TON",UPPER(J41))),I41/Przelicznik_MP_tona,IF(ISNUMBER(SEARCH("M3",UPPER(J41))),I41*Przelicznik_M3_MP,IF(ISNUMBER(SEARCH("GJ",UPPER(J41))),I41/Przelicznik_GJ_tona/Przelicznik_MP_tona,I41)))))</f>
        <v/>
      </c>
      <c r="AF41" s="20">
        <f>IF(I41="",0,IF(ISNUMBER(SEARCH("TON",UPPER(J41))),I41,IF(ISNUMBER(SEARCH("GJ",UPPER(J41))),I41/Przelicznik_GJ_tona,AE41*Przelicznik_MP_tona)))</f>
        <v/>
      </c>
      <c r="AG41" s="20">
        <f>AF41*Przelicznik_GJ_tona</f>
        <v/>
      </c>
      <c r="AH41" s="20">
        <f>IF(UPPER(AD41)="SKORYGOWANY",0,IF(OR(UPPER(E41)="TRANSPORT",UPPER(E41)="MM"),0,IF(UPPER(G41)&lt;&gt;"TAK",0,IF(OR(UPPER(E41)="ZAKUP",UPPER(E41)="PRODUKCJA"),AE41,IF(OR(UPPER(E41)="SPRZEDAŻ",UPPER(E41)="ZUŻYCIE"),-AE41,0)))))</f>
        <v/>
      </c>
      <c r="AI41" s="20">
        <f>IF(UPPER(AD41)="SKORYGOWANY",0,IF(OR(UPPER(E41)="TRANSPORT",UPPER(E41)="MM"),0,IF(UPPER(G41)&lt;&gt;"TAK",0,IF(OR(UPPER(E41)="ZAKUP",UPPER(E41)="PRODUKCJA"),AF41,IF(OR(UPPER(E41)="SPRZEDAŻ",UPPER(E41)="ZUŻYCIE"),-AF41,0)))))</f>
        <v/>
      </c>
      <c r="AJ41" s="21">
        <f>IF(UPPER(AD41)="SKORYGOWANY",0,IF(UPPER(E41)="ZAKUP",IF(L41&lt;&gt;"",L41,I41*K41),0))</f>
        <v/>
      </c>
      <c r="AK41" s="21">
        <f>IF(UPPER(AD41)="SKORYGOWANY",0,IF(UPPER(E41)="SPRZEDAŻ",IF(L41&lt;&gt;"",L41,I41*M41),0))</f>
        <v/>
      </c>
      <c r="AL41" s="21">
        <f>AE41*Q41</f>
        <v/>
      </c>
      <c r="AM41">
        <f>IF(R41="","",IF(LOWER(R41)="brak","Brak",IF(OR(ISNUMBER(SEARCH("własn",LOWER(R41))),ISNUMBER(SEARCH("wlasn",LOWER(R41))),ISNUMBER(SEARCH("wojciechowski",LOWER(R41)))),"Własny","Zewnętrzny")))</f>
        <v/>
      </c>
      <c r="AN41" s="24">
        <f>IF(C41="","",YEAR(C41))</f>
        <v/>
      </c>
      <c r="AO41" s="24">
        <f>IF(C41="","",MONTH(C41))</f>
        <v/>
      </c>
      <c r="AP41">
        <f>IF(C41="","",UPPER(TEXT(C41,"mmmm")))</f>
        <v/>
      </c>
      <c r="AQ41">
        <f>IF(C41="","","Q"&amp;ROUNDUP(MONTH(C41)/3,0))</f>
        <v/>
      </c>
    </row>
    <row r="42">
      <c r="A42" s="19" t="n">
        <v>46212</v>
      </c>
      <c r="B42" t="inlineStr">
        <is>
          <t>Magazyn Pyskowice</t>
        </is>
      </c>
      <c r="C42" s="19" t="n">
        <v>46212</v>
      </c>
      <c r="D42" t="inlineStr">
        <is>
          <t>Magazyn Pyskowice</t>
        </is>
      </c>
      <c r="E42" t="inlineStr">
        <is>
          <t>MM</t>
        </is>
      </c>
      <c r="F42" t="inlineStr">
        <is>
          <t>MM-7</t>
        </is>
      </c>
      <c r="G42" t="inlineStr">
        <is>
          <t>TAK</t>
        </is>
      </c>
      <c r="I42" s="20" t="n">
        <v>86</v>
      </c>
      <c r="J42" t="inlineStr">
        <is>
          <t>MP</t>
        </is>
      </c>
      <c r="K42" s="21" t="n">
        <v>0</v>
      </c>
      <c r="L42" s="21" t="n">
        <v>0</v>
      </c>
      <c r="M42" s="21" t="n">
        <v>0</v>
      </c>
      <c r="N42" t="inlineStr">
        <is>
          <t>Zrębka Produkcyjna Leśna</t>
        </is>
      </c>
      <c r="O42" t="inlineStr">
        <is>
          <t>B</t>
        </is>
      </c>
      <c r="Q42" s="21" t="n">
        <v>0</v>
      </c>
      <c r="R42" t="inlineStr">
        <is>
          <t>własny (Wilczak)</t>
        </is>
      </c>
      <c r="S42" t="inlineStr">
        <is>
          <t>SK 7J884</t>
        </is>
      </c>
      <c r="T42" s="22" t="n">
        <v>40</v>
      </c>
      <c r="U42" s="21" t="n">
        <v>5</v>
      </c>
      <c r="V42" s="21" t="n">
        <v>200</v>
      </c>
      <c r="W42" t="inlineStr">
        <is>
          <t>Magazyn Zabrze</t>
        </is>
      </c>
      <c r="X42" t="inlineStr">
        <is>
          <t>Magazyn Pyskowice</t>
        </is>
      </c>
      <c r="Z42" t="inlineStr">
        <is>
          <t>Roesner Mateusz</t>
        </is>
      </c>
      <c r="AA42" s="23" t="n">
        <v>46212.47928240741</v>
      </c>
      <c r="AB42" t="inlineStr">
        <is>
          <t>OP-MIGR-00041</t>
        </is>
      </c>
      <c r="AD42" t="inlineStr">
        <is>
          <t>AKTYWNY</t>
        </is>
      </c>
      <c r="AE42" s="20">
        <f>IF(I42="",0,IF(ISNUMBER(SEARCH("MP",UPPER(J42))),I42,IF(ISNUMBER(SEARCH("TON",UPPER(J42))),I42/Przelicznik_MP_tona,IF(ISNUMBER(SEARCH("M3",UPPER(J42))),I42*Przelicznik_M3_MP,IF(ISNUMBER(SEARCH("GJ",UPPER(J42))),I42/Przelicznik_GJ_tona/Przelicznik_MP_tona,I42)))))</f>
        <v/>
      </c>
      <c r="AF42" s="20">
        <f>IF(I42="",0,IF(ISNUMBER(SEARCH("TON",UPPER(J42))),I42,IF(ISNUMBER(SEARCH("GJ",UPPER(J42))),I42/Przelicznik_GJ_tona,AE42*Przelicznik_MP_tona)))</f>
        <v/>
      </c>
      <c r="AG42" s="20">
        <f>AF42*Przelicznik_GJ_tona</f>
        <v/>
      </c>
      <c r="AH42" s="20">
        <f>IF(UPPER(AD42)="SKORYGOWANY",0,IF(OR(UPPER(E42)="TRANSPORT",UPPER(E42)="MM"),0,IF(UPPER(G42)&lt;&gt;"TAK",0,IF(OR(UPPER(E42)="ZAKUP",UPPER(E42)="PRODUKCJA"),AE42,IF(OR(UPPER(E42)="SPRZEDAŻ",UPPER(E42)="ZUŻYCIE"),-AE42,0)))))</f>
        <v/>
      </c>
      <c r="AI42" s="20">
        <f>IF(UPPER(AD42)="SKORYGOWANY",0,IF(OR(UPPER(E42)="TRANSPORT",UPPER(E42)="MM"),0,IF(UPPER(G42)&lt;&gt;"TAK",0,IF(OR(UPPER(E42)="ZAKUP",UPPER(E42)="PRODUKCJA"),AF42,IF(OR(UPPER(E42)="SPRZEDAŻ",UPPER(E42)="ZUŻYCIE"),-AF42,0)))))</f>
        <v/>
      </c>
      <c r="AJ42" s="21">
        <f>IF(UPPER(AD42)="SKORYGOWANY",0,IF(UPPER(E42)="ZAKUP",IF(L42&lt;&gt;"",L42,I42*K42),0))</f>
        <v/>
      </c>
      <c r="AK42" s="21">
        <f>IF(UPPER(AD42)="SKORYGOWANY",0,IF(UPPER(E42)="SPRZEDAŻ",IF(L42&lt;&gt;"",L42,I42*M42),0))</f>
        <v/>
      </c>
      <c r="AL42" s="21">
        <f>AE42*Q42</f>
        <v/>
      </c>
      <c r="AM42">
        <f>IF(R42="","",IF(LOWER(R42)="brak","Brak",IF(OR(ISNUMBER(SEARCH("własn",LOWER(R42))),ISNUMBER(SEARCH("wlasn",LOWER(R42))),ISNUMBER(SEARCH("wojciechowski",LOWER(R42)))),"Własny","Zewnętrzny")))</f>
        <v/>
      </c>
      <c r="AN42" s="24">
        <f>IF(C42="","",YEAR(C42))</f>
        <v/>
      </c>
      <c r="AO42" s="24">
        <f>IF(C42="","",MONTH(C42))</f>
        <v/>
      </c>
      <c r="AP42">
        <f>IF(C42="","",UPPER(TEXT(C42,"mmmm")))</f>
        <v/>
      </c>
      <c r="AQ42">
        <f>IF(C42="","","Q"&amp;ROUNDUP(MONTH(C42)/3,0))</f>
        <v/>
      </c>
    </row>
    <row r="43">
      <c r="A43" s="19" t="n">
        <v>46212</v>
      </c>
      <c r="B43" t="inlineStr">
        <is>
          <t>Magazyn Pyskowice</t>
        </is>
      </c>
      <c r="C43" s="19" t="n">
        <v>46212</v>
      </c>
      <c r="D43" t="inlineStr">
        <is>
          <t>Magazyn Pyskowice</t>
        </is>
      </c>
      <c r="E43" t="inlineStr">
        <is>
          <t>MM</t>
        </is>
      </c>
      <c r="F43" t="inlineStr">
        <is>
          <t>MM-8</t>
        </is>
      </c>
      <c r="G43" t="inlineStr">
        <is>
          <t>TAK</t>
        </is>
      </c>
      <c r="I43" s="20" t="n">
        <v>84</v>
      </c>
      <c r="J43" t="inlineStr">
        <is>
          <t>MP</t>
        </is>
      </c>
      <c r="K43" s="21" t="n">
        <v>0</v>
      </c>
      <c r="L43" s="21" t="n">
        <v>0</v>
      </c>
      <c r="M43" s="21" t="n">
        <v>0</v>
      </c>
      <c r="N43" t="inlineStr">
        <is>
          <t>Zrębka Produkcyjna Leśna</t>
        </is>
      </c>
      <c r="O43" t="inlineStr">
        <is>
          <t>B</t>
        </is>
      </c>
      <c r="Q43" s="21" t="n">
        <v>0</v>
      </c>
      <c r="R43" t="inlineStr">
        <is>
          <t>własny (Kretek)</t>
        </is>
      </c>
      <c r="S43" t="inlineStr">
        <is>
          <t>SK 7J885</t>
        </is>
      </c>
      <c r="T43" s="22" t="n">
        <v>40</v>
      </c>
      <c r="U43" s="21" t="n">
        <v>5</v>
      </c>
      <c r="V43" s="21" t="n">
        <v>200</v>
      </c>
      <c r="W43" t="inlineStr">
        <is>
          <t>Magazyn Zabrze</t>
        </is>
      </c>
      <c r="X43" t="inlineStr">
        <is>
          <t>Magazyn Pyskowice</t>
        </is>
      </c>
      <c r="Z43" t="inlineStr">
        <is>
          <t>Roesner Mateusz</t>
        </is>
      </c>
      <c r="AA43" s="23" t="n">
        <v>46212.48164351852</v>
      </c>
      <c r="AB43" t="inlineStr">
        <is>
          <t>OP-MIGR-00042</t>
        </is>
      </c>
      <c r="AD43" t="inlineStr">
        <is>
          <t>AKTYWNY</t>
        </is>
      </c>
      <c r="AE43" s="20">
        <f>IF(I43="",0,IF(ISNUMBER(SEARCH("MP",UPPER(J43))),I43,IF(ISNUMBER(SEARCH("TON",UPPER(J43))),I43/Przelicznik_MP_tona,IF(ISNUMBER(SEARCH("M3",UPPER(J43))),I43*Przelicznik_M3_MP,IF(ISNUMBER(SEARCH("GJ",UPPER(J43))),I43/Przelicznik_GJ_tona/Przelicznik_MP_tona,I43)))))</f>
        <v/>
      </c>
      <c r="AF43" s="20">
        <f>IF(I43="",0,IF(ISNUMBER(SEARCH("TON",UPPER(J43))),I43,IF(ISNUMBER(SEARCH("GJ",UPPER(J43))),I43/Przelicznik_GJ_tona,AE43*Przelicznik_MP_tona)))</f>
        <v/>
      </c>
      <c r="AG43" s="20">
        <f>AF43*Przelicznik_GJ_tona</f>
        <v/>
      </c>
      <c r="AH43" s="20">
        <f>IF(UPPER(AD43)="SKORYGOWANY",0,IF(OR(UPPER(E43)="TRANSPORT",UPPER(E43)="MM"),0,IF(UPPER(G43)&lt;&gt;"TAK",0,IF(OR(UPPER(E43)="ZAKUP",UPPER(E43)="PRODUKCJA"),AE43,IF(OR(UPPER(E43)="SPRZEDAŻ",UPPER(E43)="ZUŻYCIE"),-AE43,0)))))</f>
        <v/>
      </c>
      <c r="AI43" s="20">
        <f>IF(UPPER(AD43)="SKORYGOWANY",0,IF(OR(UPPER(E43)="TRANSPORT",UPPER(E43)="MM"),0,IF(UPPER(G43)&lt;&gt;"TAK",0,IF(OR(UPPER(E43)="ZAKUP",UPPER(E43)="PRODUKCJA"),AF43,IF(OR(UPPER(E43)="SPRZEDAŻ",UPPER(E43)="ZUŻYCIE"),-AF43,0)))))</f>
        <v/>
      </c>
      <c r="AJ43" s="21">
        <f>IF(UPPER(AD43)="SKORYGOWANY",0,IF(UPPER(E43)="ZAKUP",IF(L43&lt;&gt;"",L43,I43*K43),0))</f>
        <v/>
      </c>
      <c r="AK43" s="21">
        <f>IF(UPPER(AD43)="SKORYGOWANY",0,IF(UPPER(E43)="SPRZEDAŻ",IF(L43&lt;&gt;"",L43,I43*M43),0))</f>
        <v/>
      </c>
      <c r="AL43" s="21">
        <f>AE43*Q43</f>
        <v/>
      </c>
      <c r="AM43">
        <f>IF(R43="","",IF(LOWER(R43)="brak","Brak",IF(OR(ISNUMBER(SEARCH("własn",LOWER(R43))),ISNUMBER(SEARCH("wlasn",LOWER(R43))),ISNUMBER(SEARCH("wojciechowski",LOWER(R43)))),"Własny","Zewnętrzny")))</f>
        <v/>
      </c>
      <c r="AN43" s="24">
        <f>IF(C43="","",YEAR(C43))</f>
        <v/>
      </c>
      <c r="AO43" s="24">
        <f>IF(C43="","",MONTH(C43))</f>
        <v/>
      </c>
      <c r="AP43">
        <f>IF(C43="","",UPPER(TEXT(C43,"mmmm")))</f>
        <v/>
      </c>
      <c r="AQ43">
        <f>IF(C43="","","Q"&amp;ROUNDUP(MONTH(C43)/3,0))</f>
        <v/>
      </c>
    </row>
    <row r="44">
      <c r="A44" s="19" t="n">
        <v>46212</v>
      </c>
      <c r="B44" t="inlineStr">
        <is>
          <t>Magazyn Pyskowice</t>
        </is>
      </c>
      <c r="C44" s="19" t="n">
        <v>46212</v>
      </c>
      <c r="D44" t="inlineStr">
        <is>
          <t>Magazyn Pyskowice</t>
        </is>
      </c>
      <c r="E44" t="inlineStr">
        <is>
          <t>MM</t>
        </is>
      </c>
      <c r="F44" t="inlineStr">
        <is>
          <t>MM-9</t>
        </is>
      </c>
      <c r="G44" t="inlineStr">
        <is>
          <t>TAK</t>
        </is>
      </c>
      <c r="I44" s="20" t="n">
        <v>61.48</v>
      </c>
      <c r="J44" t="inlineStr">
        <is>
          <t>MP</t>
        </is>
      </c>
      <c r="K44" s="21" t="n">
        <v>0</v>
      </c>
      <c r="L44" s="21" t="n">
        <v>0</v>
      </c>
      <c r="M44" s="21" t="n">
        <v>0</v>
      </c>
      <c r="N44" t="inlineStr">
        <is>
          <t>Zrębka Produkcyjna Leśna</t>
        </is>
      </c>
      <c r="O44" t="inlineStr">
        <is>
          <t>B</t>
        </is>
      </c>
      <c r="Q44" s="21" t="n">
        <v>0</v>
      </c>
      <c r="R44" t="inlineStr">
        <is>
          <t>własny (Wiór)</t>
        </is>
      </c>
      <c r="S44" t="inlineStr">
        <is>
          <t>SK 7H433</t>
        </is>
      </c>
      <c r="T44" s="22" t="n">
        <v>40</v>
      </c>
      <c r="U44" s="21" t="n">
        <v>6</v>
      </c>
      <c r="V44" s="21" t="n">
        <v>240</v>
      </c>
      <c r="W44" t="inlineStr">
        <is>
          <t>Magazyn Zabrze</t>
        </is>
      </c>
      <c r="X44" t="inlineStr">
        <is>
          <t>Magazyn Pyskowice</t>
        </is>
      </c>
      <c r="Z44" t="inlineStr">
        <is>
          <t>Roesner Mateusz</t>
        </is>
      </c>
      <c r="AA44" s="23" t="n">
        <v>46212.57295138889</v>
      </c>
      <c r="AB44" t="inlineStr">
        <is>
          <t>OP-MIGR-00043</t>
        </is>
      </c>
      <c r="AD44" t="inlineStr">
        <is>
          <t>AKTYWNY</t>
        </is>
      </c>
      <c r="AE44" s="20">
        <f>IF(I44="",0,IF(ISNUMBER(SEARCH("MP",UPPER(J44))),I44,IF(ISNUMBER(SEARCH("TON",UPPER(J44))),I44/Przelicznik_MP_tona,IF(ISNUMBER(SEARCH("M3",UPPER(J44))),I44*Przelicznik_M3_MP,IF(ISNUMBER(SEARCH("GJ",UPPER(J44))),I44/Przelicznik_GJ_tona/Przelicznik_MP_tona,I44)))))</f>
        <v/>
      </c>
      <c r="AF44" s="20">
        <f>IF(I44="",0,IF(ISNUMBER(SEARCH("TON",UPPER(J44))),I44,IF(ISNUMBER(SEARCH("GJ",UPPER(J44))),I44/Przelicznik_GJ_tona,AE44*Przelicznik_MP_tona)))</f>
        <v/>
      </c>
      <c r="AG44" s="20">
        <f>AF44*Przelicznik_GJ_tona</f>
        <v/>
      </c>
      <c r="AH44" s="20">
        <f>IF(UPPER(AD44)="SKORYGOWANY",0,IF(OR(UPPER(E44)="TRANSPORT",UPPER(E44)="MM"),0,IF(UPPER(G44)&lt;&gt;"TAK",0,IF(OR(UPPER(E44)="ZAKUP",UPPER(E44)="PRODUKCJA"),AE44,IF(OR(UPPER(E44)="SPRZEDAŻ",UPPER(E44)="ZUŻYCIE"),-AE44,0)))))</f>
        <v/>
      </c>
      <c r="AI44" s="20">
        <f>IF(UPPER(AD44)="SKORYGOWANY",0,IF(OR(UPPER(E44)="TRANSPORT",UPPER(E44)="MM"),0,IF(UPPER(G44)&lt;&gt;"TAK",0,IF(OR(UPPER(E44)="ZAKUP",UPPER(E44)="PRODUKCJA"),AF44,IF(OR(UPPER(E44)="SPRZEDAŻ",UPPER(E44)="ZUŻYCIE"),-AF44,0)))))</f>
        <v/>
      </c>
      <c r="AJ44" s="21">
        <f>IF(UPPER(AD44)="SKORYGOWANY",0,IF(UPPER(E44)="ZAKUP",IF(L44&lt;&gt;"",L44,I44*K44),0))</f>
        <v/>
      </c>
      <c r="AK44" s="21">
        <f>IF(UPPER(AD44)="SKORYGOWANY",0,IF(UPPER(E44)="SPRZEDAŻ",IF(L44&lt;&gt;"",L44,I44*M44),0))</f>
        <v/>
      </c>
      <c r="AL44" s="21">
        <f>AE44*Q44</f>
        <v/>
      </c>
      <c r="AM44">
        <f>IF(R44="","",IF(LOWER(R44)="brak","Brak",IF(OR(ISNUMBER(SEARCH("własn",LOWER(R44))),ISNUMBER(SEARCH("wlasn",LOWER(R44))),ISNUMBER(SEARCH("wojciechowski",LOWER(R44)))),"Własny","Zewnętrzny")))</f>
        <v/>
      </c>
      <c r="AN44" s="24">
        <f>IF(C44="","",YEAR(C44))</f>
        <v/>
      </c>
      <c r="AO44" s="24">
        <f>IF(C44="","",MONTH(C44))</f>
        <v/>
      </c>
      <c r="AP44">
        <f>IF(C44="","",UPPER(TEXT(C44,"mmmm")))</f>
        <v/>
      </c>
      <c r="AQ44">
        <f>IF(C44="","","Q"&amp;ROUNDUP(MONTH(C44)/3,0))</f>
        <v/>
      </c>
    </row>
    <row r="45">
      <c r="A45" s="19" t="n">
        <v>46212</v>
      </c>
      <c r="B45" t="inlineStr">
        <is>
          <t>Magazyn Pyskowice</t>
        </is>
      </c>
      <c r="C45" s="19" t="n">
        <v>46212</v>
      </c>
      <c r="D45" t="inlineStr">
        <is>
          <t>Magazyn Pyskowice</t>
        </is>
      </c>
      <c r="E45" t="inlineStr">
        <is>
          <t>MM</t>
        </is>
      </c>
      <c r="F45" t="inlineStr">
        <is>
          <t>MM-10</t>
        </is>
      </c>
      <c r="G45" t="inlineStr">
        <is>
          <t>TAK</t>
        </is>
      </c>
      <c r="I45" s="20" t="n">
        <v>69</v>
      </c>
      <c r="J45" t="inlineStr">
        <is>
          <t>MP</t>
        </is>
      </c>
      <c r="K45" s="21" t="n">
        <v>0</v>
      </c>
      <c r="L45" s="21" t="n">
        <v>0</v>
      </c>
      <c r="M45" s="21" t="n">
        <v>0</v>
      </c>
      <c r="N45" t="inlineStr">
        <is>
          <t>Zrębka Produkcyjna Leśna</t>
        </is>
      </c>
      <c r="O45" t="inlineStr">
        <is>
          <t>B</t>
        </is>
      </c>
      <c r="Q45" s="21" t="n">
        <v>0</v>
      </c>
      <c r="R45" t="inlineStr">
        <is>
          <t>własny (Wiór)</t>
        </is>
      </c>
      <c r="S45" t="inlineStr">
        <is>
          <t>SK 7H433</t>
        </is>
      </c>
      <c r="T45" s="22" t="n">
        <v>40</v>
      </c>
      <c r="U45" s="21" t="n">
        <v>6</v>
      </c>
      <c r="V45" s="21" t="n">
        <v>240</v>
      </c>
      <c r="W45" t="inlineStr">
        <is>
          <t>Magazyn Zabrze</t>
        </is>
      </c>
      <c r="X45" t="inlineStr">
        <is>
          <t>Magazyn Pyskowice</t>
        </is>
      </c>
      <c r="Z45" t="inlineStr">
        <is>
          <t>Roesner Mateusz</t>
        </is>
      </c>
      <c r="AA45" s="23" t="n">
        <v>46213.46517361111</v>
      </c>
      <c r="AB45" t="inlineStr">
        <is>
          <t>OP-MIGR-00044</t>
        </is>
      </c>
      <c r="AD45" t="inlineStr">
        <is>
          <t>AKTYWNY</t>
        </is>
      </c>
      <c r="AE45" s="20">
        <f>IF(I45="",0,IF(ISNUMBER(SEARCH("MP",UPPER(J45))),I45,IF(ISNUMBER(SEARCH("TON",UPPER(J45))),I45/Przelicznik_MP_tona,IF(ISNUMBER(SEARCH("M3",UPPER(J45))),I45*Przelicznik_M3_MP,IF(ISNUMBER(SEARCH("GJ",UPPER(J45))),I45/Przelicznik_GJ_tona/Przelicznik_MP_tona,I45)))))</f>
        <v/>
      </c>
      <c r="AF45" s="20">
        <f>IF(I45="",0,IF(ISNUMBER(SEARCH("TON",UPPER(J45))),I45,IF(ISNUMBER(SEARCH("GJ",UPPER(J45))),I45/Przelicznik_GJ_tona,AE45*Przelicznik_MP_tona)))</f>
        <v/>
      </c>
      <c r="AG45" s="20">
        <f>AF45*Przelicznik_GJ_tona</f>
        <v/>
      </c>
      <c r="AH45" s="20">
        <f>IF(UPPER(AD45)="SKORYGOWANY",0,IF(OR(UPPER(E45)="TRANSPORT",UPPER(E45)="MM"),0,IF(UPPER(G45)&lt;&gt;"TAK",0,IF(OR(UPPER(E45)="ZAKUP",UPPER(E45)="PRODUKCJA"),AE45,IF(OR(UPPER(E45)="SPRZEDAŻ",UPPER(E45)="ZUŻYCIE"),-AE45,0)))))</f>
        <v/>
      </c>
      <c r="AI45" s="20">
        <f>IF(UPPER(AD45)="SKORYGOWANY",0,IF(OR(UPPER(E45)="TRANSPORT",UPPER(E45)="MM"),0,IF(UPPER(G45)&lt;&gt;"TAK",0,IF(OR(UPPER(E45)="ZAKUP",UPPER(E45)="PRODUKCJA"),AF45,IF(OR(UPPER(E45)="SPRZEDAŻ",UPPER(E45)="ZUŻYCIE"),-AF45,0)))))</f>
        <v/>
      </c>
      <c r="AJ45" s="21">
        <f>IF(UPPER(AD45)="SKORYGOWANY",0,IF(UPPER(E45)="ZAKUP",IF(L45&lt;&gt;"",L45,I45*K45),0))</f>
        <v/>
      </c>
      <c r="AK45" s="21">
        <f>IF(UPPER(AD45)="SKORYGOWANY",0,IF(UPPER(E45)="SPRZEDAŻ",IF(L45&lt;&gt;"",L45,I45*M45),0))</f>
        <v/>
      </c>
      <c r="AL45" s="21">
        <f>AE45*Q45</f>
        <v/>
      </c>
      <c r="AM45">
        <f>IF(R45="","",IF(LOWER(R45)="brak","Brak",IF(OR(ISNUMBER(SEARCH("własn",LOWER(R45))),ISNUMBER(SEARCH("wlasn",LOWER(R45))),ISNUMBER(SEARCH("wojciechowski",LOWER(R45)))),"Własny","Zewnętrzny")))</f>
        <v/>
      </c>
      <c r="AN45" s="24">
        <f>IF(C45="","",YEAR(C45))</f>
        <v/>
      </c>
      <c r="AO45" s="24">
        <f>IF(C45="","",MONTH(C45))</f>
        <v/>
      </c>
      <c r="AP45">
        <f>IF(C45="","",UPPER(TEXT(C45,"mmmm")))</f>
        <v/>
      </c>
      <c r="AQ45">
        <f>IF(C45="","","Q"&amp;ROUNDUP(MONTH(C45)/3,0))</f>
        <v/>
      </c>
    </row>
    <row r="46">
      <c r="A46" s="19" t="n">
        <v>46212</v>
      </c>
      <c r="B46" t="inlineStr">
        <is>
          <t>Magazyn Pyskowice</t>
        </is>
      </c>
      <c r="C46" s="19" t="n">
        <v>46212</v>
      </c>
      <c r="D46" t="inlineStr">
        <is>
          <t>Magazyn Pyskowice</t>
        </is>
      </c>
      <c r="E46" t="inlineStr">
        <is>
          <t>MM</t>
        </is>
      </c>
      <c r="F46" t="inlineStr">
        <is>
          <t>MM-11</t>
        </is>
      </c>
      <c r="G46" t="inlineStr">
        <is>
          <t>TAK</t>
        </is>
      </c>
      <c r="I46" s="20" t="n">
        <v>84</v>
      </c>
      <c r="J46" t="inlineStr">
        <is>
          <t>MP</t>
        </is>
      </c>
      <c r="K46" s="21" t="n">
        <v>0</v>
      </c>
      <c r="L46" s="21" t="n">
        <v>0</v>
      </c>
      <c r="M46" s="21" t="n">
        <v>0</v>
      </c>
      <c r="N46" t="inlineStr">
        <is>
          <t>Zrębka Produkcyjna Leśna</t>
        </is>
      </c>
      <c r="O46" t="inlineStr">
        <is>
          <t>B</t>
        </is>
      </c>
      <c r="Q46" s="21" t="n">
        <v>0</v>
      </c>
      <c r="R46" t="inlineStr">
        <is>
          <t>własny (Kretek)</t>
        </is>
      </c>
      <c r="S46" t="inlineStr">
        <is>
          <t>SK 7J885</t>
        </is>
      </c>
      <c r="T46" s="22" t="n">
        <v>40</v>
      </c>
      <c r="U46" s="21" t="n">
        <v>5</v>
      </c>
      <c r="V46" s="21" t="n">
        <v>200</v>
      </c>
      <c r="W46" t="inlineStr">
        <is>
          <t>Magazyn Zabrze</t>
        </is>
      </c>
      <c r="X46" t="inlineStr">
        <is>
          <t>Magazyn Pyskowice</t>
        </is>
      </c>
      <c r="Z46" t="inlineStr">
        <is>
          <t>Roesner Mateusz</t>
        </is>
      </c>
      <c r="AA46" s="23" t="n">
        <v>46213.46625</v>
      </c>
      <c r="AB46" t="inlineStr">
        <is>
          <t>OP-MIGR-00045</t>
        </is>
      </c>
      <c r="AD46" t="inlineStr">
        <is>
          <t>AKTYWNY</t>
        </is>
      </c>
      <c r="AE46" s="20">
        <f>IF(I46="",0,IF(ISNUMBER(SEARCH("MP",UPPER(J46))),I46,IF(ISNUMBER(SEARCH("TON",UPPER(J46))),I46/Przelicznik_MP_tona,IF(ISNUMBER(SEARCH("M3",UPPER(J46))),I46*Przelicznik_M3_MP,IF(ISNUMBER(SEARCH("GJ",UPPER(J46))),I46/Przelicznik_GJ_tona/Przelicznik_MP_tona,I46)))))</f>
        <v/>
      </c>
      <c r="AF46" s="20">
        <f>IF(I46="",0,IF(ISNUMBER(SEARCH("TON",UPPER(J46))),I46,IF(ISNUMBER(SEARCH("GJ",UPPER(J46))),I46/Przelicznik_GJ_tona,AE46*Przelicznik_MP_tona)))</f>
        <v/>
      </c>
      <c r="AG46" s="20">
        <f>AF46*Przelicznik_GJ_tona</f>
        <v/>
      </c>
      <c r="AH46" s="20">
        <f>IF(UPPER(AD46)="SKORYGOWANY",0,IF(OR(UPPER(E46)="TRANSPORT",UPPER(E46)="MM"),0,IF(UPPER(G46)&lt;&gt;"TAK",0,IF(OR(UPPER(E46)="ZAKUP",UPPER(E46)="PRODUKCJA"),AE46,IF(OR(UPPER(E46)="SPRZEDAŻ",UPPER(E46)="ZUŻYCIE"),-AE46,0)))))</f>
        <v/>
      </c>
      <c r="AI46" s="20">
        <f>IF(UPPER(AD46)="SKORYGOWANY",0,IF(OR(UPPER(E46)="TRANSPORT",UPPER(E46)="MM"),0,IF(UPPER(G46)&lt;&gt;"TAK",0,IF(OR(UPPER(E46)="ZAKUP",UPPER(E46)="PRODUKCJA"),AF46,IF(OR(UPPER(E46)="SPRZEDAŻ",UPPER(E46)="ZUŻYCIE"),-AF46,0)))))</f>
        <v/>
      </c>
      <c r="AJ46" s="21">
        <f>IF(UPPER(AD46)="SKORYGOWANY",0,IF(UPPER(E46)="ZAKUP",IF(L46&lt;&gt;"",L46,I46*K46),0))</f>
        <v/>
      </c>
      <c r="AK46" s="21">
        <f>IF(UPPER(AD46)="SKORYGOWANY",0,IF(UPPER(E46)="SPRZEDAŻ",IF(L46&lt;&gt;"",L46,I46*M46),0))</f>
        <v/>
      </c>
      <c r="AL46" s="21">
        <f>AE46*Q46</f>
        <v/>
      </c>
      <c r="AM46">
        <f>IF(R46="","",IF(LOWER(R46)="brak","Brak",IF(OR(ISNUMBER(SEARCH("własn",LOWER(R46))),ISNUMBER(SEARCH("wlasn",LOWER(R46))),ISNUMBER(SEARCH("wojciechowski",LOWER(R46)))),"Własny","Zewnętrzny")))</f>
        <v/>
      </c>
      <c r="AN46" s="24">
        <f>IF(C46="","",YEAR(C46))</f>
        <v/>
      </c>
      <c r="AO46" s="24">
        <f>IF(C46="","",MONTH(C46))</f>
        <v/>
      </c>
      <c r="AP46">
        <f>IF(C46="","",UPPER(TEXT(C46,"mmmm")))</f>
        <v/>
      </c>
      <c r="AQ46">
        <f>IF(C46="","","Q"&amp;ROUNDUP(MONTH(C46)/3,0))</f>
        <v/>
      </c>
    </row>
    <row r="47">
      <c r="A47" s="19" t="n">
        <v>46212</v>
      </c>
      <c r="B47" t="inlineStr">
        <is>
          <t>Magazyn Pyskowice</t>
        </is>
      </c>
      <c r="C47" s="19" t="n">
        <v>46212</v>
      </c>
      <c r="D47" t="inlineStr">
        <is>
          <t>Magazyn Pyskowice</t>
        </is>
      </c>
      <c r="E47" t="inlineStr">
        <is>
          <t>MM</t>
        </is>
      </c>
      <c r="F47" t="inlineStr">
        <is>
          <t>MM-12</t>
        </is>
      </c>
      <c r="G47" t="inlineStr">
        <is>
          <t>TAK</t>
        </is>
      </c>
      <c r="I47" s="20" t="n">
        <v>86</v>
      </c>
      <c r="J47" t="inlineStr">
        <is>
          <t>MP</t>
        </is>
      </c>
      <c r="K47" s="21" t="n">
        <v>0</v>
      </c>
      <c r="L47" s="21" t="n">
        <v>0</v>
      </c>
      <c r="M47" s="21" t="n">
        <v>0</v>
      </c>
      <c r="N47" t="inlineStr">
        <is>
          <t>Zrębka Produkcyjna Leśna</t>
        </is>
      </c>
      <c r="O47" t="inlineStr">
        <is>
          <t>B</t>
        </is>
      </c>
      <c r="Q47" s="21" t="n">
        <v>0</v>
      </c>
      <c r="R47" t="inlineStr">
        <is>
          <t>własny (Wilczak)</t>
        </is>
      </c>
      <c r="S47" t="inlineStr">
        <is>
          <t>SK 7J884</t>
        </is>
      </c>
      <c r="T47" s="22" t="n">
        <v>40</v>
      </c>
      <c r="U47" s="21" t="n">
        <v>5</v>
      </c>
      <c r="V47" s="21" t="n">
        <v>200</v>
      </c>
      <c r="W47" t="inlineStr">
        <is>
          <t>Magazyn Zabrze</t>
        </is>
      </c>
      <c r="X47" t="inlineStr">
        <is>
          <t>Magazyn Pyskowice</t>
        </is>
      </c>
      <c r="Z47" t="inlineStr">
        <is>
          <t>Roesner Mateusz</t>
        </is>
      </c>
      <c r="AA47" s="23" t="n">
        <v>46213.46701388889</v>
      </c>
      <c r="AB47" t="inlineStr">
        <is>
          <t>OP-MIGR-00046</t>
        </is>
      </c>
      <c r="AD47" t="inlineStr">
        <is>
          <t>AKTYWNY</t>
        </is>
      </c>
      <c r="AE47" s="20">
        <f>IF(I47="",0,IF(ISNUMBER(SEARCH("MP",UPPER(J47))),I47,IF(ISNUMBER(SEARCH("TON",UPPER(J47))),I47/Przelicznik_MP_tona,IF(ISNUMBER(SEARCH("M3",UPPER(J47))),I47*Przelicznik_M3_MP,IF(ISNUMBER(SEARCH("GJ",UPPER(J47))),I47/Przelicznik_GJ_tona/Przelicznik_MP_tona,I47)))))</f>
        <v/>
      </c>
      <c r="AF47" s="20">
        <f>IF(I47="",0,IF(ISNUMBER(SEARCH("TON",UPPER(J47))),I47,IF(ISNUMBER(SEARCH("GJ",UPPER(J47))),I47/Przelicznik_GJ_tona,AE47*Przelicznik_MP_tona)))</f>
        <v/>
      </c>
      <c r="AG47" s="20">
        <f>AF47*Przelicznik_GJ_tona</f>
        <v/>
      </c>
      <c r="AH47" s="20">
        <f>IF(UPPER(AD47)="SKORYGOWANY",0,IF(OR(UPPER(E47)="TRANSPORT",UPPER(E47)="MM"),0,IF(UPPER(G47)&lt;&gt;"TAK",0,IF(OR(UPPER(E47)="ZAKUP",UPPER(E47)="PRODUKCJA"),AE47,IF(OR(UPPER(E47)="SPRZEDAŻ",UPPER(E47)="ZUŻYCIE"),-AE47,0)))))</f>
        <v/>
      </c>
      <c r="AI47" s="20">
        <f>IF(UPPER(AD47)="SKORYGOWANY",0,IF(OR(UPPER(E47)="TRANSPORT",UPPER(E47)="MM"),0,IF(UPPER(G47)&lt;&gt;"TAK",0,IF(OR(UPPER(E47)="ZAKUP",UPPER(E47)="PRODUKCJA"),AF47,IF(OR(UPPER(E47)="SPRZEDAŻ",UPPER(E47)="ZUŻYCIE"),-AF47,0)))))</f>
        <v/>
      </c>
      <c r="AJ47" s="21">
        <f>IF(UPPER(AD47)="SKORYGOWANY",0,IF(UPPER(E47)="ZAKUP",IF(L47&lt;&gt;"",L47,I47*K47),0))</f>
        <v/>
      </c>
      <c r="AK47" s="21">
        <f>IF(UPPER(AD47)="SKORYGOWANY",0,IF(UPPER(E47)="SPRZEDAŻ",IF(L47&lt;&gt;"",L47,I47*M47),0))</f>
        <v/>
      </c>
      <c r="AL47" s="21">
        <f>AE47*Q47</f>
        <v/>
      </c>
      <c r="AM47">
        <f>IF(R47="","",IF(LOWER(R47)="brak","Brak",IF(OR(ISNUMBER(SEARCH("własn",LOWER(R47))),ISNUMBER(SEARCH("wlasn",LOWER(R47))),ISNUMBER(SEARCH("wojciechowski",LOWER(R47)))),"Własny","Zewnętrzny")))</f>
        <v/>
      </c>
      <c r="AN47" s="24">
        <f>IF(C47="","",YEAR(C47))</f>
        <v/>
      </c>
      <c r="AO47" s="24">
        <f>IF(C47="","",MONTH(C47))</f>
        <v/>
      </c>
      <c r="AP47">
        <f>IF(C47="","",UPPER(TEXT(C47,"mmmm")))</f>
        <v/>
      </c>
      <c r="AQ47">
        <f>IF(C47="","","Q"&amp;ROUNDUP(MONTH(C47)/3,0))</f>
        <v/>
      </c>
    </row>
    <row r="48">
      <c r="A48" s="19" t="n">
        <v>46212</v>
      </c>
      <c r="C48" s="19" t="n">
        <v>46212</v>
      </c>
      <c r="D48" t="inlineStr">
        <is>
          <t>Walber</t>
        </is>
      </c>
      <c r="E48" t="inlineStr">
        <is>
          <t>ZAKUP</t>
        </is>
      </c>
      <c r="F48" t="inlineStr">
        <is>
          <t>PZ/11</t>
        </is>
      </c>
      <c r="G48" t="inlineStr">
        <is>
          <t>TAK</t>
        </is>
      </c>
      <c r="H48" t="inlineStr">
        <is>
          <t>KZR</t>
        </is>
      </c>
      <c r="I48" s="20" t="n">
        <v>25.54</v>
      </c>
      <c r="J48" t="inlineStr">
        <is>
          <t>TON</t>
        </is>
      </c>
      <c r="K48" s="21" t="n">
        <v>275</v>
      </c>
      <c r="L48" s="21" t="n">
        <v>7023.5</v>
      </c>
      <c r="M48" s="21" t="n">
        <v>0</v>
      </c>
      <c r="N48" t="inlineStr">
        <is>
          <t>Zrębka towar</t>
        </is>
      </c>
      <c r="O48" t="inlineStr">
        <is>
          <t>B</t>
        </is>
      </c>
      <c r="Q48" s="21" t="n">
        <v>0</v>
      </c>
      <c r="T48" s="22" t="n">
        <v>0</v>
      </c>
      <c r="U48" s="21" t="n">
        <v>0</v>
      </c>
      <c r="V48" s="21" t="n">
        <v>0</v>
      </c>
      <c r="W48" t="inlineStr">
        <is>
          <t>Magazyn Zabrze</t>
        </is>
      </c>
      <c r="Z48" t="inlineStr">
        <is>
          <t>Roesner Mateusz</t>
        </is>
      </c>
      <c r="AA48" s="23" t="n">
        <v>46217.43575231481</v>
      </c>
      <c r="AB48" t="inlineStr">
        <is>
          <t>OP-MIGR-00047</t>
        </is>
      </c>
      <c r="AD48" t="inlineStr">
        <is>
          <t>AKTYWNY</t>
        </is>
      </c>
      <c r="AE48" s="20">
        <f>IF(I48="",0,IF(ISNUMBER(SEARCH("MP",UPPER(J48))),I48,IF(ISNUMBER(SEARCH("TON",UPPER(J48))),I48/Przelicznik_MP_tona,IF(ISNUMBER(SEARCH("M3",UPPER(J48))),I48*Przelicznik_M3_MP,IF(ISNUMBER(SEARCH("GJ",UPPER(J48))),I48/Przelicznik_GJ_tona/Przelicznik_MP_tona,I48)))))</f>
        <v/>
      </c>
      <c r="AF48" s="20">
        <f>IF(I48="",0,IF(ISNUMBER(SEARCH("TON",UPPER(J48))),I48,IF(ISNUMBER(SEARCH("GJ",UPPER(J48))),I48/Przelicznik_GJ_tona,AE48*Przelicznik_MP_tona)))</f>
        <v/>
      </c>
      <c r="AG48" s="20">
        <f>AF48*Przelicznik_GJ_tona</f>
        <v/>
      </c>
      <c r="AH48" s="20">
        <f>IF(UPPER(AD48)="SKORYGOWANY",0,IF(OR(UPPER(E48)="TRANSPORT",UPPER(E48)="MM"),0,IF(UPPER(G48)&lt;&gt;"TAK",0,IF(OR(UPPER(E48)="ZAKUP",UPPER(E48)="PRODUKCJA"),AE48,IF(OR(UPPER(E48)="SPRZEDAŻ",UPPER(E48)="ZUŻYCIE"),-AE48,0)))))</f>
        <v/>
      </c>
      <c r="AI48" s="20">
        <f>IF(UPPER(AD48)="SKORYGOWANY",0,IF(OR(UPPER(E48)="TRANSPORT",UPPER(E48)="MM"),0,IF(UPPER(G48)&lt;&gt;"TAK",0,IF(OR(UPPER(E48)="ZAKUP",UPPER(E48)="PRODUKCJA"),AF48,IF(OR(UPPER(E48)="SPRZEDAŻ",UPPER(E48)="ZUŻYCIE"),-AF48,0)))))</f>
        <v/>
      </c>
      <c r="AJ48" s="21">
        <f>IF(UPPER(AD48)="SKORYGOWANY",0,IF(UPPER(E48)="ZAKUP",IF(L48&lt;&gt;"",L48,I48*K48),0))</f>
        <v/>
      </c>
      <c r="AK48" s="21">
        <f>IF(UPPER(AD48)="SKORYGOWANY",0,IF(UPPER(E48)="SPRZEDAŻ",IF(L48&lt;&gt;"",L48,I48*M48),0))</f>
        <v/>
      </c>
      <c r="AL48" s="21">
        <f>AE48*Q48</f>
        <v/>
      </c>
      <c r="AM48">
        <f>IF(R48="","",IF(LOWER(R48)="brak","Brak",IF(OR(ISNUMBER(SEARCH("własn",LOWER(R48))),ISNUMBER(SEARCH("wlasn",LOWER(R48))),ISNUMBER(SEARCH("wojciechowski",LOWER(R48)))),"Własny","Zewnętrzny")))</f>
        <v/>
      </c>
      <c r="AN48" s="24">
        <f>IF(C48="","",YEAR(C48))</f>
        <v/>
      </c>
      <c r="AO48" s="24">
        <f>IF(C48="","",MONTH(C48))</f>
        <v/>
      </c>
      <c r="AP48">
        <f>IF(C48="","",UPPER(TEXT(C48,"mmmm")))</f>
        <v/>
      </c>
      <c r="AQ48">
        <f>IF(C48="","","Q"&amp;ROUNDUP(MONTH(C48)/3,0))</f>
        <v/>
      </c>
    </row>
    <row r="49">
      <c r="A49" s="19" t="n">
        <v>46212</v>
      </c>
      <c r="C49" s="19" t="n">
        <v>46212</v>
      </c>
      <c r="D49" t="inlineStr">
        <is>
          <t>Walber</t>
        </is>
      </c>
      <c r="E49" t="inlineStr">
        <is>
          <t>ZAKUP</t>
        </is>
      </c>
      <c r="F49" t="inlineStr">
        <is>
          <t>PZ/12</t>
        </is>
      </c>
      <c r="G49" t="inlineStr">
        <is>
          <t>TAK</t>
        </is>
      </c>
      <c r="H49" t="inlineStr">
        <is>
          <t>KZR</t>
        </is>
      </c>
      <c r="I49" s="20" t="n">
        <v>24.08</v>
      </c>
      <c r="J49" t="inlineStr">
        <is>
          <t>MP</t>
        </is>
      </c>
      <c r="K49" s="21" t="n">
        <v>275</v>
      </c>
      <c r="L49" s="21" t="n">
        <v>6622</v>
      </c>
      <c r="M49" s="21" t="n">
        <v>0</v>
      </c>
      <c r="N49" t="inlineStr">
        <is>
          <t>Zrębka towar</t>
        </is>
      </c>
      <c r="O49" t="inlineStr">
        <is>
          <t>B</t>
        </is>
      </c>
      <c r="Q49" s="21" t="n">
        <v>0</v>
      </c>
      <c r="T49" s="22" t="n">
        <v>0</v>
      </c>
      <c r="U49" s="21" t="n">
        <v>0</v>
      </c>
      <c r="V49" s="21" t="n">
        <v>0</v>
      </c>
      <c r="W49" t="inlineStr">
        <is>
          <t>Magazyn Zabrze</t>
        </is>
      </c>
      <c r="Z49" t="inlineStr">
        <is>
          <t>Roesner Mateusz</t>
        </is>
      </c>
      <c r="AA49" s="23" t="n">
        <v>46217.43657407408</v>
      </c>
      <c r="AB49" t="inlineStr">
        <is>
          <t>OP-MIGR-00048</t>
        </is>
      </c>
      <c r="AD49" t="inlineStr">
        <is>
          <t>AKTYWNY</t>
        </is>
      </c>
      <c r="AE49" s="20">
        <f>IF(I49="",0,IF(ISNUMBER(SEARCH("MP",UPPER(J49))),I49,IF(ISNUMBER(SEARCH("TON",UPPER(J49))),I49/Przelicznik_MP_tona,IF(ISNUMBER(SEARCH("M3",UPPER(J49))),I49*Przelicznik_M3_MP,IF(ISNUMBER(SEARCH("GJ",UPPER(J49))),I49/Przelicznik_GJ_tona/Przelicznik_MP_tona,I49)))))</f>
        <v/>
      </c>
      <c r="AF49" s="20">
        <f>IF(I49="",0,IF(ISNUMBER(SEARCH("TON",UPPER(J49))),I49,IF(ISNUMBER(SEARCH("GJ",UPPER(J49))),I49/Przelicznik_GJ_tona,AE49*Przelicznik_MP_tona)))</f>
        <v/>
      </c>
      <c r="AG49" s="20">
        <f>AF49*Przelicznik_GJ_tona</f>
        <v/>
      </c>
      <c r="AH49" s="20">
        <f>IF(UPPER(AD49)="SKORYGOWANY",0,IF(OR(UPPER(E49)="TRANSPORT",UPPER(E49)="MM"),0,IF(UPPER(G49)&lt;&gt;"TAK",0,IF(OR(UPPER(E49)="ZAKUP",UPPER(E49)="PRODUKCJA"),AE49,IF(OR(UPPER(E49)="SPRZEDAŻ",UPPER(E49)="ZUŻYCIE"),-AE49,0)))))</f>
        <v/>
      </c>
      <c r="AI49" s="20">
        <f>IF(UPPER(AD49)="SKORYGOWANY",0,IF(OR(UPPER(E49)="TRANSPORT",UPPER(E49)="MM"),0,IF(UPPER(G49)&lt;&gt;"TAK",0,IF(OR(UPPER(E49)="ZAKUP",UPPER(E49)="PRODUKCJA"),AF49,IF(OR(UPPER(E49)="SPRZEDAŻ",UPPER(E49)="ZUŻYCIE"),-AF49,0)))))</f>
        <v/>
      </c>
      <c r="AJ49" s="21">
        <f>IF(UPPER(AD49)="SKORYGOWANY",0,IF(UPPER(E49)="ZAKUP",IF(L49&lt;&gt;"",L49,I49*K49),0))</f>
        <v/>
      </c>
      <c r="AK49" s="21">
        <f>IF(UPPER(AD49)="SKORYGOWANY",0,IF(UPPER(E49)="SPRZEDAŻ",IF(L49&lt;&gt;"",L49,I49*M49),0))</f>
        <v/>
      </c>
      <c r="AL49" s="21">
        <f>AE49*Q49</f>
        <v/>
      </c>
      <c r="AM49">
        <f>IF(R49="","",IF(LOWER(R49)="brak","Brak",IF(OR(ISNUMBER(SEARCH("własn",LOWER(R49))),ISNUMBER(SEARCH("wlasn",LOWER(R49))),ISNUMBER(SEARCH("wojciechowski",LOWER(R49)))),"Własny","Zewnętrzny")))</f>
        <v/>
      </c>
      <c r="AN49" s="24">
        <f>IF(C49="","",YEAR(C49))</f>
        <v/>
      </c>
      <c r="AO49" s="24">
        <f>IF(C49="","",MONTH(C49))</f>
        <v/>
      </c>
      <c r="AP49">
        <f>IF(C49="","",UPPER(TEXT(C49,"mmmm")))</f>
        <v/>
      </c>
      <c r="AQ49">
        <f>IF(C49="","","Q"&amp;ROUNDUP(MONTH(C49)/3,0))</f>
        <v/>
      </c>
    </row>
    <row r="50">
      <c r="A50" s="19" t="n">
        <v>46213</v>
      </c>
      <c r="B50" t="inlineStr">
        <is>
          <t>Magazyn Pyskowice</t>
        </is>
      </c>
      <c r="C50" s="19" t="n">
        <v>46213</v>
      </c>
      <c r="D50" t="inlineStr">
        <is>
          <t>Magazyn Pyskowice</t>
        </is>
      </c>
      <c r="E50" t="inlineStr">
        <is>
          <t>MM</t>
        </is>
      </c>
      <c r="F50" t="inlineStr">
        <is>
          <t>MM-13</t>
        </is>
      </c>
      <c r="G50" t="inlineStr">
        <is>
          <t>TAK</t>
        </is>
      </c>
      <c r="I50" s="20" t="n">
        <v>84</v>
      </c>
      <c r="J50" t="inlineStr">
        <is>
          <t>MP</t>
        </is>
      </c>
      <c r="K50" s="21" t="n">
        <v>0</v>
      </c>
      <c r="L50" s="21" t="n">
        <v>0</v>
      </c>
      <c r="M50" s="21" t="n">
        <v>0</v>
      </c>
      <c r="N50" t="inlineStr">
        <is>
          <t>Zrębka Produkcyjna Leśna</t>
        </is>
      </c>
      <c r="O50" t="inlineStr">
        <is>
          <t>B</t>
        </is>
      </c>
      <c r="Q50" s="21" t="n">
        <v>0</v>
      </c>
      <c r="R50" t="inlineStr">
        <is>
          <t>własny (Kretek)</t>
        </is>
      </c>
      <c r="S50" t="inlineStr">
        <is>
          <t>SK 7J885</t>
        </is>
      </c>
      <c r="T50" s="22" t="n">
        <v>40</v>
      </c>
      <c r="U50" s="21" t="n">
        <v>5</v>
      </c>
      <c r="V50" s="21" t="n">
        <v>200</v>
      </c>
      <c r="W50" t="inlineStr">
        <is>
          <t>Magazyn Zabrze</t>
        </is>
      </c>
      <c r="X50" t="inlineStr">
        <is>
          <t>Magazyn Pyskowice</t>
        </is>
      </c>
      <c r="Z50" t="inlineStr">
        <is>
          <t>Roesner Mateusz</t>
        </is>
      </c>
      <c r="AA50" s="23" t="n">
        <v>46213.41961805556</v>
      </c>
      <c r="AB50" t="inlineStr">
        <is>
          <t>OP-MIGR-00049</t>
        </is>
      </c>
      <c r="AD50" t="inlineStr">
        <is>
          <t>AKTYWNY</t>
        </is>
      </c>
      <c r="AE50" s="20">
        <f>IF(I50="",0,IF(ISNUMBER(SEARCH("MP",UPPER(J50))),I50,IF(ISNUMBER(SEARCH("TON",UPPER(J50))),I50/Przelicznik_MP_tona,IF(ISNUMBER(SEARCH("M3",UPPER(J50))),I50*Przelicznik_M3_MP,IF(ISNUMBER(SEARCH("GJ",UPPER(J50))),I50/Przelicznik_GJ_tona/Przelicznik_MP_tona,I50)))))</f>
        <v/>
      </c>
      <c r="AF50" s="20">
        <f>IF(I50="",0,IF(ISNUMBER(SEARCH("TON",UPPER(J50))),I50,IF(ISNUMBER(SEARCH("GJ",UPPER(J50))),I50/Przelicznik_GJ_tona,AE50*Przelicznik_MP_tona)))</f>
        <v/>
      </c>
      <c r="AG50" s="20">
        <f>AF50*Przelicznik_GJ_tona</f>
        <v/>
      </c>
      <c r="AH50" s="20">
        <f>IF(UPPER(AD50)="SKORYGOWANY",0,IF(OR(UPPER(E50)="TRANSPORT",UPPER(E50)="MM"),0,IF(UPPER(G50)&lt;&gt;"TAK",0,IF(OR(UPPER(E50)="ZAKUP",UPPER(E50)="PRODUKCJA"),AE50,IF(OR(UPPER(E50)="SPRZEDAŻ",UPPER(E50)="ZUŻYCIE"),-AE50,0)))))</f>
        <v/>
      </c>
      <c r="AI50" s="20">
        <f>IF(UPPER(AD50)="SKORYGOWANY",0,IF(OR(UPPER(E50)="TRANSPORT",UPPER(E50)="MM"),0,IF(UPPER(G50)&lt;&gt;"TAK",0,IF(OR(UPPER(E50)="ZAKUP",UPPER(E50)="PRODUKCJA"),AF50,IF(OR(UPPER(E50)="SPRZEDAŻ",UPPER(E50)="ZUŻYCIE"),-AF50,0)))))</f>
        <v/>
      </c>
      <c r="AJ50" s="21">
        <f>IF(UPPER(AD50)="SKORYGOWANY",0,IF(UPPER(E50)="ZAKUP",IF(L50&lt;&gt;"",L50,I50*K50),0))</f>
        <v/>
      </c>
      <c r="AK50" s="21">
        <f>IF(UPPER(AD50)="SKORYGOWANY",0,IF(UPPER(E50)="SPRZEDAŻ",IF(L50&lt;&gt;"",L50,I50*M50),0))</f>
        <v/>
      </c>
      <c r="AL50" s="21">
        <f>AE50*Q50</f>
        <v/>
      </c>
      <c r="AM50">
        <f>IF(R50="","",IF(LOWER(R50)="brak","Brak",IF(OR(ISNUMBER(SEARCH("własn",LOWER(R50))),ISNUMBER(SEARCH("wlasn",LOWER(R50))),ISNUMBER(SEARCH("wojciechowski",LOWER(R50)))),"Własny","Zewnętrzny")))</f>
        <v/>
      </c>
      <c r="AN50" s="24">
        <f>IF(C50="","",YEAR(C50))</f>
        <v/>
      </c>
      <c r="AO50" s="24">
        <f>IF(C50="","",MONTH(C50))</f>
        <v/>
      </c>
      <c r="AP50">
        <f>IF(C50="","",UPPER(TEXT(C50,"mmmm")))</f>
        <v/>
      </c>
      <c r="AQ50">
        <f>IF(C50="","","Q"&amp;ROUNDUP(MONTH(C50)/3,0))</f>
        <v/>
      </c>
    </row>
    <row r="51">
      <c r="A51" s="19" t="n">
        <v>46213</v>
      </c>
      <c r="B51" t="inlineStr">
        <is>
          <t>Magazyn Pyskowice</t>
        </is>
      </c>
      <c r="C51" s="19" t="n">
        <v>46213</v>
      </c>
      <c r="D51" t="inlineStr">
        <is>
          <t>Magazyn Pyskowice</t>
        </is>
      </c>
      <c r="E51" t="inlineStr">
        <is>
          <t>MM</t>
        </is>
      </c>
      <c r="F51" t="inlineStr">
        <is>
          <t>MM-14</t>
        </is>
      </c>
      <c r="G51" t="inlineStr">
        <is>
          <t>TAK</t>
        </is>
      </c>
      <c r="I51" s="20" t="n">
        <v>85</v>
      </c>
      <c r="J51" t="inlineStr">
        <is>
          <t>MP</t>
        </is>
      </c>
      <c r="K51" s="21" t="n">
        <v>0</v>
      </c>
      <c r="L51" s="21" t="n">
        <v>0</v>
      </c>
      <c r="M51" s="21" t="n">
        <v>0</v>
      </c>
      <c r="N51" t="inlineStr">
        <is>
          <t>Zrębka Produkcyjna Leśna</t>
        </is>
      </c>
      <c r="O51" t="inlineStr">
        <is>
          <t>B</t>
        </is>
      </c>
      <c r="Q51" s="21" t="n">
        <v>0</v>
      </c>
      <c r="R51" t="inlineStr">
        <is>
          <t>własny (Wilczak)</t>
        </is>
      </c>
      <c r="S51" t="inlineStr">
        <is>
          <t>SK 7J884</t>
        </is>
      </c>
      <c r="T51" s="22" t="n">
        <v>40</v>
      </c>
      <c r="U51" s="21" t="n">
        <v>5</v>
      </c>
      <c r="V51" s="21" t="n">
        <v>200</v>
      </c>
      <c r="W51" t="inlineStr">
        <is>
          <t>Magazyn Zabrze</t>
        </is>
      </c>
      <c r="X51" t="inlineStr">
        <is>
          <t>Magazyn Pyskowice</t>
        </is>
      </c>
      <c r="Z51" t="inlineStr">
        <is>
          <t>Roesner Mateusz</t>
        </is>
      </c>
      <c r="AA51" s="23" t="n">
        <v>46213.42038194444</v>
      </c>
      <c r="AB51" t="inlineStr">
        <is>
          <t>OP-MIGR-00050</t>
        </is>
      </c>
      <c r="AD51" t="inlineStr">
        <is>
          <t>AKTYWNY</t>
        </is>
      </c>
      <c r="AE51" s="20">
        <f>IF(I51="",0,IF(ISNUMBER(SEARCH("MP",UPPER(J51))),I51,IF(ISNUMBER(SEARCH("TON",UPPER(J51))),I51/Przelicznik_MP_tona,IF(ISNUMBER(SEARCH("M3",UPPER(J51))),I51*Przelicznik_M3_MP,IF(ISNUMBER(SEARCH("GJ",UPPER(J51))),I51/Przelicznik_GJ_tona/Przelicznik_MP_tona,I51)))))</f>
        <v/>
      </c>
      <c r="AF51" s="20">
        <f>IF(I51="",0,IF(ISNUMBER(SEARCH("TON",UPPER(J51))),I51,IF(ISNUMBER(SEARCH("GJ",UPPER(J51))),I51/Przelicznik_GJ_tona,AE51*Przelicznik_MP_tona)))</f>
        <v/>
      </c>
      <c r="AG51" s="20">
        <f>AF51*Przelicznik_GJ_tona</f>
        <v/>
      </c>
      <c r="AH51" s="20">
        <f>IF(UPPER(AD51)="SKORYGOWANY",0,IF(OR(UPPER(E51)="TRANSPORT",UPPER(E51)="MM"),0,IF(UPPER(G51)&lt;&gt;"TAK",0,IF(OR(UPPER(E51)="ZAKUP",UPPER(E51)="PRODUKCJA"),AE51,IF(OR(UPPER(E51)="SPRZEDAŻ",UPPER(E51)="ZUŻYCIE"),-AE51,0)))))</f>
        <v/>
      </c>
      <c r="AI51" s="20">
        <f>IF(UPPER(AD51)="SKORYGOWANY",0,IF(OR(UPPER(E51)="TRANSPORT",UPPER(E51)="MM"),0,IF(UPPER(G51)&lt;&gt;"TAK",0,IF(OR(UPPER(E51)="ZAKUP",UPPER(E51)="PRODUKCJA"),AF51,IF(OR(UPPER(E51)="SPRZEDAŻ",UPPER(E51)="ZUŻYCIE"),-AF51,0)))))</f>
        <v/>
      </c>
      <c r="AJ51" s="21">
        <f>IF(UPPER(AD51)="SKORYGOWANY",0,IF(UPPER(E51)="ZAKUP",IF(L51&lt;&gt;"",L51,I51*K51),0))</f>
        <v/>
      </c>
      <c r="AK51" s="21">
        <f>IF(UPPER(AD51)="SKORYGOWANY",0,IF(UPPER(E51)="SPRZEDAŻ",IF(L51&lt;&gt;"",L51,I51*M51),0))</f>
        <v/>
      </c>
      <c r="AL51" s="21">
        <f>AE51*Q51</f>
        <v/>
      </c>
      <c r="AM51">
        <f>IF(R51="","",IF(LOWER(R51)="brak","Brak",IF(OR(ISNUMBER(SEARCH("własn",LOWER(R51))),ISNUMBER(SEARCH("wlasn",LOWER(R51))),ISNUMBER(SEARCH("wojciechowski",LOWER(R51)))),"Własny","Zewnętrzny")))</f>
        <v/>
      </c>
      <c r="AN51" s="24">
        <f>IF(C51="","",YEAR(C51))</f>
        <v/>
      </c>
      <c r="AO51" s="24">
        <f>IF(C51="","",MONTH(C51))</f>
        <v/>
      </c>
      <c r="AP51">
        <f>IF(C51="","",UPPER(TEXT(C51,"mmmm")))</f>
        <v/>
      </c>
      <c r="AQ51">
        <f>IF(C51="","","Q"&amp;ROUNDUP(MONTH(C51)/3,0))</f>
        <v/>
      </c>
    </row>
    <row r="52">
      <c r="A52" s="19" t="n">
        <v>46213</v>
      </c>
      <c r="B52" t="inlineStr">
        <is>
          <t>Magazyn Pyskowice</t>
        </is>
      </c>
      <c r="C52" s="19" t="n">
        <v>46213</v>
      </c>
      <c r="D52" t="inlineStr">
        <is>
          <t>Magazyn Pyskowice</t>
        </is>
      </c>
      <c r="E52" t="inlineStr">
        <is>
          <t>MM</t>
        </is>
      </c>
      <c r="F52" t="inlineStr">
        <is>
          <t>MM-15</t>
        </is>
      </c>
      <c r="G52" t="inlineStr">
        <is>
          <t>TAK</t>
        </is>
      </c>
      <c r="I52" s="20" t="n">
        <v>67</v>
      </c>
      <c r="J52" t="inlineStr">
        <is>
          <t>MP</t>
        </is>
      </c>
      <c r="K52" s="21" t="n">
        <v>0</v>
      </c>
      <c r="L52" s="21" t="n">
        <v>0</v>
      </c>
      <c r="M52" s="21" t="n">
        <v>0</v>
      </c>
      <c r="N52" t="inlineStr">
        <is>
          <t>Zrębka Produkcyjna Leśna</t>
        </is>
      </c>
      <c r="O52" t="inlineStr">
        <is>
          <t>B</t>
        </is>
      </c>
      <c r="Q52" s="21" t="n">
        <v>0</v>
      </c>
      <c r="R52" t="inlineStr">
        <is>
          <t>własny (Wiór)</t>
        </is>
      </c>
      <c r="S52" t="inlineStr">
        <is>
          <t>SK 7H433</t>
        </is>
      </c>
      <c r="T52" s="22" t="n">
        <v>40</v>
      </c>
      <c r="U52" s="21" t="n">
        <v>6</v>
      </c>
      <c r="V52" s="21" t="n">
        <v>240</v>
      </c>
      <c r="W52" t="inlineStr">
        <is>
          <t>Magazyn Zabrze</t>
        </is>
      </c>
      <c r="X52" t="inlineStr">
        <is>
          <t>Magazyn Pyskowice</t>
        </is>
      </c>
      <c r="Z52" t="inlineStr">
        <is>
          <t>Roesner Mateusz</t>
        </is>
      </c>
      <c r="AA52" s="23" t="n">
        <v>46213.42989583333</v>
      </c>
      <c r="AB52" t="inlineStr">
        <is>
          <t>OP-MIGR-00051</t>
        </is>
      </c>
      <c r="AD52" t="inlineStr">
        <is>
          <t>AKTYWNY</t>
        </is>
      </c>
      <c r="AE52" s="20">
        <f>IF(I52="",0,IF(ISNUMBER(SEARCH("MP",UPPER(J52))),I52,IF(ISNUMBER(SEARCH("TON",UPPER(J52))),I52/Przelicznik_MP_tona,IF(ISNUMBER(SEARCH("M3",UPPER(J52))),I52*Przelicznik_M3_MP,IF(ISNUMBER(SEARCH("GJ",UPPER(J52))),I52/Przelicznik_GJ_tona/Przelicznik_MP_tona,I52)))))</f>
        <v/>
      </c>
      <c r="AF52" s="20">
        <f>IF(I52="",0,IF(ISNUMBER(SEARCH("TON",UPPER(J52))),I52,IF(ISNUMBER(SEARCH("GJ",UPPER(J52))),I52/Przelicznik_GJ_tona,AE52*Przelicznik_MP_tona)))</f>
        <v/>
      </c>
      <c r="AG52" s="20">
        <f>AF52*Przelicznik_GJ_tona</f>
        <v/>
      </c>
      <c r="AH52" s="20">
        <f>IF(UPPER(AD52)="SKORYGOWANY",0,IF(OR(UPPER(E52)="TRANSPORT",UPPER(E52)="MM"),0,IF(UPPER(G52)&lt;&gt;"TAK",0,IF(OR(UPPER(E52)="ZAKUP",UPPER(E52)="PRODUKCJA"),AE52,IF(OR(UPPER(E52)="SPRZEDAŻ",UPPER(E52)="ZUŻYCIE"),-AE52,0)))))</f>
        <v/>
      </c>
      <c r="AI52" s="20">
        <f>IF(UPPER(AD52)="SKORYGOWANY",0,IF(OR(UPPER(E52)="TRANSPORT",UPPER(E52)="MM"),0,IF(UPPER(G52)&lt;&gt;"TAK",0,IF(OR(UPPER(E52)="ZAKUP",UPPER(E52)="PRODUKCJA"),AF52,IF(OR(UPPER(E52)="SPRZEDAŻ",UPPER(E52)="ZUŻYCIE"),-AF52,0)))))</f>
        <v/>
      </c>
      <c r="AJ52" s="21">
        <f>IF(UPPER(AD52)="SKORYGOWANY",0,IF(UPPER(E52)="ZAKUP",IF(L52&lt;&gt;"",L52,I52*K52),0))</f>
        <v/>
      </c>
      <c r="AK52" s="21">
        <f>IF(UPPER(AD52)="SKORYGOWANY",0,IF(UPPER(E52)="SPRZEDAŻ",IF(L52&lt;&gt;"",L52,I52*M52),0))</f>
        <v/>
      </c>
      <c r="AL52" s="21">
        <f>AE52*Q52</f>
        <v/>
      </c>
      <c r="AM52">
        <f>IF(R52="","",IF(LOWER(R52)="brak","Brak",IF(OR(ISNUMBER(SEARCH("własn",LOWER(R52))),ISNUMBER(SEARCH("wlasn",LOWER(R52))),ISNUMBER(SEARCH("wojciechowski",LOWER(R52)))),"Własny","Zewnętrzny")))</f>
        <v/>
      </c>
      <c r="AN52" s="24">
        <f>IF(C52="","",YEAR(C52))</f>
        <v/>
      </c>
      <c r="AO52" s="24">
        <f>IF(C52="","",MONTH(C52))</f>
        <v/>
      </c>
      <c r="AP52">
        <f>IF(C52="","",UPPER(TEXT(C52,"mmmm")))</f>
        <v/>
      </c>
      <c r="AQ52">
        <f>IF(C52="","","Q"&amp;ROUNDUP(MONTH(C52)/3,0))</f>
        <v/>
      </c>
    </row>
    <row r="53">
      <c r="A53" s="19" t="n">
        <v>46213</v>
      </c>
      <c r="C53" s="19" t="n">
        <v>46213</v>
      </c>
      <c r="D53" t="inlineStr">
        <is>
          <t>Lander Agro</t>
        </is>
      </c>
      <c r="E53" t="inlineStr">
        <is>
          <t>ZAKUP</t>
        </is>
      </c>
      <c r="F53" t="inlineStr">
        <is>
          <t>PZ/4/D</t>
        </is>
      </c>
      <c r="G53" t="inlineStr">
        <is>
          <t>TAK</t>
        </is>
      </c>
      <c r="H53" t="inlineStr">
        <is>
          <t>KZR</t>
        </is>
      </c>
      <c r="I53" s="20" t="n">
        <v>27.02</v>
      </c>
      <c r="J53" t="inlineStr">
        <is>
          <t>M3</t>
        </is>
      </c>
      <c r="K53" s="21" t="n">
        <v>230</v>
      </c>
      <c r="L53" s="21" t="n">
        <v>6214.6</v>
      </c>
      <c r="M53" s="21" t="n">
        <v>0</v>
      </c>
      <c r="N53" t="inlineStr">
        <is>
          <t>Drewno opałowe z lasu</t>
        </is>
      </c>
      <c r="Q53" s="21" t="n">
        <v>0</v>
      </c>
      <c r="T53" s="22" t="n">
        <v>0</v>
      </c>
      <c r="U53" s="21" t="n">
        <v>0</v>
      </c>
      <c r="V53" s="21" t="n">
        <v>0</v>
      </c>
      <c r="W53" t="inlineStr">
        <is>
          <t>Magazyn Zabrze</t>
        </is>
      </c>
      <c r="Z53" t="inlineStr">
        <is>
          <t>Roesner Mateusz</t>
        </is>
      </c>
      <c r="AA53" s="23" t="n">
        <v>46213.44616898148</v>
      </c>
      <c r="AB53" t="inlineStr">
        <is>
          <t>OP-MIGR-00055</t>
        </is>
      </c>
      <c r="AD53" t="inlineStr">
        <is>
          <t>AKTYWNY</t>
        </is>
      </c>
      <c r="AE53" s="20">
        <f>IF(I53="",0,IF(ISNUMBER(SEARCH("MP",UPPER(J53))),I53,IF(ISNUMBER(SEARCH("TON",UPPER(J53))),I53/Przelicznik_MP_tona,IF(ISNUMBER(SEARCH("M3",UPPER(J53))),I53*Przelicznik_M3_MP,IF(ISNUMBER(SEARCH("GJ",UPPER(J53))),I53/Przelicznik_GJ_tona/Przelicznik_MP_tona,I53)))))</f>
        <v/>
      </c>
      <c r="AF53" s="20">
        <f>IF(I53="",0,IF(ISNUMBER(SEARCH("TON",UPPER(J53))),I53,IF(ISNUMBER(SEARCH("GJ",UPPER(J53))),I53/Przelicznik_GJ_tona,AE53*Przelicznik_MP_tona)))</f>
        <v/>
      </c>
      <c r="AG53" s="20">
        <f>AF53*Przelicznik_GJ_tona</f>
        <v/>
      </c>
      <c r="AH53" s="20">
        <f>IF(UPPER(AD53)="SKORYGOWANY",0,IF(OR(UPPER(E53)="TRANSPORT",UPPER(E53)="MM"),0,IF(UPPER(G53)&lt;&gt;"TAK",0,IF(OR(UPPER(E53)="ZAKUP",UPPER(E53)="PRODUKCJA"),AE53,IF(OR(UPPER(E53)="SPRZEDAŻ",UPPER(E53)="ZUŻYCIE"),-AE53,0)))))</f>
        <v/>
      </c>
      <c r="AI53" s="20">
        <f>IF(UPPER(AD53)="SKORYGOWANY",0,IF(OR(UPPER(E53)="TRANSPORT",UPPER(E53)="MM"),0,IF(UPPER(G53)&lt;&gt;"TAK",0,IF(OR(UPPER(E53)="ZAKUP",UPPER(E53)="PRODUKCJA"),AF53,IF(OR(UPPER(E53)="SPRZEDAŻ",UPPER(E53)="ZUŻYCIE"),-AF53,0)))))</f>
        <v/>
      </c>
      <c r="AJ53" s="21">
        <f>IF(UPPER(AD53)="SKORYGOWANY",0,IF(UPPER(E53)="ZAKUP",IF(L53&lt;&gt;"",L53,I53*K53),0))</f>
        <v/>
      </c>
      <c r="AK53" s="21">
        <f>IF(UPPER(AD53)="SKORYGOWANY",0,IF(UPPER(E53)="SPRZEDAŻ",IF(L53&lt;&gt;"",L53,I53*M53),0))</f>
        <v/>
      </c>
      <c r="AL53" s="21">
        <f>AE53*Q53</f>
        <v/>
      </c>
      <c r="AM53">
        <f>IF(R53="","",IF(LOWER(R53)="brak","Brak",IF(OR(ISNUMBER(SEARCH("własn",LOWER(R53))),ISNUMBER(SEARCH("wlasn",LOWER(R53))),ISNUMBER(SEARCH("wojciechowski",LOWER(R53)))),"Własny","Zewnętrzny")))</f>
        <v/>
      </c>
      <c r="AN53" s="24">
        <f>IF(C53="","",YEAR(C53))</f>
        <v/>
      </c>
      <c r="AO53" s="24">
        <f>IF(C53="","",MONTH(C53))</f>
        <v/>
      </c>
      <c r="AP53">
        <f>IF(C53="","",UPPER(TEXT(C53,"mmmm")))</f>
        <v/>
      </c>
      <c r="AQ53">
        <f>IF(C53="","","Q"&amp;ROUNDUP(MONTH(C53)/3,0))</f>
        <v/>
      </c>
    </row>
    <row r="54">
      <c r="A54" s="19" t="n">
        <v>46213</v>
      </c>
      <c r="B54" t="inlineStr">
        <is>
          <t>Magazyn Pyskowice</t>
        </is>
      </c>
      <c r="C54" s="19" t="n">
        <v>46213</v>
      </c>
      <c r="D54" t="inlineStr">
        <is>
          <t>Magazyn Pyskowice</t>
        </is>
      </c>
      <c r="E54" t="inlineStr">
        <is>
          <t>MM</t>
        </is>
      </c>
      <c r="F54" t="inlineStr">
        <is>
          <t>MM-16</t>
        </is>
      </c>
      <c r="G54" t="inlineStr">
        <is>
          <t>TAK</t>
        </is>
      </c>
      <c r="I54" s="20" t="n">
        <v>87</v>
      </c>
      <c r="J54" t="inlineStr">
        <is>
          <t>MP</t>
        </is>
      </c>
      <c r="K54" s="21" t="n">
        <v>0</v>
      </c>
      <c r="L54" s="21" t="n">
        <v>0</v>
      </c>
      <c r="M54" s="21" t="n">
        <v>0</v>
      </c>
      <c r="N54" t="inlineStr">
        <is>
          <t>Zrębka Produkcyjna Leśna</t>
        </is>
      </c>
      <c r="O54" t="inlineStr">
        <is>
          <t>B</t>
        </is>
      </c>
      <c r="Q54" s="21" t="n">
        <v>0</v>
      </c>
      <c r="R54" t="inlineStr">
        <is>
          <t>własny (Wilczak)</t>
        </is>
      </c>
      <c r="S54" t="inlineStr">
        <is>
          <t>SK 7J884</t>
        </is>
      </c>
      <c r="T54" s="22" t="n">
        <v>40</v>
      </c>
      <c r="U54" s="21" t="n">
        <v>5</v>
      </c>
      <c r="V54" s="21" t="n">
        <v>200</v>
      </c>
      <c r="W54" t="inlineStr">
        <is>
          <t>Magazyn Zabrze</t>
        </is>
      </c>
      <c r="X54" t="inlineStr">
        <is>
          <t>Magazyn Pyskowice</t>
        </is>
      </c>
      <c r="Z54" t="inlineStr">
        <is>
          <t>Roesner Mateusz</t>
        </is>
      </c>
      <c r="AA54" s="23" t="n">
        <v>46216.35856481481</v>
      </c>
      <c r="AB54" t="inlineStr">
        <is>
          <t>OP-MIGR-00052</t>
        </is>
      </c>
      <c r="AD54" t="inlineStr">
        <is>
          <t>AKTYWNY</t>
        </is>
      </c>
      <c r="AE54" s="20">
        <f>IF(I54="",0,IF(ISNUMBER(SEARCH("MP",UPPER(J54))),I54,IF(ISNUMBER(SEARCH("TON",UPPER(J54))),I54/Przelicznik_MP_tona,IF(ISNUMBER(SEARCH("M3",UPPER(J54))),I54*Przelicznik_M3_MP,IF(ISNUMBER(SEARCH("GJ",UPPER(J54))),I54/Przelicznik_GJ_tona/Przelicznik_MP_tona,I54)))))</f>
        <v/>
      </c>
      <c r="AF54" s="20">
        <f>IF(I54="",0,IF(ISNUMBER(SEARCH("TON",UPPER(J54))),I54,IF(ISNUMBER(SEARCH("GJ",UPPER(J54))),I54/Przelicznik_GJ_tona,AE54*Przelicznik_MP_tona)))</f>
        <v/>
      </c>
      <c r="AG54" s="20">
        <f>AF54*Przelicznik_GJ_tona</f>
        <v/>
      </c>
      <c r="AH54" s="20">
        <f>IF(UPPER(AD54)="SKORYGOWANY",0,IF(OR(UPPER(E54)="TRANSPORT",UPPER(E54)="MM"),0,IF(UPPER(G54)&lt;&gt;"TAK",0,IF(OR(UPPER(E54)="ZAKUP",UPPER(E54)="PRODUKCJA"),AE54,IF(OR(UPPER(E54)="SPRZEDAŻ",UPPER(E54)="ZUŻYCIE"),-AE54,0)))))</f>
        <v/>
      </c>
      <c r="AI54" s="20">
        <f>IF(UPPER(AD54)="SKORYGOWANY",0,IF(OR(UPPER(E54)="TRANSPORT",UPPER(E54)="MM"),0,IF(UPPER(G54)&lt;&gt;"TAK",0,IF(OR(UPPER(E54)="ZAKUP",UPPER(E54)="PRODUKCJA"),AF54,IF(OR(UPPER(E54)="SPRZEDAŻ",UPPER(E54)="ZUŻYCIE"),-AF54,0)))))</f>
        <v/>
      </c>
      <c r="AJ54" s="21">
        <f>IF(UPPER(AD54)="SKORYGOWANY",0,IF(UPPER(E54)="ZAKUP",IF(L54&lt;&gt;"",L54,I54*K54),0))</f>
        <v/>
      </c>
      <c r="AK54" s="21">
        <f>IF(UPPER(AD54)="SKORYGOWANY",0,IF(UPPER(E54)="SPRZEDAŻ",IF(L54&lt;&gt;"",L54,I54*M54),0))</f>
        <v/>
      </c>
      <c r="AL54" s="21">
        <f>AE54*Q54</f>
        <v/>
      </c>
      <c r="AM54">
        <f>IF(R54="","",IF(LOWER(R54)="brak","Brak",IF(OR(ISNUMBER(SEARCH("własn",LOWER(R54))),ISNUMBER(SEARCH("wlasn",LOWER(R54))),ISNUMBER(SEARCH("wojciechowski",LOWER(R54)))),"Własny","Zewnętrzny")))</f>
        <v/>
      </c>
      <c r="AN54" s="24">
        <f>IF(C54="","",YEAR(C54))</f>
        <v/>
      </c>
      <c r="AO54" s="24">
        <f>IF(C54="","",MONTH(C54))</f>
        <v/>
      </c>
      <c r="AP54">
        <f>IF(C54="","",UPPER(TEXT(C54,"mmmm")))</f>
        <v/>
      </c>
      <c r="AQ54">
        <f>IF(C54="","","Q"&amp;ROUNDUP(MONTH(C54)/3,0))</f>
        <v/>
      </c>
    </row>
    <row r="55">
      <c r="A55" s="19" t="n">
        <v>46213</v>
      </c>
      <c r="B55" t="inlineStr">
        <is>
          <t>Magazyn Pyskowice</t>
        </is>
      </c>
      <c r="C55" s="19" t="n">
        <v>46213</v>
      </c>
      <c r="D55" t="inlineStr">
        <is>
          <t>Magazyn Pyskowice</t>
        </is>
      </c>
      <c r="E55" t="inlineStr">
        <is>
          <t>MM</t>
        </is>
      </c>
      <c r="F55" t="inlineStr">
        <is>
          <t>MM-17</t>
        </is>
      </c>
      <c r="G55" t="inlineStr">
        <is>
          <t>TAK</t>
        </is>
      </c>
      <c r="I55" s="20" t="n">
        <v>87</v>
      </c>
      <c r="J55" t="inlineStr">
        <is>
          <t>MP</t>
        </is>
      </c>
      <c r="K55" s="21" t="n">
        <v>0</v>
      </c>
      <c r="L55" s="21" t="n">
        <v>0</v>
      </c>
      <c r="M55" s="21" t="n">
        <v>0</v>
      </c>
      <c r="N55" t="inlineStr">
        <is>
          <t>Zrębka Produkcyjna Leśna</t>
        </is>
      </c>
      <c r="O55" t="inlineStr">
        <is>
          <t>B</t>
        </is>
      </c>
      <c r="Q55" s="21" t="n">
        <v>0</v>
      </c>
      <c r="R55" t="inlineStr">
        <is>
          <t>własny (Kretek)</t>
        </is>
      </c>
      <c r="S55" t="inlineStr">
        <is>
          <t>SK 7J885</t>
        </is>
      </c>
      <c r="T55" s="22" t="n">
        <v>40</v>
      </c>
      <c r="U55" s="21" t="n">
        <v>5</v>
      </c>
      <c r="V55" s="21" t="n">
        <v>200</v>
      </c>
      <c r="W55" t="inlineStr">
        <is>
          <t>Magazyn Zabrze</t>
        </is>
      </c>
      <c r="X55" t="inlineStr">
        <is>
          <t>Magazyn Pyskowice</t>
        </is>
      </c>
      <c r="Z55" t="inlineStr">
        <is>
          <t>Roesner Mateusz</t>
        </is>
      </c>
      <c r="AA55" s="23" t="n">
        <v>46216.35946759259</v>
      </c>
      <c r="AB55" t="inlineStr">
        <is>
          <t>OP-MIGR-00053</t>
        </is>
      </c>
      <c r="AD55" t="inlineStr">
        <is>
          <t>AKTYWNY</t>
        </is>
      </c>
      <c r="AE55" s="20">
        <f>IF(I55="",0,IF(ISNUMBER(SEARCH("MP",UPPER(J55))),I55,IF(ISNUMBER(SEARCH("TON",UPPER(J55))),I55/Przelicznik_MP_tona,IF(ISNUMBER(SEARCH("M3",UPPER(J55))),I55*Przelicznik_M3_MP,IF(ISNUMBER(SEARCH("GJ",UPPER(J55))),I55/Przelicznik_GJ_tona/Przelicznik_MP_tona,I55)))))</f>
        <v/>
      </c>
      <c r="AF55" s="20">
        <f>IF(I55="",0,IF(ISNUMBER(SEARCH("TON",UPPER(J55))),I55,IF(ISNUMBER(SEARCH("GJ",UPPER(J55))),I55/Przelicznik_GJ_tona,AE55*Przelicznik_MP_tona)))</f>
        <v/>
      </c>
      <c r="AG55" s="20">
        <f>AF55*Przelicznik_GJ_tona</f>
        <v/>
      </c>
      <c r="AH55" s="20">
        <f>IF(UPPER(AD55)="SKORYGOWANY",0,IF(OR(UPPER(E55)="TRANSPORT",UPPER(E55)="MM"),0,IF(UPPER(G55)&lt;&gt;"TAK",0,IF(OR(UPPER(E55)="ZAKUP",UPPER(E55)="PRODUKCJA"),AE55,IF(OR(UPPER(E55)="SPRZEDAŻ",UPPER(E55)="ZUŻYCIE"),-AE55,0)))))</f>
        <v/>
      </c>
      <c r="AI55" s="20">
        <f>IF(UPPER(AD55)="SKORYGOWANY",0,IF(OR(UPPER(E55)="TRANSPORT",UPPER(E55)="MM"),0,IF(UPPER(G55)&lt;&gt;"TAK",0,IF(OR(UPPER(E55)="ZAKUP",UPPER(E55)="PRODUKCJA"),AF55,IF(OR(UPPER(E55)="SPRZEDAŻ",UPPER(E55)="ZUŻYCIE"),-AF55,0)))))</f>
        <v/>
      </c>
      <c r="AJ55" s="21">
        <f>IF(UPPER(AD55)="SKORYGOWANY",0,IF(UPPER(E55)="ZAKUP",IF(L55&lt;&gt;"",L55,I55*K55),0))</f>
        <v/>
      </c>
      <c r="AK55" s="21">
        <f>IF(UPPER(AD55)="SKORYGOWANY",0,IF(UPPER(E55)="SPRZEDAŻ",IF(L55&lt;&gt;"",L55,I55*M55),0))</f>
        <v/>
      </c>
      <c r="AL55" s="21">
        <f>AE55*Q55</f>
        <v/>
      </c>
      <c r="AM55">
        <f>IF(R55="","",IF(LOWER(R55)="brak","Brak",IF(OR(ISNUMBER(SEARCH("własn",LOWER(R55))),ISNUMBER(SEARCH("wlasn",LOWER(R55))),ISNUMBER(SEARCH("wojciechowski",LOWER(R55)))),"Własny","Zewnętrzny")))</f>
        <v/>
      </c>
      <c r="AN55" s="24">
        <f>IF(C55="","",YEAR(C55))</f>
        <v/>
      </c>
      <c r="AO55" s="24">
        <f>IF(C55="","",MONTH(C55))</f>
        <v/>
      </c>
      <c r="AP55">
        <f>IF(C55="","",UPPER(TEXT(C55,"mmmm")))</f>
        <v/>
      </c>
      <c r="AQ55">
        <f>IF(C55="","","Q"&amp;ROUNDUP(MONTH(C55)/3,0))</f>
        <v/>
      </c>
    </row>
    <row r="56">
      <c r="A56" s="19" t="n">
        <v>46213</v>
      </c>
      <c r="B56" t="inlineStr">
        <is>
          <t>Magazyn Pyskowice</t>
        </is>
      </c>
      <c r="C56" s="19" t="n">
        <v>46213</v>
      </c>
      <c r="D56" t="inlineStr">
        <is>
          <t>Magazyn Pyskowice</t>
        </is>
      </c>
      <c r="E56" t="inlineStr">
        <is>
          <t>MM</t>
        </is>
      </c>
      <c r="F56" t="inlineStr">
        <is>
          <t>MM-18</t>
        </is>
      </c>
      <c r="G56" t="inlineStr">
        <is>
          <t>TAK</t>
        </is>
      </c>
      <c r="I56" s="20" t="n">
        <v>70</v>
      </c>
      <c r="J56" t="inlineStr">
        <is>
          <t>MP</t>
        </is>
      </c>
      <c r="K56" s="21" t="n">
        <v>0</v>
      </c>
      <c r="L56" s="21" t="n">
        <v>0</v>
      </c>
      <c r="M56" s="21" t="n">
        <v>0</v>
      </c>
      <c r="N56" t="inlineStr">
        <is>
          <t>Zrębka Produkcyjna Leśna</t>
        </is>
      </c>
      <c r="O56" t="inlineStr">
        <is>
          <t>B</t>
        </is>
      </c>
      <c r="Q56" s="21" t="n">
        <v>0</v>
      </c>
      <c r="R56" t="inlineStr">
        <is>
          <t>własny (Wiór)</t>
        </is>
      </c>
      <c r="S56" t="inlineStr">
        <is>
          <t>SK 7H433</t>
        </is>
      </c>
      <c r="T56" s="22" t="n">
        <v>40</v>
      </c>
      <c r="U56" s="21" t="n">
        <v>6</v>
      </c>
      <c r="V56" s="21" t="n">
        <v>240</v>
      </c>
      <c r="W56" t="inlineStr">
        <is>
          <t>Magazyn Zabrze</t>
        </is>
      </c>
      <c r="X56" t="inlineStr">
        <is>
          <t>Magazyn Pyskowice</t>
        </is>
      </c>
      <c r="Z56" t="inlineStr">
        <is>
          <t>Roesner Mateusz</t>
        </is>
      </c>
      <c r="AA56" s="23" t="n">
        <v>46216.36017361111</v>
      </c>
      <c r="AB56" t="inlineStr">
        <is>
          <t>OP-MIGR-00054</t>
        </is>
      </c>
      <c r="AD56" t="inlineStr">
        <is>
          <t>AKTYWNY</t>
        </is>
      </c>
      <c r="AE56" s="20">
        <f>IF(I56="",0,IF(ISNUMBER(SEARCH("MP",UPPER(J56))),I56,IF(ISNUMBER(SEARCH("TON",UPPER(J56))),I56/Przelicznik_MP_tona,IF(ISNUMBER(SEARCH("M3",UPPER(J56))),I56*Przelicznik_M3_MP,IF(ISNUMBER(SEARCH("GJ",UPPER(J56))),I56/Przelicznik_GJ_tona/Przelicznik_MP_tona,I56)))))</f>
        <v/>
      </c>
      <c r="AF56" s="20">
        <f>IF(I56="",0,IF(ISNUMBER(SEARCH("TON",UPPER(J56))),I56,IF(ISNUMBER(SEARCH("GJ",UPPER(J56))),I56/Przelicznik_GJ_tona,AE56*Przelicznik_MP_tona)))</f>
        <v/>
      </c>
      <c r="AG56" s="20">
        <f>AF56*Przelicznik_GJ_tona</f>
        <v/>
      </c>
      <c r="AH56" s="20">
        <f>IF(UPPER(AD56)="SKORYGOWANY",0,IF(OR(UPPER(E56)="TRANSPORT",UPPER(E56)="MM"),0,IF(UPPER(G56)&lt;&gt;"TAK",0,IF(OR(UPPER(E56)="ZAKUP",UPPER(E56)="PRODUKCJA"),AE56,IF(OR(UPPER(E56)="SPRZEDAŻ",UPPER(E56)="ZUŻYCIE"),-AE56,0)))))</f>
        <v/>
      </c>
      <c r="AI56" s="20">
        <f>IF(UPPER(AD56)="SKORYGOWANY",0,IF(OR(UPPER(E56)="TRANSPORT",UPPER(E56)="MM"),0,IF(UPPER(G56)&lt;&gt;"TAK",0,IF(OR(UPPER(E56)="ZAKUP",UPPER(E56)="PRODUKCJA"),AF56,IF(OR(UPPER(E56)="SPRZEDAŻ",UPPER(E56)="ZUŻYCIE"),-AF56,0)))))</f>
        <v/>
      </c>
      <c r="AJ56" s="21">
        <f>IF(UPPER(AD56)="SKORYGOWANY",0,IF(UPPER(E56)="ZAKUP",IF(L56&lt;&gt;"",L56,I56*K56),0))</f>
        <v/>
      </c>
      <c r="AK56" s="21">
        <f>IF(UPPER(AD56)="SKORYGOWANY",0,IF(UPPER(E56)="SPRZEDAŻ",IF(L56&lt;&gt;"",L56,I56*M56),0))</f>
        <v/>
      </c>
      <c r="AL56" s="21">
        <f>AE56*Q56</f>
        <v/>
      </c>
      <c r="AM56">
        <f>IF(R56="","",IF(LOWER(R56)="brak","Brak",IF(OR(ISNUMBER(SEARCH("własn",LOWER(R56))),ISNUMBER(SEARCH("wlasn",LOWER(R56))),ISNUMBER(SEARCH("wojciechowski",LOWER(R56)))),"Własny","Zewnętrzny")))</f>
        <v/>
      </c>
      <c r="AN56" s="24">
        <f>IF(C56="","",YEAR(C56))</f>
        <v/>
      </c>
      <c r="AO56" s="24">
        <f>IF(C56="","",MONTH(C56))</f>
        <v/>
      </c>
      <c r="AP56">
        <f>IF(C56="","",UPPER(TEXT(C56,"mmmm")))</f>
        <v/>
      </c>
      <c r="AQ56">
        <f>IF(C56="","","Q"&amp;ROUNDUP(MONTH(C56)/3,0))</f>
        <v/>
      </c>
    </row>
    <row r="57">
      <c r="A57" s="19" t="n">
        <v>46213</v>
      </c>
      <c r="C57" s="19" t="n">
        <v>46213</v>
      </c>
      <c r="D57" t="inlineStr">
        <is>
          <t>Drewnex</t>
        </is>
      </c>
      <c r="E57" t="inlineStr">
        <is>
          <t>ZAKUP</t>
        </is>
      </c>
      <c r="F57" t="inlineStr">
        <is>
          <t>PZ/13</t>
        </is>
      </c>
      <c r="G57" t="inlineStr">
        <is>
          <t>TAK</t>
        </is>
      </c>
      <c r="H57" t="inlineStr">
        <is>
          <t>KZR</t>
        </is>
      </c>
      <c r="I57" s="20" t="n">
        <v>28.06</v>
      </c>
      <c r="J57" t="inlineStr">
        <is>
          <t>TON</t>
        </is>
      </c>
      <c r="K57" s="21" t="n">
        <v>265</v>
      </c>
      <c r="L57" s="21" t="n">
        <v>7435.9</v>
      </c>
      <c r="M57" s="21" t="n">
        <v>0</v>
      </c>
      <c r="N57" t="inlineStr">
        <is>
          <t>Zrębka towar</t>
        </is>
      </c>
      <c r="Q57" s="21" t="n">
        <v>0</v>
      </c>
      <c r="T57" s="22" t="n">
        <v>0</v>
      </c>
      <c r="U57" s="21" t="n">
        <v>0</v>
      </c>
      <c r="V57" s="21" t="n">
        <v>0</v>
      </c>
      <c r="W57" t="inlineStr">
        <is>
          <t>Magazyn Zabrze</t>
        </is>
      </c>
      <c r="Z57" t="inlineStr">
        <is>
          <t>Roesner Mateusz</t>
        </is>
      </c>
      <c r="AA57" s="23" t="n">
        <v>46216.52847222222</v>
      </c>
      <c r="AB57" t="inlineStr">
        <is>
          <t>OP-MIGR-00056</t>
        </is>
      </c>
      <c r="AD57" t="inlineStr">
        <is>
          <t>AKTYWNY</t>
        </is>
      </c>
      <c r="AE57" s="20">
        <f>IF(I57="",0,IF(ISNUMBER(SEARCH("MP",UPPER(J57))),I57,IF(ISNUMBER(SEARCH("TON",UPPER(J57))),I57/Przelicznik_MP_tona,IF(ISNUMBER(SEARCH("M3",UPPER(J57))),I57*Przelicznik_M3_MP,IF(ISNUMBER(SEARCH("GJ",UPPER(J57))),I57/Przelicznik_GJ_tona/Przelicznik_MP_tona,I57)))))</f>
        <v/>
      </c>
      <c r="AF57" s="20">
        <f>IF(I57="",0,IF(ISNUMBER(SEARCH("TON",UPPER(J57))),I57,IF(ISNUMBER(SEARCH("GJ",UPPER(J57))),I57/Przelicznik_GJ_tona,AE57*Przelicznik_MP_tona)))</f>
        <v/>
      </c>
      <c r="AG57" s="20">
        <f>AF57*Przelicznik_GJ_tona</f>
        <v/>
      </c>
      <c r="AH57" s="20">
        <f>IF(UPPER(AD57)="SKORYGOWANY",0,IF(OR(UPPER(E57)="TRANSPORT",UPPER(E57)="MM"),0,IF(UPPER(G57)&lt;&gt;"TAK",0,IF(OR(UPPER(E57)="ZAKUP",UPPER(E57)="PRODUKCJA"),AE57,IF(OR(UPPER(E57)="SPRZEDAŻ",UPPER(E57)="ZUŻYCIE"),-AE57,0)))))</f>
        <v/>
      </c>
      <c r="AI57" s="20">
        <f>IF(UPPER(AD57)="SKORYGOWANY",0,IF(OR(UPPER(E57)="TRANSPORT",UPPER(E57)="MM"),0,IF(UPPER(G57)&lt;&gt;"TAK",0,IF(OR(UPPER(E57)="ZAKUP",UPPER(E57)="PRODUKCJA"),AF57,IF(OR(UPPER(E57)="SPRZEDAŻ",UPPER(E57)="ZUŻYCIE"),-AF57,0)))))</f>
        <v/>
      </c>
      <c r="AJ57" s="21">
        <f>IF(UPPER(AD57)="SKORYGOWANY",0,IF(UPPER(E57)="ZAKUP",IF(L57&lt;&gt;"",L57,I57*K57),0))</f>
        <v/>
      </c>
      <c r="AK57" s="21">
        <f>IF(UPPER(AD57)="SKORYGOWANY",0,IF(UPPER(E57)="SPRZEDAŻ",IF(L57&lt;&gt;"",L57,I57*M57),0))</f>
        <v/>
      </c>
      <c r="AL57" s="21">
        <f>AE57*Q57</f>
        <v/>
      </c>
      <c r="AM57">
        <f>IF(R57="","",IF(LOWER(R57)="brak","Brak",IF(OR(ISNUMBER(SEARCH("własn",LOWER(R57))),ISNUMBER(SEARCH("wlasn",LOWER(R57))),ISNUMBER(SEARCH("wojciechowski",LOWER(R57)))),"Własny","Zewnętrzny")))</f>
        <v/>
      </c>
      <c r="AN57" s="24">
        <f>IF(C57="","",YEAR(C57))</f>
        <v/>
      </c>
      <c r="AO57" s="24">
        <f>IF(C57="","",MONTH(C57))</f>
        <v/>
      </c>
      <c r="AP57">
        <f>IF(C57="","",UPPER(TEXT(C57,"mmmm")))</f>
        <v/>
      </c>
      <c r="AQ57">
        <f>IF(C57="","","Q"&amp;ROUNDUP(MONTH(C57)/3,0))</f>
        <v/>
      </c>
    </row>
    <row r="58">
      <c r="A58" s="19" t="n">
        <v>46213</v>
      </c>
      <c r="C58" s="19" t="n">
        <v>46213</v>
      </c>
      <c r="D58" t="inlineStr">
        <is>
          <t>Walber</t>
        </is>
      </c>
      <c r="E58" t="inlineStr">
        <is>
          <t>ZAKUP</t>
        </is>
      </c>
      <c r="F58" t="inlineStr">
        <is>
          <t>PZ/14</t>
        </is>
      </c>
      <c r="G58" t="inlineStr">
        <is>
          <t>TAK</t>
        </is>
      </c>
      <c r="H58" t="inlineStr">
        <is>
          <t>KZR</t>
        </is>
      </c>
      <c r="I58" s="20" t="n">
        <v>24.04</v>
      </c>
      <c r="J58" t="inlineStr">
        <is>
          <t>TON</t>
        </is>
      </c>
      <c r="K58" s="21" t="n">
        <v>275</v>
      </c>
      <c r="L58" s="21" t="n">
        <v>6611</v>
      </c>
      <c r="M58" s="21" t="n">
        <v>0</v>
      </c>
      <c r="N58" t="inlineStr">
        <is>
          <t>Zrębka towar</t>
        </is>
      </c>
      <c r="O58" t="inlineStr">
        <is>
          <t>B</t>
        </is>
      </c>
      <c r="Q58" s="21" t="n">
        <v>0</v>
      </c>
      <c r="T58" s="22" t="n">
        <v>0</v>
      </c>
      <c r="U58" s="21" t="n">
        <v>0</v>
      </c>
      <c r="V58" s="21" t="n">
        <v>0</v>
      </c>
      <c r="W58" t="inlineStr">
        <is>
          <t>Magazyn Zabrze</t>
        </is>
      </c>
      <c r="Z58" t="inlineStr">
        <is>
          <t>Roesner Mateusz</t>
        </is>
      </c>
      <c r="AA58" s="23" t="n">
        <v>46217.43771990741</v>
      </c>
      <c r="AB58" t="inlineStr">
        <is>
          <t>OP-MIGR-00057</t>
        </is>
      </c>
      <c r="AD58" t="inlineStr">
        <is>
          <t>AKTYWNY</t>
        </is>
      </c>
      <c r="AE58" s="20">
        <f>IF(I58="",0,IF(ISNUMBER(SEARCH("MP",UPPER(J58))),I58,IF(ISNUMBER(SEARCH("TON",UPPER(J58))),I58/Przelicznik_MP_tona,IF(ISNUMBER(SEARCH("M3",UPPER(J58))),I58*Przelicznik_M3_MP,IF(ISNUMBER(SEARCH("GJ",UPPER(J58))),I58/Przelicznik_GJ_tona/Przelicznik_MP_tona,I58)))))</f>
        <v/>
      </c>
      <c r="AF58" s="20">
        <f>IF(I58="",0,IF(ISNUMBER(SEARCH("TON",UPPER(J58))),I58,IF(ISNUMBER(SEARCH("GJ",UPPER(J58))),I58/Przelicznik_GJ_tona,AE58*Przelicznik_MP_tona)))</f>
        <v/>
      </c>
      <c r="AG58" s="20">
        <f>AF58*Przelicznik_GJ_tona</f>
        <v/>
      </c>
      <c r="AH58" s="20">
        <f>IF(UPPER(AD58)="SKORYGOWANY",0,IF(OR(UPPER(E58)="TRANSPORT",UPPER(E58)="MM"),0,IF(UPPER(G58)&lt;&gt;"TAK",0,IF(OR(UPPER(E58)="ZAKUP",UPPER(E58)="PRODUKCJA"),AE58,IF(OR(UPPER(E58)="SPRZEDAŻ",UPPER(E58)="ZUŻYCIE"),-AE58,0)))))</f>
        <v/>
      </c>
      <c r="AI58" s="20">
        <f>IF(UPPER(AD58)="SKORYGOWANY",0,IF(OR(UPPER(E58)="TRANSPORT",UPPER(E58)="MM"),0,IF(UPPER(G58)&lt;&gt;"TAK",0,IF(OR(UPPER(E58)="ZAKUP",UPPER(E58)="PRODUKCJA"),AF58,IF(OR(UPPER(E58)="SPRZEDAŻ",UPPER(E58)="ZUŻYCIE"),-AF58,0)))))</f>
        <v/>
      </c>
      <c r="AJ58" s="21">
        <f>IF(UPPER(AD58)="SKORYGOWANY",0,IF(UPPER(E58)="ZAKUP",IF(L58&lt;&gt;"",L58,I58*K58),0))</f>
        <v/>
      </c>
      <c r="AK58" s="21">
        <f>IF(UPPER(AD58)="SKORYGOWANY",0,IF(UPPER(E58)="SPRZEDAŻ",IF(L58&lt;&gt;"",L58,I58*M58),0))</f>
        <v/>
      </c>
      <c r="AL58" s="21">
        <f>AE58*Q58</f>
        <v/>
      </c>
      <c r="AM58">
        <f>IF(R58="","",IF(LOWER(R58)="brak","Brak",IF(OR(ISNUMBER(SEARCH("własn",LOWER(R58))),ISNUMBER(SEARCH("wlasn",LOWER(R58))),ISNUMBER(SEARCH("wojciechowski",LOWER(R58)))),"Własny","Zewnętrzny")))</f>
        <v/>
      </c>
      <c r="AN58" s="24">
        <f>IF(C58="","",YEAR(C58))</f>
        <v/>
      </c>
      <c r="AO58" s="24">
        <f>IF(C58="","",MONTH(C58))</f>
        <v/>
      </c>
      <c r="AP58">
        <f>IF(C58="","",UPPER(TEXT(C58,"mmmm")))</f>
        <v/>
      </c>
      <c r="AQ58">
        <f>IF(C58="","","Q"&amp;ROUNDUP(MONTH(C58)/3,0))</f>
        <v/>
      </c>
    </row>
    <row r="59">
      <c r="A59" s="19" t="n">
        <v>46213</v>
      </c>
      <c r="C59" s="19" t="n">
        <v>46213</v>
      </c>
      <c r="D59" t="inlineStr">
        <is>
          <t>Walber</t>
        </is>
      </c>
      <c r="E59" t="inlineStr">
        <is>
          <t>ZAKUP</t>
        </is>
      </c>
      <c r="F59" t="inlineStr">
        <is>
          <t>PZ/15</t>
        </is>
      </c>
      <c r="G59" t="inlineStr">
        <is>
          <t>TAK</t>
        </is>
      </c>
      <c r="H59" t="inlineStr">
        <is>
          <t>KZR</t>
        </is>
      </c>
      <c r="I59" s="20" t="n">
        <v>23.88</v>
      </c>
      <c r="J59" t="inlineStr">
        <is>
          <t>TON</t>
        </is>
      </c>
      <c r="K59" s="21" t="n">
        <v>275</v>
      </c>
      <c r="L59" s="21" t="n">
        <v>6567</v>
      </c>
      <c r="M59" s="21" t="n">
        <v>0</v>
      </c>
      <c r="N59" t="inlineStr">
        <is>
          <t>Zrębka towar</t>
        </is>
      </c>
      <c r="O59" t="inlineStr">
        <is>
          <t>B</t>
        </is>
      </c>
      <c r="Q59" s="21" t="n">
        <v>0</v>
      </c>
      <c r="T59" s="22" t="n">
        <v>0</v>
      </c>
      <c r="U59" s="21" t="n">
        <v>0</v>
      </c>
      <c r="V59" s="21" t="n">
        <v>0</v>
      </c>
      <c r="W59" t="inlineStr">
        <is>
          <t>Magazyn Zabrze</t>
        </is>
      </c>
      <c r="Z59" t="inlineStr">
        <is>
          <t>Roesner Mateusz</t>
        </is>
      </c>
      <c r="AA59" s="23" t="n">
        <v>46217.43824074074</v>
      </c>
      <c r="AB59" t="inlineStr">
        <is>
          <t>OP-MIGR-00058</t>
        </is>
      </c>
      <c r="AD59" t="inlineStr">
        <is>
          <t>AKTYWNY</t>
        </is>
      </c>
      <c r="AE59" s="20">
        <f>IF(I59="",0,IF(ISNUMBER(SEARCH("MP",UPPER(J59))),I59,IF(ISNUMBER(SEARCH("TON",UPPER(J59))),I59/Przelicznik_MP_tona,IF(ISNUMBER(SEARCH("M3",UPPER(J59))),I59*Przelicznik_M3_MP,IF(ISNUMBER(SEARCH("GJ",UPPER(J59))),I59/Przelicznik_GJ_tona/Przelicznik_MP_tona,I59)))))</f>
        <v/>
      </c>
      <c r="AF59" s="20">
        <f>IF(I59="",0,IF(ISNUMBER(SEARCH("TON",UPPER(J59))),I59,IF(ISNUMBER(SEARCH("GJ",UPPER(J59))),I59/Przelicznik_GJ_tona,AE59*Przelicznik_MP_tona)))</f>
        <v/>
      </c>
      <c r="AG59" s="20">
        <f>AF59*Przelicznik_GJ_tona</f>
        <v/>
      </c>
      <c r="AH59" s="20">
        <f>IF(UPPER(AD59)="SKORYGOWANY",0,IF(OR(UPPER(E59)="TRANSPORT",UPPER(E59)="MM"),0,IF(UPPER(G59)&lt;&gt;"TAK",0,IF(OR(UPPER(E59)="ZAKUP",UPPER(E59)="PRODUKCJA"),AE59,IF(OR(UPPER(E59)="SPRZEDAŻ",UPPER(E59)="ZUŻYCIE"),-AE59,0)))))</f>
        <v/>
      </c>
      <c r="AI59" s="20">
        <f>IF(UPPER(AD59)="SKORYGOWANY",0,IF(OR(UPPER(E59)="TRANSPORT",UPPER(E59)="MM"),0,IF(UPPER(G59)&lt;&gt;"TAK",0,IF(OR(UPPER(E59)="ZAKUP",UPPER(E59)="PRODUKCJA"),AF59,IF(OR(UPPER(E59)="SPRZEDAŻ",UPPER(E59)="ZUŻYCIE"),-AF59,0)))))</f>
        <v/>
      </c>
      <c r="AJ59" s="21">
        <f>IF(UPPER(AD59)="SKORYGOWANY",0,IF(UPPER(E59)="ZAKUP",IF(L59&lt;&gt;"",L59,I59*K59),0))</f>
        <v/>
      </c>
      <c r="AK59" s="21">
        <f>IF(UPPER(AD59)="SKORYGOWANY",0,IF(UPPER(E59)="SPRZEDAŻ",IF(L59&lt;&gt;"",L59,I59*M59),0))</f>
        <v/>
      </c>
      <c r="AL59" s="21">
        <f>AE59*Q59</f>
        <v/>
      </c>
      <c r="AM59">
        <f>IF(R59="","",IF(LOWER(R59)="brak","Brak",IF(OR(ISNUMBER(SEARCH("własn",LOWER(R59))),ISNUMBER(SEARCH("wlasn",LOWER(R59))),ISNUMBER(SEARCH("wojciechowski",LOWER(R59)))),"Własny","Zewnętrzny")))</f>
        <v/>
      </c>
      <c r="AN59" s="24">
        <f>IF(C59="","",YEAR(C59))</f>
        <v/>
      </c>
      <c r="AO59" s="24">
        <f>IF(C59="","",MONTH(C59))</f>
        <v/>
      </c>
      <c r="AP59">
        <f>IF(C59="","",UPPER(TEXT(C59,"mmmm")))</f>
        <v/>
      </c>
      <c r="AQ59">
        <f>IF(C59="","","Q"&amp;ROUNDUP(MONTH(C59)/3,0))</f>
        <v/>
      </c>
    </row>
    <row r="60">
      <c r="A60" s="19" t="n">
        <v>46216</v>
      </c>
      <c r="B60" t="inlineStr">
        <is>
          <t>Magazyn Pyskowice</t>
        </is>
      </c>
      <c r="C60" s="19" t="n">
        <v>46216</v>
      </c>
      <c r="D60" t="inlineStr">
        <is>
          <t>Magazyn Pyskowice</t>
        </is>
      </c>
      <c r="E60" t="inlineStr">
        <is>
          <t>MM</t>
        </is>
      </c>
      <c r="F60" t="inlineStr">
        <is>
          <t>MM-19</t>
        </is>
      </c>
      <c r="G60" t="inlineStr">
        <is>
          <t>TAK</t>
        </is>
      </c>
      <c r="I60" s="20" t="n">
        <v>88</v>
      </c>
      <c r="J60" t="inlineStr">
        <is>
          <t>MP</t>
        </is>
      </c>
      <c r="K60" s="21" t="n">
        <v>0</v>
      </c>
      <c r="L60" s="21" t="n">
        <v>0</v>
      </c>
      <c r="M60" s="21" t="n">
        <v>0</v>
      </c>
      <c r="N60" t="inlineStr">
        <is>
          <t>Zrębka Produkcyjna Leśna</t>
        </is>
      </c>
      <c r="O60" t="inlineStr">
        <is>
          <t>B</t>
        </is>
      </c>
      <c r="Q60" s="21" t="n">
        <v>0</v>
      </c>
      <c r="R60" t="inlineStr">
        <is>
          <t>własny (Wilczak)</t>
        </is>
      </c>
      <c r="S60" t="inlineStr">
        <is>
          <t>SK 7J884</t>
        </is>
      </c>
      <c r="T60" s="22" t="n">
        <v>40</v>
      </c>
      <c r="U60" s="21" t="n">
        <v>5</v>
      </c>
      <c r="V60" s="21" t="n">
        <v>200</v>
      </c>
      <c r="W60" t="inlineStr">
        <is>
          <t>Magazyn Zabrze</t>
        </is>
      </c>
      <c r="X60" t="inlineStr">
        <is>
          <t>Magazyn Pyskowice</t>
        </is>
      </c>
      <c r="Z60" t="inlineStr">
        <is>
          <t>Roesner Mateusz</t>
        </is>
      </c>
      <c r="AA60" s="23" t="n">
        <v>46216.36384259259</v>
      </c>
      <c r="AB60" t="inlineStr">
        <is>
          <t>OP-MIGR-00059</t>
        </is>
      </c>
      <c r="AD60" t="inlineStr">
        <is>
          <t>AKTYWNY</t>
        </is>
      </c>
      <c r="AE60" s="20">
        <f>IF(I60="",0,IF(ISNUMBER(SEARCH("MP",UPPER(J60))),I60,IF(ISNUMBER(SEARCH("TON",UPPER(J60))),I60/Przelicznik_MP_tona,IF(ISNUMBER(SEARCH("M3",UPPER(J60))),I60*Przelicznik_M3_MP,IF(ISNUMBER(SEARCH("GJ",UPPER(J60))),I60/Przelicznik_GJ_tona/Przelicznik_MP_tona,I60)))))</f>
        <v/>
      </c>
      <c r="AF60" s="20">
        <f>IF(I60="",0,IF(ISNUMBER(SEARCH("TON",UPPER(J60))),I60,IF(ISNUMBER(SEARCH("GJ",UPPER(J60))),I60/Przelicznik_GJ_tona,AE60*Przelicznik_MP_tona)))</f>
        <v/>
      </c>
      <c r="AG60" s="20">
        <f>AF60*Przelicznik_GJ_tona</f>
        <v/>
      </c>
      <c r="AH60" s="20">
        <f>IF(UPPER(AD60)="SKORYGOWANY",0,IF(OR(UPPER(E60)="TRANSPORT",UPPER(E60)="MM"),0,IF(UPPER(G60)&lt;&gt;"TAK",0,IF(OR(UPPER(E60)="ZAKUP",UPPER(E60)="PRODUKCJA"),AE60,IF(OR(UPPER(E60)="SPRZEDAŻ",UPPER(E60)="ZUŻYCIE"),-AE60,0)))))</f>
        <v/>
      </c>
      <c r="AI60" s="20">
        <f>IF(UPPER(AD60)="SKORYGOWANY",0,IF(OR(UPPER(E60)="TRANSPORT",UPPER(E60)="MM"),0,IF(UPPER(G60)&lt;&gt;"TAK",0,IF(OR(UPPER(E60)="ZAKUP",UPPER(E60)="PRODUKCJA"),AF60,IF(OR(UPPER(E60)="SPRZEDAŻ",UPPER(E60)="ZUŻYCIE"),-AF60,0)))))</f>
        <v/>
      </c>
      <c r="AJ60" s="21">
        <f>IF(UPPER(AD60)="SKORYGOWANY",0,IF(UPPER(E60)="ZAKUP",IF(L60&lt;&gt;"",L60,I60*K60),0))</f>
        <v/>
      </c>
      <c r="AK60" s="21">
        <f>IF(UPPER(AD60)="SKORYGOWANY",0,IF(UPPER(E60)="SPRZEDAŻ",IF(L60&lt;&gt;"",L60,I60*M60),0))</f>
        <v/>
      </c>
      <c r="AL60" s="21">
        <f>AE60*Q60</f>
        <v/>
      </c>
      <c r="AM60">
        <f>IF(R60="","",IF(LOWER(R60)="brak","Brak",IF(OR(ISNUMBER(SEARCH("własn",LOWER(R60))),ISNUMBER(SEARCH("wlasn",LOWER(R60))),ISNUMBER(SEARCH("wojciechowski",LOWER(R60)))),"Własny","Zewnętrzny")))</f>
        <v/>
      </c>
      <c r="AN60" s="24">
        <f>IF(C60="","",YEAR(C60))</f>
        <v/>
      </c>
      <c r="AO60" s="24">
        <f>IF(C60="","",MONTH(C60))</f>
        <v/>
      </c>
      <c r="AP60">
        <f>IF(C60="","",UPPER(TEXT(C60,"mmmm")))</f>
        <v/>
      </c>
      <c r="AQ60">
        <f>IF(C60="","","Q"&amp;ROUNDUP(MONTH(C60)/3,0))</f>
        <v/>
      </c>
    </row>
    <row r="61">
      <c r="A61" s="19" t="n">
        <v>46216</v>
      </c>
      <c r="B61" t="inlineStr">
        <is>
          <t>Magazyn Pyskowice</t>
        </is>
      </c>
      <c r="C61" s="19" t="n">
        <v>46216</v>
      </c>
      <c r="D61" t="inlineStr">
        <is>
          <t>Magazyn Pyskowice</t>
        </is>
      </c>
      <c r="E61" t="inlineStr">
        <is>
          <t>MM</t>
        </is>
      </c>
      <c r="F61" t="inlineStr">
        <is>
          <t>MM-20</t>
        </is>
      </c>
      <c r="G61" t="inlineStr">
        <is>
          <t>TAK</t>
        </is>
      </c>
      <c r="I61" s="20" t="n">
        <v>75.59999999999999</v>
      </c>
      <c r="J61" t="inlineStr">
        <is>
          <t>MP</t>
        </is>
      </c>
      <c r="K61" s="21" t="n">
        <v>0</v>
      </c>
      <c r="L61" s="21" t="n">
        <v>0</v>
      </c>
      <c r="M61" s="21" t="n">
        <v>0</v>
      </c>
      <c r="N61" t="inlineStr">
        <is>
          <t>Zrębka Produkcyjna Leśna</t>
        </is>
      </c>
      <c r="O61" t="inlineStr">
        <is>
          <t>B</t>
        </is>
      </c>
      <c r="Q61" s="21" t="n">
        <v>0</v>
      </c>
      <c r="R61" t="inlineStr">
        <is>
          <t>własny (Wiór)</t>
        </is>
      </c>
      <c r="S61" t="inlineStr">
        <is>
          <t>SK 7H433</t>
        </is>
      </c>
      <c r="T61" s="22" t="n">
        <v>40</v>
      </c>
      <c r="U61" s="21" t="n">
        <v>6</v>
      </c>
      <c r="V61" s="21" t="n">
        <v>240</v>
      </c>
      <c r="W61" t="inlineStr">
        <is>
          <t>Magazyn Zabrze</t>
        </is>
      </c>
      <c r="X61" t="inlineStr">
        <is>
          <t>Magazyn Pyskowice</t>
        </is>
      </c>
      <c r="Z61" t="inlineStr">
        <is>
          <t>Roesner Mateusz</t>
        </is>
      </c>
      <c r="AA61" s="23" t="n">
        <v>46216.36521990741</v>
      </c>
      <c r="AB61" t="inlineStr">
        <is>
          <t>OP-MIGR-00060</t>
        </is>
      </c>
      <c r="AD61" t="inlineStr">
        <is>
          <t>AKTYWNY</t>
        </is>
      </c>
      <c r="AE61" s="20">
        <f>IF(I61="",0,IF(ISNUMBER(SEARCH("MP",UPPER(J61))),I61,IF(ISNUMBER(SEARCH("TON",UPPER(J61))),I61/Przelicznik_MP_tona,IF(ISNUMBER(SEARCH("M3",UPPER(J61))),I61*Przelicznik_M3_MP,IF(ISNUMBER(SEARCH("GJ",UPPER(J61))),I61/Przelicznik_GJ_tona/Przelicznik_MP_tona,I61)))))</f>
        <v/>
      </c>
      <c r="AF61" s="20">
        <f>IF(I61="",0,IF(ISNUMBER(SEARCH("TON",UPPER(J61))),I61,IF(ISNUMBER(SEARCH("GJ",UPPER(J61))),I61/Przelicznik_GJ_tona,AE61*Przelicznik_MP_tona)))</f>
        <v/>
      </c>
      <c r="AG61" s="20">
        <f>AF61*Przelicznik_GJ_tona</f>
        <v/>
      </c>
      <c r="AH61" s="20">
        <f>IF(UPPER(AD61)="SKORYGOWANY",0,IF(OR(UPPER(E61)="TRANSPORT",UPPER(E61)="MM"),0,IF(UPPER(G61)&lt;&gt;"TAK",0,IF(OR(UPPER(E61)="ZAKUP",UPPER(E61)="PRODUKCJA"),AE61,IF(OR(UPPER(E61)="SPRZEDAŻ",UPPER(E61)="ZUŻYCIE"),-AE61,0)))))</f>
        <v/>
      </c>
      <c r="AI61" s="20">
        <f>IF(UPPER(AD61)="SKORYGOWANY",0,IF(OR(UPPER(E61)="TRANSPORT",UPPER(E61)="MM"),0,IF(UPPER(G61)&lt;&gt;"TAK",0,IF(OR(UPPER(E61)="ZAKUP",UPPER(E61)="PRODUKCJA"),AF61,IF(OR(UPPER(E61)="SPRZEDAŻ",UPPER(E61)="ZUŻYCIE"),-AF61,0)))))</f>
        <v/>
      </c>
      <c r="AJ61" s="21">
        <f>IF(UPPER(AD61)="SKORYGOWANY",0,IF(UPPER(E61)="ZAKUP",IF(L61&lt;&gt;"",L61,I61*K61),0))</f>
        <v/>
      </c>
      <c r="AK61" s="21">
        <f>IF(UPPER(AD61)="SKORYGOWANY",0,IF(UPPER(E61)="SPRZEDAŻ",IF(L61&lt;&gt;"",L61,I61*M61),0))</f>
        <v/>
      </c>
      <c r="AL61" s="21">
        <f>AE61*Q61</f>
        <v/>
      </c>
      <c r="AM61">
        <f>IF(R61="","",IF(LOWER(R61)="brak","Brak",IF(OR(ISNUMBER(SEARCH("własn",LOWER(R61))),ISNUMBER(SEARCH("wlasn",LOWER(R61))),ISNUMBER(SEARCH("wojciechowski",LOWER(R61)))),"Własny","Zewnętrzny")))</f>
        <v/>
      </c>
      <c r="AN61" s="24">
        <f>IF(C61="","",YEAR(C61))</f>
        <v/>
      </c>
      <c r="AO61" s="24">
        <f>IF(C61="","",MONTH(C61))</f>
        <v/>
      </c>
      <c r="AP61">
        <f>IF(C61="","",UPPER(TEXT(C61,"mmmm")))</f>
        <v/>
      </c>
      <c r="AQ61">
        <f>IF(C61="","","Q"&amp;ROUNDUP(MONTH(C61)/3,0))</f>
        <v/>
      </c>
    </row>
    <row r="62">
      <c r="A62" s="19" t="n">
        <v>46216</v>
      </c>
      <c r="B62" t="inlineStr">
        <is>
          <t>Magazyn Pyskowice</t>
        </is>
      </c>
      <c r="C62" s="19" t="n">
        <v>46216</v>
      </c>
      <c r="D62" t="inlineStr">
        <is>
          <t>Magazyn Pyskowice</t>
        </is>
      </c>
      <c r="E62" t="inlineStr">
        <is>
          <t>MM</t>
        </is>
      </c>
      <c r="F62" t="inlineStr">
        <is>
          <t>MM-21</t>
        </is>
      </c>
      <c r="G62" t="inlineStr">
        <is>
          <t>TAK</t>
        </is>
      </c>
      <c r="I62" s="20" t="n">
        <v>76.2</v>
      </c>
      <c r="J62" t="inlineStr">
        <is>
          <t>MP</t>
        </is>
      </c>
      <c r="K62" s="21" t="n">
        <v>0</v>
      </c>
      <c r="L62" s="21" t="n">
        <v>0</v>
      </c>
      <c r="M62" s="21" t="n">
        <v>0</v>
      </c>
      <c r="N62" t="inlineStr">
        <is>
          <t>Zrębka Produkcyjna Leśna</t>
        </is>
      </c>
      <c r="O62" t="inlineStr">
        <is>
          <t>B</t>
        </is>
      </c>
      <c r="Q62" s="21" t="n">
        <v>0</v>
      </c>
      <c r="R62" t="inlineStr">
        <is>
          <t>własny (Wiór)</t>
        </is>
      </c>
      <c r="S62" t="inlineStr">
        <is>
          <t>SK 7H433</t>
        </is>
      </c>
      <c r="T62" s="22" t="n">
        <v>40</v>
      </c>
      <c r="U62" s="21" t="n">
        <v>6</v>
      </c>
      <c r="V62" s="21" t="n">
        <v>240</v>
      </c>
      <c r="W62" t="inlineStr">
        <is>
          <t>Magazyn Zabrze</t>
        </is>
      </c>
      <c r="X62" t="inlineStr">
        <is>
          <t>Magazyn Pyskowice</t>
        </is>
      </c>
      <c r="Z62" t="inlineStr">
        <is>
          <t>Roesner Mateusz</t>
        </is>
      </c>
      <c r="AA62" s="23" t="n">
        <v>46216.51708333333</v>
      </c>
      <c r="AB62" t="inlineStr">
        <is>
          <t>OP-MIGR-00061</t>
        </is>
      </c>
      <c r="AD62" t="inlineStr">
        <is>
          <t>AKTYWNY</t>
        </is>
      </c>
      <c r="AE62" s="20">
        <f>IF(I62="",0,IF(ISNUMBER(SEARCH("MP",UPPER(J62))),I62,IF(ISNUMBER(SEARCH("TON",UPPER(J62))),I62/Przelicznik_MP_tona,IF(ISNUMBER(SEARCH("M3",UPPER(J62))),I62*Przelicznik_M3_MP,IF(ISNUMBER(SEARCH("GJ",UPPER(J62))),I62/Przelicznik_GJ_tona/Przelicznik_MP_tona,I62)))))</f>
        <v/>
      </c>
      <c r="AF62" s="20">
        <f>IF(I62="",0,IF(ISNUMBER(SEARCH("TON",UPPER(J62))),I62,IF(ISNUMBER(SEARCH("GJ",UPPER(J62))),I62/Przelicznik_GJ_tona,AE62*Przelicznik_MP_tona)))</f>
        <v/>
      </c>
      <c r="AG62" s="20">
        <f>AF62*Przelicznik_GJ_tona</f>
        <v/>
      </c>
      <c r="AH62" s="20">
        <f>IF(UPPER(AD62)="SKORYGOWANY",0,IF(OR(UPPER(E62)="TRANSPORT",UPPER(E62)="MM"),0,IF(UPPER(G62)&lt;&gt;"TAK",0,IF(OR(UPPER(E62)="ZAKUP",UPPER(E62)="PRODUKCJA"),AE62,IF(OR(UPPER(E62)="SPRZEDAŻ",UPPER(E62)="ZUŻYCIE"),-AE62,0)))))</f>
        <v/>
      </c>
      <c r="AI62" s="20">
        <f>IF(UPPER(AD62)="SKORYGOWANY",0,IF(OR(UPPER(E62)="TRANSPORT",UPPER(E62)="MM"),0,IF(UPPER(G62)&lt;&gt;"TAK",0,IF(OR(UPPER(E62)="ZAKUP",UPPER(E62)="PRODUKCJA"),AF62,IF(OR(UPPER(E62)="SPRZEDAŻ",UPPER(E62)="ZUŻYCIE"),-AF62,0)))))</f>
        <v/>
      </c>
      <c r="AJ62" s="21">
        <f>IF(UPPER(AD62)="SKORYGOWANY",0,IF(UPPER(E62)="ZAKUP",IF(L62&lt;&gt;"",L62,I62*K62),0))</f>
        <v/>
      </c>
      <c r="AK62" s="21">
        <f>IF(UPPER(AD62)="SKORYGOWANY",0,IF(UPPER(E62)="SPRZEDAŻ",IF(L62&lt;&gt;"",L62,I62*M62),0))</f>
        <v/>
      </c>
      <c r="AL62" s="21">
        <f>AE62*Q62</f>
        <v/>
      </c>
      <c r="AM62">
        <f>IF(R62="","",IF(LOWER(R62)="brak","Brak",IF(OR(ISNUMBER(SEARCH("własn",LOWER(R62))),ISNUMBER(SEARCH("wlasn",LOWER(R62))),ISNUMBER(SEARCH("wojciechowski",LOWER(R62)))),"Własny","Zewnętrzny")))</f>
        <v/>
      </c>
      <c r="AN62" s="24">
        <f>IF(C62="","",YEAR(C62))</f>
        <v/>
      </c>
      <c r="AO62" s="24">
        <f>IF(C62="","",MONTH(C62))</f>
        <v/>
      </c>
      <c r="AP62">
        <f>IF(C62="","",UPPER(TEXT(C62,"mmmm")))</f>
        <v/>
      </c>
      <c r="AQ62">
        <f>IF(C62="","","Q"&amp;ROUNDUP(MONTH(C62)/3,0))</f>
        <v/>
      </c>
    </row>
    <row r="63">
      <c r="A63" s="19" t="n">
        <v>46216</v>
      </c>
      <c r="C63" s="19" t="n">
        <v>46216</v>
      </c>
      <c r="D63" t="inlineStr">
        <is>
          <t>Lander Agro</t>
        </is>
      </c>
      <c r="E63" t="inlineStr">
        <is>
          <t>ZAKUP</t>
        </is>
      </c>
      <c r="F63" t="inlineStr">
        <is>
          <t>PZ/5/D</t>
        </is>
      </c>
      <c r="G63" t="inlineStr">
        <is>
          <t>TAK</t>
        </is>
      </c>
      <c r="H63" t="inlineStr">
        <is>
          <t>KZR</t>
        </is>
      </c>
      <c r="I63" s="20" t="n">
        <v>26.69</v>
      </c>
      <c r="J63" t="inlineStr">
        <is>
          <t>M3</t>
        </is>
      </c>
      <c r="K63" s="21" t="n">
        <v>230</v>
      </c>
      <c r="L63" s="21" t="n">
        <v>6138.7</v>
      </c>
      <c r="M63" s="21" t="n">
        <v>0</v>
      </c>
      <c r="N63" t="inlineStr">
        <is>
          <t>Drewno opałowe z lasu</t>
        </is>
      </c>
      <c r="Q63" s="21" t="n">
        <v>0</v>
      </c>
      <c r="T63" s="22" t="n">
        <v>0</v>
      </c>
      <c r="U63" s="21" t="n">
        <v>0</v>
      </c>
      <c r="V63" s="21" t="n">
        <v>0</v>
      </c>
      <c r="W63" t="inlineStr">
        <is>
          <t>Magazyn Zabrze</t>
        </is>
      </c>
      <c r="Z63" t="inlineStr">
        <is>
          <t>Roesner Mateusz</t>
        </is>
      </c>
      <c r="AA63" s="23" t="n">
        <v>46216.51868055556</v>
      </c>
      <c r="AB63" t="inlineStr">
        <is>
          <t>OP-MIGR-00062</t>
        </is>
      </c>
      <c r="AD63" t="inlineStr">
        <is>
          <t>AKTYWNY</t>
        </is>
      </c>
      <c r="AE63" s="20">
        <f>IF(I63="",0,IF(ISNUMBER(SEARCH("MP",UPPER(J63))),I63,IF(ISNUMBER(SEARCH("TON",UPPER(J63))),I63/Przelicznik_MP_tona,IF(ISNUMBER(SEARCH("M3",UPPER(J63))),I63*Przelicznik_M3_MP,IF(ISNUMBER(SEARCH("GJ",UPPER(J63))),I63/Przelicznik_GJ_tona/Przelicznik_MP_tona,I63)))))</f>
        <v/>
      </c>
      <c r="AF63" s="20">
        <f>IF(I63="",0,IF(ISNUMBER(SEARCH("TON",UPPER(J63))),I63,IF(ISNUMBER(SEARCH("GJ",UPPER(J63))),I63/Przelicznik_GJ_tona,AE63*Przelicznik_MP_tona)))</f>
        <v/>
      </c>
      <c r="AG63" s="20">
        <f>AF63*Przelicznik_GJ_tona</f>
        <v/>
      </c>
      <c r="AH63" s="20">
        <f>IF(UPPER(AD63)="SKORYGOWANY",0,IF(OR(UPPER(E63)="TRANSPORT",UPPER(E63)="MM"),0,IF(UPPER(G63)&lt;&gt;"TAK",0,IF(OR(UPPER(E63)="ZAKUP",UPPER(E63)="PRODUKCJA"),AE63,IF(OR(UPPER(E63)="SPRZEDAŻ",UPPER(E63)="ZUŻYCIE"),-AE63,0)))))</f>
        <v/>
      </c>
      <c r="AI63" s="20">
        <f>IF(UPPER(AD63)="SKORYGOWANY",0,IF(OR(UPPER(E63)="TRANSPORT",UPPER(E63)="MM"),0,IF(UPPER(G63)&lt;&gt;"TAK",0,IF(OR(UPPER(E63)="ZAKUP",UPPER(E63)="PRODUKCJA"),AF63,IF(OR(UPPER(E63)="SPRZEDAŻ",UPPER(E63)="ZUŻYCIE"),-AF63,0)))))</f>
        <v/>
      </c>
      <c r="AJ63" s="21">
        <f>IF(UPPER(AD63)="SKORYGOWANY",0,IF(UPPER(E63)="ZAKUP",IF(L63&lt;&gt;"",L63,I63*K63),0))</f>
        <v/>
      </c>
      <c r="AK63" s="21">
        <f>IF(UPPER(AD63)="SKORYGOWANY",0,IF(UPPER(E63)="SPRZEDAŻ",IF(L63&lt;&gt;"",L63,I63*M63),0))</f>
        <v/>
      </c>
      <c r="AL63" s="21">
        <f>AE63*Q63</f>
        <v/>
      </c>
      <c r="AM63">
        <f>IF(R63="","",IF(LOWER(R63)="brak","Brak",IF(OR(ISNUMBER(SEARCH("własn",LOWER(R63))),ISNUMBER(SEARCH("wlasn",LOWER(R63))),ISNUMBER(SEARCH("wojciechowski",LOWER(R63)))),"Własny","Zewnętrzny")))</f>
        <v/>
      </c>
      <c r="AN63" s="24">
        <f>IF(C63="","",YEAR(C63))</f>
        <v/>
      </c>
      <c r="AO63" s="24">
        <f>IF(C63="","",MONTH(C63))</f>
        <v/>
      </c>
      <c r="AP63">
        <f>IF(C63="","",UPPER(TEXT(C63,"mmmm")))</f>
        <v/>
      </c>
      <c r="AQ63">
        <f>IF(C63="","","Q"&amp;ROUNDUP(MONTH(C63)/3,0))</f>
        <v/>
      </c>
    </row>
    <row r="64">
      <c r="A64" s="19" t="n">
        <v>46217</v>
      </c>
      <c r="B64" t="inlineStr">
        <is>
          <t>Magazyn Pyskowice</t>
        </is>
      </c>
      <c r="C64" s="19" t="n">
        <v>46217</v>
      </c>
      <c r="D64" t="inlineStr">
        <is>
          <t>Magazyn Pyskowice</t>
        </is>
      </c>
      <c r="E64" t="inlineStr">
        <is>
          <t>MM</t>
        </is>
      </c>
      <c r="F64" t="inlineStr">
        <is>
          <t>MM-22</t>
        </is>
      </c>
      <c r="G64" t="inlineStr">
        <is>
          <t>TAK</t>
        </is>
      </c>
      <c r="I64" s="20" t="n">
        <v>87</v>
      </c>
      <c r="J64" t="inlineStr">
        <is>
          <t>MP</t>
        </is>
      </c>
      <c r="K64" s="21" t="n">
        <v>0</v>
      </c>
      <c r="L64" s="21" t="n">
        <v>0</v>
      </c>
      <c r="M64" s="21" t="n">
        <v>0</v>
      </c>
      <c r="N64" t="inlineStr">
        <is>
          <t>Zrębka Produkcyjna Leśna</t>
        </is>
      </c>
      <c r="O64" t="inlineStr">
        <is>
          <t>B</t>
        </is>
      </c>
      <c r="Q64" s="21" t="n">
        <v>0</v>
      </c>
      <c r="R64" t="inlineStr">
        <is>
          <t>własny (Wilczak)</t>
        </is>
      </c>
      <c r="S64" t="inlineStr">
        <is>
          <t>SK 7J884</t>
        </is>
      </c>
      <c r="T64" s="22" t="n">
        <v>40</v>
      </c>
      <c r="U64" s="21" t="n">
        <v>5</v>
      </c>
      <c r="V64" s="21" t="n">
        <v>200</v>
      </c>
      <c r="W64" t="inlineStr">
        <is>
          <t>Magazyn Zabrze</t>
        </is>
      </c>
      <c r="X64" t="inlineStr">
        <is>
          <t>Magazyn Pyskowice</t>
        </is>
      </c>
      <c r="Z64" t="inlineStr">
        <is>
          <t>Roesner Mateusz</t>
        </is>
      </c>
      <c r="AA64" s="23" t="n">
        <v>46217.32831018518</v>
      </c>
      <c r="AB64" t="inlineStr">
        <is>
          <t>OP-MIGR-00063</t>
        </is>
      </c>
      <c r="AD64" t="inlineStr">
        <is>
          <t>AKTYWNY</t>
        </is>
      </c>
      <c r="AE64" s="20">
        <f>IF(I64="",0,IF(ISNUMBER(SEARCH("MP",UPPER(J64))),I64,IF(ISNUMBER(SEARCH("TON",UPPER(J64))),I64/Przelicznik_MP_tona,IF(ISNUMBER(SEARCH("M3",UPPER(J64))),I64*Przelicznik_M3_MP,IF(ISNUMBER(SEARCH("GJ",UPPER(J64))),I64/Przelicznik_GJ_tona/Przelicznik_MP_tona,I64)))))</f>
        <v/>
      </c>
      <c r="AF64" s="20">
        <f>IF(I64="",0,IF(ISNUMBER(SEARCH("TON",UPPER(J64))),I64,IF(ISNUMBER(SEARCH("GJ",UPPER(J64))),I64/Przelicznik_GJ_tona,AE64*Przelicznik_MP_tona)))</f>
        <v/>
      </c>
      <c r="AG64" s="20">
        <f>AF64*Przelicznik_GJ_tona</f>
        <v/>
      </c>
      <c r="AH64" s="20">
        <f>IF(UPPER(AD64)="SKORYGOWANY",0,IF(OR(UPPER(E64)="TRANSPORT",UPPER(E64)="MM"),0,IF(UPPER(G64)&lt;&gt;"TAK",0,IF(OR(UPPER(E64)="ZAKUP",UPPER(E64)="PRODUKCJA"),AE64,IF(OR(UPPER(E64)="SPRZEDAŻ",UPPER(E64)="ZUŻYCIE"),-AE64,0)))))</f>
        <v/>
      </c>
      <c r="AI64" s="20">
        <f>IF(UPPER(AD64)="SKORYGOWANY",0,IF(OR(UPPER(E64)="TRANSPORT",UPPER(E64)="MM"),0,IF(UPPER(G64)&lt;&gt;"TAK",0,IF(OR(UPPER(E64)="ZAKUP",UPPER(E64)="PRODUKCJA"),AF64,IF(OR(UPPER(E64)="SPRZEDAŻ",UPPER(E64)="ZUŻYCIE"),-AF64,0)))))</f>
        <v/>
      </c>
      <c r="AJ64" s="21">
        <f>IF(UPPER(AD64)="SKORYGOWANY",0,IF(UPPER(E64)="ZAKUP",IF(L64&lt;&gt;"",L64,I64*K64),0))</f>
        <v/>
      </c>
      <c r="AK64" s="21">
        <f>IF(UPPER(AD64)="SKORYGOWANY",0,IF(UPPER(E64)="SPRZEDAŻ",IF(L64&lt;&gt;"",L64,I64*M64),0))</f>
        <v/>
      </c>
      <c r="AL64" s="21">
        <f>AE64*Q64</f>
        <v/>
      </c>
      <c r="AM64">
        <f>IF(R64="","",IF(LOWER(R64)="brak","Brak",IF(OR(ISNUMBER(SEARCH("własn",LOWER(R64))),ISNUMBER(SEARCH("wlasn",LOWER(R64))),ISNUMBER(SEARCH("wojciechowski",LOWER(R64)))),"Własny","Zewnętrzny")))</f>
        <v/>
      </c>
      <c r="AN64" s="24">
        <f>IF(C64="","",YEAR(C64))</f>
        <v/>
      </c>
      <c r="AO64" s="24">
        <f>IF(C64="","",MONTH(C64))</f>
        <v/>
      </c>
      <c r="AP64">
        <f>IF(C64="","",UPPER(TEXT(C64,"mmmm")))</f>
        <v/>
      </c>
      <c r="AQ64">
        <f>IF(C64="","","Q"&amp;ROUNDUP(MONTH(C64)/3,0))</f>
        <v/>
      </c>
    </row>
    <row r="65">
      <c r="A65" s="19" t="n">
        <v>46217</v>
      </c>
      <c r="B65" t="inlineStr">
        <is>
          <t>Magazyn Pyskowice</t>
        </is>
      </c>
      <c r="C65" s="19" t="n">
        <v>46217</v>
      </c>
      <c r="D65" t="inlineStr">
        <is>
          <t>Magazyn Pyskowice</t>
        </is>
      </c>
      <c r="E65" t="inlineStr">
        <is>
          <t>MM</t>
        </is>
      </c>
      <c r="F65" t="inlineStr">
        <is>
          <t>MM-23</t>
        </is>
      </c>
      <c r="G65" t="inlineStr">
        <is>
          <t>TAK</t>
        </is>
      </c>
      <c r="I65" s="20" t="n">
        <v>87.02</v>
      </c>
      <c r="J65" t="inlineStr">
        <is>
          <t>MP</t>
        </is>
      </c>
      <c r="K65" s="21" t="n">
        <v>0</v>
      </c>
      <c r="L65" s="21" t="n">
        <v>0</v>
      </c>
      <c r="M65" s="21" t="n">
        <v>0</v>
      </c>
      <c r="N65" t="inlineStr">
        <is>
          <t>Zrębka Produkcyjna Leśna</t>
        </is>
      </c>
      <c r="O65" t="inlineStr">
        <is>
          <t>B</t>
        </is>
      </c>
      <c r="Q65" s="21" t="n">
        <v>0</v>
      </c>
      <c r="R65" t="inlineStr">
        <is>
          <t>własny (Wilczak)</t>
        </is>
      </c>
      <c r="S65" t="inlineStr">
        <is>
          <t>SK 7J884</t>
        </is>
      </c>
      <c r="T65" s="22" t="n">
        <v>40</v>
      </c>
      <c r="U65" s="21" t="n">
        <v>5</v>
      </c>
      <c r="V65" s="21" t="n">
        <v>200</v>
      </c>
      <c r="W65" t="inlineStr">
        <is>
          <t>Magazyn Zabrze</t>
        </is>
      </c>
      <c r="X65" t="inlineStr">
        <is>
          <t>Magazyn Pyskowice</t>
        </is>
      </c>
      <c r="Z65" t="inlineStr">
        <is>
          <t>Roesner Mateusz</t>
        </is>
      </c>
      <c r="AA65" s="23" t="n">
        <v>46217.42671296297</v>
      </c>
      <c r="AB65" t="inlineStr">
        <is>
          <t>OP-MIGR-00064</t>
        </is>
      </c>
      <c r="AD65" t="inlineStr">
        <is>
          <t>AKTYWNY</t>
        </is>
      </c>
      <c r="AE65" s="20">
        <f>IF(I65="",0,IF(ISNUMBER(SEARCH("MP",UPPER(J65))),I65,IF(ISNUMBER(SEARCH("TON",UPPER(J65))),I65/Przelicznik_MP_tona,IF(ISNUMBER(SEARCH("M3",UPPER(J65))),I65*Przelicznik_M3_MP,IF(ISNUMBER(SEARCH("GJ",UPPER(J65))),I65/Przelicznik_GJ_tona/Przelicznik_MP_tona,I65)))))</f>
        <v/>
      </c>
      <c r="AF65" s="20">
        <f>IF(I65="",0,IF(ISNUMBER(SEARCH("TON",UPPER(J65))),I65,IF(ISNUMBER(SEARCH("GJ",UPPER(J65))),I65/Przelicznik_GJ_tona,AE65*Przelicznik_MP_tona)))</f>
        <v/>
      </c>
      <c r="AG65" s="20">
        <f>AF65*Przelicznik_GJ_tona</f>
        <v/>
      </c>
      <c r="AH65" s="20">
        <f>IF(UPPER(AD65)="SKORYGOWANY",0,IF(OR(UPPER(E65)="TRANSPORT",UPPER(E65)="MM"),0,IF(UPPER(G65)&lt;&gt;"TAK",0,IF(OR(UPPER(E65)="ZAKUP",UPPER(E65)="PRODUKCJA"),AE65,IF(OR(UPPER(E65)="SPRZEDAŻ",UPPER(E65)="ZUŻYCIE"),-AE65,0)))))</f>
        <v/>
      </c>
      <c r="AI65" s="20">
        <f>IF(UPPER(AD65)="SKORYGOWANY",0,IF(OR(UPPER(E65)="TRANSPORT",UPPER(E65)="MM"),0,IF(UPPER(G65)&lt;&gt;"TAK",0,IF(OR(UPPER(E65)="ZAKUP",UPPER(E65)="PRODUKCJA"),AF65,IF(OR(UPPER(E65)="SPRZEDAŻ",UPPER(E65)="ZUŻYCIE"),-AF65,0)))))</f>
        <v/>
      </c>
      <c r="AJ65" s="21">
        <f>IF(UPPER(AD65)="SKORYGOWANY",0,IF(UPPER(E65)="ZAKUP",IF(L65&lt;&gt;"",L65,I65*K65),0))</f>
        <v/>
      </c>
      <c r="AK65" s="21">
        <f>IF(UPPER(AD65)="SKORYGOWANY",0,IF(UPPER(E65)="SPRZEDAŻ",IF(L65&lt;&gt;"",L65,I65*M65),0))</f>
        <v/>
      </c>
      <c r="AL65" s="21">
        <f>AE65*Q65</f>
        <v/>
      </c>
      <c r="AM65">
        <f>IF(R65="","",IF(LOWER(R65)="brak","Brak",IF(OR(ISNUMBER(SEARCH("własn",LOWER(R65))),ISNUMBER(SEARCH("wlasn",LOWER(R65))),ISNUMBER(SEARCH("wojciechowski",LOWER(R65)))),"Własny","Zewnętrzny")))</f>
        <v/>
      </c>
      <c r="AN65" s="24">
        <f>IF(C65="","",YEAR(C65))</f>
        <v/>
      </c>
      <c r="AO65" s="24">
        <f>IF(C65="","",MONTH(C65))</f>
        <v/>
      </c>
      <c r="AP65">
        <f>IF(C65="","",UPPER(TEXT(C65,"mmmm")))</f>
        <v/>
      </c>
      <c r="AQ65">
        <f>IF(C65="","","Q"&amp;ROUNDUP(MONTH(C65)/3,0))</f>
        <v/>
      </c>
    </row>
    <row r="66">
      <c r="A66" s="19" t="n">
        <v>46217</v>
      </c>
      <c r="B66" t="inlineStr">
        <is>
          <t>Magazyn Pyskowice</t>
        </is>
      </c>
      <c r="C66" s="19" t="n">
        <v>46217</v>
      </c>
      <c r="D66" t="inlineStr">
        <is>
          <t>Magazyn Pyskowice</t>
        </is>
      </c>
      <c r="E66" t="inlineStr">
        <is>
          <t>MM</t>
        </is>
      </c>
      <c r="F66" t="inlineStr">
        <is>
          <t>MM-24</t>
        </is>
      </c>
      <c r="G66" t="inlineStr">
        <is>
          <t>TAK</t>
        </is>
      </c>
      <c r="I66" s="20" t="n">
        <v>86</v>
      </c>
      <c r="J66" t="inlineStr">
        <is>
          <t>MP</t>
        </is>
      </c>
      <c r="K66" s="21" t="n">
        <v>0</v>
      </c>
      <c r="L66" s="21" t="n">
        <v>0</v>
      </c>
      <c r="M66" s="21" t="n">
        <v>0</v>
      </c>
      <c r="N66" t="inlineStr">
        <is>
          <t>Zrębka Produkcyjna Leśna</t>
        </is>
      </c>
      <c r="O66" t="inlineStr">
        <is>
          <t>B</t>
        </is>
      </c>
      <c r="Q66" s="21" t="n">
        <v>0</v>
      </c>
      <c r="R66" t="inlineStr">
        <is>
          <t>własny (Wilczak)</t>
        </is>
      </c>
      <c r="S66" t="inlineStr">
        <is>
          <t>SK 7J884</t>
        </is>
      </c>
      <c r="T66" s="22" t="n">
        <v>40</v>
      </c>
      <c r="U66" s="21" t="n">
        <v>5</v>
      </c>
      <c r="V66" s="21" t="n">
        <v>200</v>
      </c>
      <c r="W66" t="inlineStr">
        <is>
          <t>Magazyn Zabrze</t>
        </is>
      </c>
      <c r="X66" t="inlineStr">
        <is>
          <t>Magazyn Pyskowice</t>
        </is>
      </c>
      <c r="Z66" t="inlineStr">
        <is>
          <t>Roesner Mateusz</t>
        </is>
      </c>
      <c r="AA66" s="23" t="n">
        <v>46218.32924768519</v>
      </c>
      <c r="AB66" t="inlineStr">
        <is>
          <t>OP-MIGR-00065</t>
        </is>
      </c>
      <c r="AD66" t="inlineStr">
        <is>
          <t>AKTYWNY</t>
        </is>
      </c>
      <c r="AE66" s="20">
        <f>IF(I66="",0,IF(ISNUMBER(SEARCH("MP",UPPER(J66))),I66,IF(ISNUMBER(SEARCH("TON",UPPER(J66))),I66/Przelicznik_MP_tona,IF(ISNUMBER(SEARCH("M3",UPPER(J66))),I66*Przelicznik_M3_MP,IF(ISNUMBER(SEARCH("GJ",UPPER(J66))),I66/Przelicznik_GJ_tona/Przelicznik_MP_tona,I66)))))</f>
        <v/>
      </c>
      <c r="AF66" s="20">
        <f>IF(I66="",0,IF(ISNUMBER(SEARCH("TON",UPPER(J66))),I66,IF(ISNUMBER(SEARCH("GJ",UPPER(J66))),I66/Przelicznik_GJ_tona,AE66*Przelicznik_MP_tona)))</f>
        <v/>
      </c>
      <c r="AG66" s="20">
        <f>AF66*Przelicznik_GJ_tona</f>
        <v/>
      </c>
      <c r="AH66" s="20">
        <f>IF(UPPER(AD66)="SKORYGOWANY",0,IF(OR(UPPER(E66)="TRANSPORT",UPPER(E66)="MM"),0,IF(UPPER(G66)&lt;&gt;"TAK",0,IF(OR(UPPER(E66)="ZAKUP",UPPER(E66)="PRODUKCJA"),AE66,IF(OR(UPPER(E66)="SPRZEDAŻ",UPPER(E66)="ZUŻYCIE"),-AE66,0)))))</f>
        <v/>
      </c>
      <c r="AI66" s="20">
        <f>IF(UPPER(AD66)="SKORYGOWANY",0,IF(OR(UPPER(E66)="TRANSPORT",UPPER(E66)="MM"),0,IF(UPPER(G66)&lt;&gt;"TAK",0,IF(OR(UPPER(E66)="ZAKUP",UPPER(E66)="PRODUKCJA"),AF66,IF(OR(UPPER(E66)="SPRZEDAŻ",UPPER(E66)="ZUŻYCIE"),-AF66,0)))))</f>
        <v/>
      </c>
      <c r="AJ66" s="21">
        <f>IF(UPPER(AD66)="SKORYGOWANY",0,IF(UPPER(E66)="ZAKUP",IF(L66&lt;&gt;"",L66,I66*K66),0))</f>
        <v/>
      </c>
      <c r="AK66" s="21">
        <f>IF(UPPER(AD66)="SKORYGOWANY",0,IF(UPPER(E66)="SPRZEDAŻ",IF(L66&lt;&gt;"",L66,I66*M66),0))</f>
        <v/>
      </c>
      <c r="AL66" s="21">
        <f>AE66*Q66</f>
        <v/>
      </c>
      <c r="AM66">
        <f>IF(R66="","",IF(LOWER(R66)="brak","Brak",IF(OR(ISNUMBER(SEARCH("własn",LOWER(R66))),ISNUMBER(SEARCH("wlasn",LOWER(R66))),ISNUMBER(SEARCH("wojciechowski",LOWER(R66)))),"Własny","Zewnętrzny")))</f>
        <v/>
      </c>
      <c r="AN66" s="24">
        <f>IF(C66="","",YEAR(C66))</f>
        <v/>
      </c>
      <c r="AO66" s="24">
        <f>IF(C66="","",MONTH(C66))</f>
        <v/>
      </c>
      <c r="AP66">
        <f>IF(C66="","",UPPER(TEXT(C66,"mmmm")))</f>
        <v/>
      </c>
      <c r="AQ66">
        <f>IF(C66="","","Q"&amp;ROUNDUP(MONTH(C66)/3,0))</f>
        <v/>
      </c>
    </row>
    <row r="67">
      <c r="A67" s="19" t="n">
        <v>46218</v>
      </c>
      <c r="B67" t="inlineStr">
        <is>
          <t>Magazyn Pyskowice</t>
        </is>
      </c>
      <c r="C67" s="19" t="n">
        <v>46218</v>
      </c>
      <c r="D67" t="inlineStr">
        <is>
          <t>Magazyn Pyskowice</t>
        </is>
      </c>
      <c r="E67" t="inlineStr">
        <is>
          <t>MM</t>
        </is>
      </c>
      <c r="F67" t="inlineStr">
        <is>
          <t>MM-25</t>
        </is>
      </c>
      <c r="G67" t="inlineStr">
        <is>
          <t>TAK</t>
        </is>
      </c>
      <c r="I67" s="20" t="n">
        <v>88</v>
      </c>
      <c r="J67" t="inlineStr">
        <is>
          <t>MP</t>
        </is>
      </c>
      <c r="K67" s="21" t="n">
        <v>0</v>
      </c>
      <c r="L67" s="21" t="n">
        <v>0</v>
      </c>
      <c r="M67" s="21" t="n">
        <v>0</v>
      </c>
      <c r="N67" t="inlineStr">
        <is>
          <t>Zrębka Produkcyjna Leśna</t>
        </is>
      </c>
      <c r="O67" t="inlineStr">
        <is>
          <t>B</t>
        </is>
      </c>
      <c r="Q67" s="21" t="n">
        <v>0</v>
      </c>
      <c r="R67" t="inlineStr">
        <is>
          <t>własny (Wilczak)</t>
        </is>
      </c>
      <c r="S67" t="inlineStr">
        <is>
          <t>SK 7J884</t>
        </is>
      </c>
      <c r="T67" s="22" t="n">
        <v>40</v>
      </c>
      <c r="U67" s="21" t="n">
        <v>5</v>
      </c>
      <c r="V67" s="21" t="n">
        <v>200</v>
      </c>
      <c r="W67" t="inlineStr">
        <is>
          <t>Magazyn Zabrze</t>
        </is>
      </c>
      <c r="X67" t="inlineStr">
        <is>
          <t>Magazyn Pyskowice</t>
        </is>
      </c>
      <c r="Z67" t="inlineStr">
        <is>
          <t>Roesner Mateusz</t>
        </is>
      </c>
      <c r="AA67" s="23" t="n">
        <v>46218.33085648148</v>
      </c>
      <c r="AB67" t="inlineStr">
        <is>
          <t>OP-MIGR-00066</t>
        </is>
      </c>
      <c r="AD67" t="inlineStr">
        <is>
          <t>AKTYWNY</t>
        </is>
      </c>
      <c r="AE67" s="20">
        <f>IF(I67="",0,IF(ISNUMBER(SEARCH("MP",UPPER(J67))),I67,IF(ISNUMBER(SEARCH("TON",UPPER(J67))),I67/Przelicznik_MP_tona,IF(ISNUMBER(SEARCH("M3",UPPER(J67))),I67*Przelicznik_M3_MP,IF(ISNUMBER(SEARCH("GJ",UPPER(J67))),I67/Przelicznik_GJ_tona/Przelicznik_MP_tona,I67)))))</f>
        <v/>
      </c>
      <c r="AF67" s="20">
        <f>IF(I67="",0,IF(ISNUMBER(SEARCH("TON",UPPER(J67))),I67,IF(ISNUMBER(SEARCH("GJ",UPPER(J67))),I67/Przelicznik_GJ_tona,AE67*Przelicznik_MP_tona)))</f>
        <v/>
      </c>
      <c r="AG67" s="20">
        <f>AF67*Przelicznik_GJ_tona</f>
        <v/>
      </c>
      <c r="AH67" s="20">
        <f>IF(UPPER(AD67)="SKORYGOWANY",0,IF(OR(UPPER(E67)="TRANSPORT",UPPER(E67)="MM"),0,IF(UPPER(G67)&lt;&gt;"TAK",0,IF(OR(UPPER(E67)="ZAKUP",UPPER(E67)="PRODUKCJA"),AE67,IF(OR(UPPER(E67)="SPRZEDAŻ",UPPER(E67)="ZUŻYCIE"),-AE67,0)))))</f>
        <v/>
      </c>
      <c r="AI67" s="20">
        <f>IF(UPPER(AD67)="SKORYGOWANY",0,IF(OR(UPPER(E67)="TRANSPORT",UPPER(E67)="MM"),0,IF(UPPER(G67)&lt;&gt;"TAK",0,IF(OR(UPPER(E67)="ZAKUP",UPPER(E67)="PRODUKCJA"),AF67,IF(OR(UPPER(E67)="SPRZEDAŻ",UPPER(E67)="ZUŻYCIE"),-AF67,0)))))</f>
        <v/>
      </c>
      <c r="AJ67" s="21">
        <f>IF(UPPER(AD67)="SKORYGOWANY",0,IF(UPPER(E67)="ZAKUP",IF(L67&lt;&gt;"",L67,I67*K67),0))</f>
        <v/>
      </c>
      <c r="AK67" s="21">
        <f>IF(UPPER(AD67)="SKORYGOWANY",0,IF(UPPER(E67)="SPRZEDAŻ",IF(L67&lt;&gt;"",L67,I67*M67),0))</f>
        <v/>
      </c>
      <c r="AL67" s="21">
        <f>AE67*Q67</f>
        <v/>
      </c>
      <c r="AM67">
        <f>IF(R67="","",IF(LOWER(R67)="brak","Brak",IF(OR(ISNUMBER(SEARCH("własn",LOWER(R67))),ISNUMBER(SEARCH("wlasn",LOWER(R67))),ISNUMBER(SEARCH("wojciechowski",LOWER(R67)))),"Własny","Zewnętrzny")))</f>
        <v/>
      </c>
      <c r="AN67" s="24">
        <f>IF(C67="","",YEAR(C67))</f>
        <v/>
      </c>
      <c r="AO67" s="24">
        <f>IF(C67="","",MONTH(C67))</f>
        <v/>
      </c>
      <c r="AP67">
        <f>IF(C67="","",UPPER(TEXT(C67,"mmmm")))</f>
        <v/>
      </c>
      <c r="AQ67">
        <f>IF(C67="","","Q"&amp;ROUNDUP(MONTH(C67)/3,0))</f>
        <v/>
      </c>
    </row>
    <row r="68">
      <c r="A68" s="19" t="n">
        <v>46218</v>
      </c>
      <c r="B68" t="inlineStr">
        <is>
          <t>Magazyn Pyskowice</t>
        </is>
      </c>
      <c r="C68" s="19" t="n">
        <v>46218</v>
      </c>
      <c r="D68" t="inlineStr">
        <is>
          <t>Magazyn Pyskowice</t>
        </is>
      </c>
      <c r="E68" t="inlineStr">
        <is>
          <t>MM</t>
        </is>
      </c>
      <c r="F68" t="inlineStr">
        <is>
          <t>MM-26</t>
        </is>
      </c>
      <c r="G68" t="inlineStr">
        <is>
          <t>TAK</t>
        </is>
      </c>
      <c r="I68" s="20" t="n">
        <v>87</v>
      </c>
      <c r="J68" t="inlineStr">
        <is>
          <t>MP</t>
        </is>
      </c>
      <c r="K68" s="21" t="n">
        <v>0</v>
      </c>
      <c r="L68" s="21" t="n">
        <v>0</v>
      </c>
      <c r="M68" s="21" t="n">
        <v>0</v>
      </c>
      <c r="N68" t="inlineStr">
        <is>
          <t>Zrębka Produkcyjna Leśna</t>
        </is>
      </c>
      <c r="O68" t="inlineStr">
        <is>
          <t>B</t>
        </is>
      </c>
      <c r="Q68" s="21" t="n">
        <v>0</v>
      </c>
      <c r="R68" t="inlineStr">
        <is>
          <t>własny (Chrzan)</t>
        </is>
      </c>
      <c r="S68" t="inlineStr">
        <is>
          <t>SK 7J885</t>
        </is>
      </c>
      <c r="T68" s="22" t="n">
        <v>40</v>
      </c>
      <c r="U68" s="21" t="n">
        <v>5</v>
      </c>
      <c r="V68" s="21" t="n">
        <v>200</v>
      </c>
      <c r="W68" t="inlineStr">
        <is>
          <t>Magazyn Zabrze</t>
        </is>
      </c>
      <c r="X68" t="inlineStr">
        <is>
          <t>Magazyn Pyskowice</t>
        </is>
      </c>
      <c r="Z68" t="inlineStr">
        <is>
          <t>Roesner Mateusz</t>
        </is>
      </c>
      <c r="AA68" s="23" t="n">
        <v>46218.3316087963</v>
      </c>
      <c r="AB68" t="inlineStr">
        <is>
          <t>OP-MIGR-00067</t>
        </is>
      </c>
      <c r="AD68" t="inlineStr">
        <is>
          <t>AKTYWNY</t>
        </is>
      </c>
      <c r="AE68" s="20">
        <f>IF(I68="",0,IF(ISNUMBER(SEARCH("MP",UPPER(J68))),I68,IF(ISNUMBER(SEARCH("TON",UPPER(J68))),I68/Przelicznik_MP_tona,IF(ISNUMBER(SEARCH("M3",UPPER(J68))),I68*Przelicznik_M3_MP,IF(ISNUMBER(SEARCH("GJ",UPPER(J68))),I68/Przelicznik_GJ_tona/Przelicznik_MP_tona,I68)))))</f>
        <v/>
      </c>
      <c r="AF68" s="20">
        <f>IF(I68="",0,IF(ISNUMBER(SEARCH("TON",UPPER(J68))),I68,IF(ISNUMBER(SEARCH("GJ",UPPER(J68))),I68/Przelicznik_GJ_tona,AE68*Przelicznik_MP_tona)))</f>
        <v/>
      </c>
      <c r="AG68" s="20">
        <f>AF68*Przelicznik_GJ_tona</f>
        <v/>
      </c>
      <c r="AH68" s="20">
        <f>IF(UPPER(AD68)="SKORYGOWANY",0,IF(OR(UPPER(E68)="TRANSPORT",UPPER(E68)="MM"),0,IF(UPPER(G68)&lt;&gt;"TAK",0,IF(OR(UPPER(E68)="ZAKUP",UPPER(E68)="PRODUKCJA"),AE68,IF(OR(UPPER(E68)="SPRZEDAŻ",UPPER(E68)="ZUŻYCIE"),-AE68,0)))))</f>
        <v/>
      </c>
      <c r="AI68" s="20">
        <f>IF(UPPER(AD68)="SKORYGOWANY",0,IF(OR(UPPER(E68)="TRANSPORT",UPPER(E68)="MM"),0,IF(UPPER(G68)&lt;&gt;"TAK",0,IF(OR(UPPER(E68)="ZAKUP",UPPER(E68)="PRODUKCJA"),AF68,IF(OR(UPPER(E68)="SPRZEDAŻ",UPPER(E68)="ZUŻYCIE"),-AF68,0)))))</f>
        <v/>
      </c>
      <c r="AJ68" s="21">
        <f>IF(UPPER(AD68)="SKORYGOWANY",0,IF(UPPER(E68)="ZAKUP",IF(L68&lt;&gt;"",L68,I68*K68),0))</f>
        <v/>
      </c>
      <c r="AK68" s="21">
        <f>IF(UPPER(AD68)="SKORYGOWANY",0,IF(UPPER(E68)="SPRZEDAŻ",IF(L68&lt;&gt;"",L68,I68*M68),0))</f>
        <v/>
      </c>
      <c r="AL68" s="21">
        <f>AE68*Q68</f>
        <v/>
      </c>
      <c r="AM68">
        <f>IF(R68="","",IF(LOWER(R68)="brak","Brak",IF(OR(ISNUMBER(SEARCH("własn",LOWER(R68))),ISNUMBER(SEARCH("wlasn",LOWER(R68))),ISNUMBER(SEARCH("wojciechowski",LOWER(R68)))),"Własny","Zewnętrzny")))</f>
        <v/>
      </c>
      <c r="AN68" s="24">
        <f>IF(C68="","",YEAR(C68))</f>
        <v/>
      </c>
      <c r="AO68" s="24">
        <f>IF(C68="","",MONTH(C68))</f>
        <v/>
      </c>
      <c r="AP68">
        <f>IF(C68="","",UPPER(TEXT(C68,"mmmm")))</f>
        <v/>
      </c>
      <c r="AQ68">
        <f>IF(C68="","","Q"&amp;ROUNDUP(MONTH(C68)/3,0))</f>
        <v/>
      </c>
    </row>
    <row r="69">
      <c r="A69" s="19" t="n">
        <v>46218</v>
      </c>
      <c r="B69" t="inlineStr">
        <is>
          <t>Magazyn Pyskowice</t>
        </is>
      </c>
      <c r="C69" s="19" t="n">
        <v>46218</v>
      </c>
      <c r="D69" t="inlineStr">
        <is>
          <t>Magazyn Pyskowice</t>
        </is>
      </c>
      <c r="E69" t="inlineStr">
        <is>
          <t>MM</t>
        </is>
      </c>
      <c r="F69" t="inlineStr">
        <is>
          <t>MM-27</t>
        </is>
      </c>
      <c r="G69" t="inlineStr">
        <is>
          <t>TAK</t>
        </is>
      </c>
      <c r="I69" s="20" t="n">
        <v>87</v>
      </c>
      <c r="J69" t="inlineStr">
        <is>
          <t>MP</t>
        </is>
      </c>
      <c r="K69" s="21" t="n">
        <v>0</v>
      </c>
      <c r="L69" s="21" t="n">
        <v>0</v>
      </c>
      <c r="M69" s="21" t="n">
        <v>0</v>
      </c>
      <c r="N69" t="inlineStr">
        <is>
          <t>Zrębka Produkcyjna Leśna</t>
        </is>
      </c>
      <c r="O69" t="inlineStr">
        <is>
          <t>B</t>
        </is>
      </c>
      <c r="Q69" s="21" t="n">
        <v>0</v>
      </c>
      <c r="R69" t="inlineStr">
        <is>
          <t>własny (Wilczak)</t>
        </is>
      </c>
      <c r="S69" t="inlineStr">
        <is>
          <t>SK 7J884</t>
        </is>
      </c>
      <c r="T69" s="22" t="n">
        <v>40</v>
      </c>
      <c r="U69" s="21" t="n">
        <v>5</v>
      </c>
      <c r="V69" s="21" t="n">
        <v>200</v>
      </c>
      <c r="W69" t="inlineStr">
        <is>
          <t>Magazyn Zabrze</t>
        </is>
      </c>
      <c r="X69" t="inlineStr">
        <is>
          <t>Magazyn Pyskowice</t>
        </is>
      </c>
      <c r="Z69" t="inlineStr">
        <is>
          <t>Roesner Mateusz</t>
        </is>
      </c>
      <c r="AA69" s="23" t="n">
        <v>46218.47103009259</v>
      </c>
      <c r="AB69" t="inlineStr">
        <is>
          <t>OP-MIGR-00068</t>
        </is>
      </c>
      <c r="AD69" t="inlineStr">
        <is>
          <t>AKTYWNY</t>
        </is>
      </c>
      <c r="AE69" s="20">
        <f>IF(I69="",0,IF(ISNUMBER(SEARCH("MP",UPPER(J69))),I69,IF(ISNUMBER(SEARCH("TON",UPPER(J69))),I69/Przelicznik_MP_tona,IF(ISNUMBER(SEARCH("M3",UPPER(J69))),I69*Przelicznik_M3_MP,IF(ISNUMBER(SEARCH("GJ",UPPER(J69))),I69/Przelicznik_GJ_tona/Przelicznik_MP_tona,I69)))))</f>
        <v/>
      </c>
      <c r="AF69" s="20">
        <f>IF(I69="",0,IF(ISNUMBER(SEARCH("TON",UPPER(J69))),I69,IF(ISNUMBER(SEARCH("GJ",UPPER(J69))),I69/Przelicznik_GJ_tona,AE69*Przelicznik_MP_tona)))</f>
        <v/>
      </c>
      <c r="AG69" s="20">
        <f>AF69*Przelicznik_GJ_tona</f>
        <v/>
      </c>
      <c r="AH69" s="20">
        <f>IF(UPPER(AD69)="SKORYGOWANY",0,IF(OR(UPPER(E69)="TRANSPORT",UPPER(E69)="MM"),0,IF(UPPER(G69)&lt;&gt;"TAK",0,IF(OR(UPPER(E69)="ZAKUP",UPPER(E69)="PRODUKCJA"),AE69,IF(OR(UPPER(E69)="SPRZEDAŻ",UPPER(E69)="ZUŻYCIE"),-AE69,0)))))</f>
        <v/>
      </c>
      <c r="AI69" s="20">
        <f>IF(UPPER(AD69)="SKORYGOWANY",0,IF(OR(UPPER(E69)="TRANSPORT",UPPER(E69)="MM"),0,IF(UPPER(G69)&lt;&gt;"TAK",0,IF(OR(UPPER(E69)="ZAKUP",UPPER(E69)="PRODUKCJA"),AF69,IF(OR(UPPER(E69)="SPRZEDAŻ",UPPER(E69)="ZUŻYCIE"),-AF69,0)))))</f>
        <v/>
      </c>
      <c r="AJ69" s="21">
        <f>IF(UPPER(AD69)="SKORYGOWANY",0,IF(UPPER(E69)="ZAKUP",IF(L69&lt;&gt;"",L69,I69*K69),0))</f>
        <v/>
      </c>
      <c r="AK69" s="21">
        <f>IF(UPPER(AD69)="SKORYGOWANY",0,IF(UPPER(E69)="SPRZEDAŻ",IF(L69&lt;&gt;"",L69,I69*M69),0))</f>
        <v/>
      </c>
      <c r="AL69" s="21">
        <f>AE69*Q69</f>
        <v/>
      </c>
      <c r="AM69">
        <f>IF(R69="","",IF(LOWER(R69)="brak","Brak",IF(OR(ISNUMBER(SEARCH("własn",LOWER(R69))),ISNUMBER(SEARCH("wlasn",LOWER(R69))),ISNUMBER(SEARCH("wojciechowski",LOWER(R69)))),"Własny","Zewnętrzny")))</f>
        <v/>
      </c>
      <c r="AN69" s="24">
        <f>IF(C69="","",YEAR(C69))</f>
        <v/>
      </c>
      <c r="AO69" s="24">
        <f>IF(C69="","",MONTH(C69))</f>
        <v/>
      </c>
      <c r="AP69">
        <f>IF(C69="","",UPPER(TEXT(C69,"mmmm")))</f>
        <v/>
      </c>
      <c r="AQ69">
        <f>IF(C69="","","Q"&amp;ROUNDUP(MONTH(C69)/3,0))</f>
        <v/>
      </c>
    </row>
    <row r="70">
      <c r="A70" s="19" t="n">
        <v>46218</v>
      </c>
      <c r="B70" t="inlineStr">
        <is>
          <t>Magazyn Pyskowice</t>
        </is>
      </c>
      <c r="C70" s="19" t="n">
        <v>46218</v>
      </c>
      <c r="D70" t="inlineStr">
        <is>
          <t>Magazyn Pyskowice</t>
        </is>
      </c>
      <c r="E70" t="inlineStr">
        <is>
          <t>MM</t>
        </is>
      </c>
      <c r="F70" t="inlineStr">
        <is>
          <t>MM-28</t>
        </is>
      </c>
      <c r="G70" t="inlineStr">
        <is>
          <t>TAK</t>
        </is>
      </c>
      <c r="I70" s="20" t="n">
        <v>85</v>
      </c>
      <c r="J70" t="inlineStr">
        <is>
          <t>MP</t>
        </is>
      </c>
      <c r="K70" s="21" t="n">
        <v>0</v>
      </c>
      <c r="L70" s="21" t="n">
        <v>0</v>
      </c>
      <c r="M70" s="21" t="n">
        <v>0</v>
      </c>
      <c r="N70" t="inlineStr">
        <is>
          <t>Zrębka Produkcyjna Leśna</t>
        </is>
      </c>
      <c r="O70" t="inlineStr">
        <is>
          <t>B</t>
        </is>
      </c>
      <c r="Q70" s="21" t="n">
        <v>0</v>
      </c>
      <c r="R70" t="inlineStr">
        <is>
          <t>własny (Chrzan)</t>
        </is>
      </c>
      <c r="S70" t="inlineStr">
        <is>
          <t>SK 7J885</t>
        </is>
      </c>
      <c r="T70" s="22" t="n">
        <v>40</v>
      </c>
      <c r="U70" s="21" t="n">
        <v>5</v>
      </c>
      <c r="V70" s="21" t="n">
        <v>200</v>
      </c>
      <c r="W70" t="inlineStr">
        <is>
          <t>Magazyn Zabrze</t>
        </is>
      </c>
      <c r="X70" t="inlineStr">
        <is>
          <t>Magazyn Pyskowice</t>
        </is>
      </c>
      <c r="Z70" t="inlineStr">
        <is>
          <t>Roesner Mateusz</t>
        </is>
      </c>
      <c r="AA70" s="23" t="n">
        <v>46218.4716087963</v>
      </c>
      <c r="AB70" t="inlineStr">
        <is>
          <t>OP-MIGR-00069</t>
        </is>
      </c>
      <c r="AD70" t="inlineStr">
        <is>
          <t>AKTYWNY</t>
        </is>
      </c>
      <c r="AE70" s="20">
        <f>IF(I70="",0,IF(ISNUMBER(SEARCH("MP",UPPER(J70))),I70,IF(ISNUMBER(SEARCH("TON",UPPER(J70))),I70/Przelicznik_MP_tona,IF(ISNUMBER(SEARCH("M3",UPPER(J70))),I70*Przelicznik_M3_MP,IF(ISNUMBER(SEARCH("GJ",UPPER(J70))),I70/Przelicznik_GJ_tona/Przelicznik_MP_tona,I70)))))</f>
        <v/>
      </c>
      <c r="AF70" s="20">
        <f>IF(I70="",0,IF(ISNUMBER(SEARCH("TON",UPPER(J70))),I70,IF(ISNUMBER(SEARCH("GJ",UPPER(J70))),I70/Przelicznik_GJ_tona,AE70*Przelicznik_MP_tona)))</f>
        <v/>
      </c>
      <c r="AG70" s="20">
        <f>AF70*Przelicznik_GJ_tona</f>
        <v/>
      </c>
      <c r="AH70" s="20">
        <f>IF(UPPER(AD70)="SKORYGOWANY",0,IF(OR(UPPER(E70)="TRANSPORT",UPPER(E70)="MM"),0,IF(UPPER(G70)&lt;&gt;"TAK",0,IF(OR(UPPER(E70)="ZAKUP",UPPER(E70)="PRODUKCJA"),AE70,IF(OR(UPPER(E70)="SPRZEDAŻ",UPPER(E70)="ZUŻYCIE"),-AE70,0)))))</f>
        <v/>
      </c>
      <c r="AI70" s="20">
        <f>IF(UPPER(AD70)="SKORYGOWANY",0,IF(OR(UPPER(E70)="TRANSPORT",UPPER(E70)="MM"),0,IF(UPPER(G70)&lt;&gt;"TAK",0,IF(OR(UPPER(E70)="ZAKUP",UPPER(E70)="PRODUKCJA"),AF70,IF(OR(UPPER(E70)="SPRZEDAŻ",UPPER(E70)="ZUŻYCIE"),-AF70,0)))))</f>
        <v/>
      </c>
      <c r="AJ70" s="21">
        <f>IF(UPPER(AD70)="SKORYGOWANY",0,IF(UPPER(E70)="ZAKUP",IF(L70&lt;&gt;"",L70,I70*K70),0))</f>
        <v/>
      </c>
      <c r="AK70" s="21">
        <f>IF(UPPER(AD70)="SKORYGOWANY",0,IF(UPPER(E70)="SPRZEDAŻ",IF(L70&lt;&gt;"",L70,I70*M70),0))</f>
        <v/>
      </c>
      <c r="AL70" s="21">
        <f>AE70*Q70</f>
        <v/>
      </c>
      <c r="AM70">
        <f>IF(R70="","",IF(LOWER(R70)="brak","Brak",IF(OR(ISNUMBER(SEARCH("własn",LOWER(R70))),ISNUMBER(SEARCH("wlasn",LOWER(R70))),ISNUMBER(SEARCH("wojciechowski",LOWER(R70)))),"Własny","Zewnętrzny")))</f>
        <v/>
      </c>
      <c r="AN70" s="24">
        <f>IF(C70="","",YEAR(C70))</f>
        <v/>
      </c>
      <c r="AO70" s="24">
        <f>IF(C70="","",MONTH(C70))</f>
        <v/>
      </c>
      <c r="AP70">
        <f>IF(C70="","",UPPER(TEXT(C70,"mmmm")))</f>
        <v/>
      </c>
      <c r="AQ70">
        <f>IF(C70="","","Q"&amp;ROUNDUP(MONTH(C70)/3,0))</f>
        <v/>
      </c>
    </row>
    <row r="71">
      <c r="A71" s="19" t="n">
        <v>46218</v>
      </c>
      <c r="B71" t="inlineStr">
        <is>
          <t>Magazyn Pyskowice</t>
        </is>
      </c>
      <c r="C71" s="19" t="n">
        <v>46218</v>
      </c>
      <c r="D71" t="inlineStr">
        <is>
          <t>Magazyn Pyskowice</t>
        </is>
      </c>
      <c r="E71" t="inlineStr">
        <is>
          <t>MM</t>
        </is>
      </c>
      <c r="F71" t="inlineStr">
        <is>
          <t>MM-29</t>
        </is>
      </c>
      <c r="G71" t="inlineStr">
        <is>
          <t>TAK</t>
        </is>
      </c>
      <c r="I71" s="20" t="n">
        <v>90</v>
      </c>
      <c r="J71" t="inlineStr">
        <is>
          <t>MP</t>
        </is>
      </c>
      <c r="K71" s="21" t="n">
        <v>0</v>
      </c>
      <c r="L71" s="21" t="n">
        <v>0</v>
      </c>
      <c r="M71" s="21" t="n">
        <v>0</v>
      </c>
      <c r="N71" t="inlineStr">
        <is>
          <t>Zrębka Produkcyjna Leśna</t>
        </is>
      </c>
      <c r="O71" t="inlineStr">
        <is>
          <t>B</t>
        </is>
      </c>
      <c r="Q71" s="21" t="n">
        <v>0</v>
      </c>
      <c r="R71" t="inlineStr">
        <is>
          <t>własny (Wilczak)</t>
        </is>
      </c>
      <c r="S71" t="inlineStr">
        <is>
          <t>SK 7J884</t>
        </is>
      </c>
      <c r="T71" s="22" t="n">
        <v>40</v>
      </c>
      <c r="U71" s="21" t="n">
        <v>5</v>
      </c>
      <c r="V71" s="21" t="n">
        <v>200</v>
      </c>
      <c r="W71" t="inlineStr">
        <is>
          <t>Magazyn Zabrze</t>
        </is>
      </c>
      <c r="X71" t="inlineStr">
        <is>
          <t>Magazyn Pyskowice</t>
        </is>
      </c>
      <c r="Z71" t="inlineStr">
        <is>
          <t>Roesner Mateusz</t>
        </is>
      </c>
      <c r="AA71" s="23" t="n">
        <v>46218.54892361111</v>
      </c>
      <c r="AB71" t="inlineStr">
        <is>
          <t>OP-MIGR-00070</t>
        </is>
      </c>
      <c r="AD71" t="inlineStr">
        <is>
          <t>AKTYWNY</t>
        </is>
      </c>
      <c r="AE71" s="20">
        <f>IF(I71="",0,IF(ISNUMBER(SEARCH("MP",UPPER(J71))),I71,IF(ISNUMBER(SEARCH("TON",UPPER(J71))),I71/Przelicznik_MP_tona,IF(ISNUMBER(SEARCH("M3",UPPER(J71))),I71*Przelicznik_M3_MP,IF(ISNUMBER(SEARCH("GJ",UPPER(J71))),I71/Przelicznik_GJ_tona/Przelicznik_MP_tona,I71)))))</f>
        <v/>
      </c>
      <c r="AF71" s="20">
        <f>IF(I71="",0,IF(ISNUMBER(SEARCH("TON",UPPER(J71))),I71,IF(ISNUMBER(SEARCH("GJ",UPPER(J71))),I71/Przelicznik_GJ_tona,AE71*Przelicznik_MP_tona)))</f>
        <v/>
      </c>
      <c r="AG71" s="20">
        <f>AF71*Przelicznik_GJ_tona</f>
        <v/>
      </c>
      <c r="AH71" s="20">
        <f>IF(UPPER(AD71)="SKORYGOWANY",0,IF(OR(UPPER(E71)="TRANSPORT",UPPER(E71)="MM"),0,IF(UPPER(G71)&lt;&gt;"TAK",0,IF(OR(UPPER(E71)="ZAKUP",UPPER(E71)="PRODUKCJA"),AE71,IF(OR(UPPER(E71)="SPRZEDAŻ",UPPER(E71)="ZUŻYCIE"),-AE71,0)))))</f>
        <v/>
      </c>
      <c r="AI71" s="20">
        <f>IF(UPPER(AD71)="SKORYGOWANY",0,IF(OR(UPPER(E71)="TRANSPORT",UPPER(E71)="MM"),0,IF(UPPER(G71)&lt;&gt;"TAK",0,IF(OR(UPPER(E71)="ZAKUP",UPPER(E71)="PRODUKCJA"),AF71,IF(OR(UPPER(E71)="SPRZEDAŻ",UPPER(E71)="ZUŻYCIE"),-AF71,0)))))</f>
        <v/>
      </c>
      <c r="AJ71" s="21">
        <f>IF(UPPER(AD71)="SKORYGOWANY",0,IF(UPPER(E71)="ZAKUP",IF(L71&lt;&gt;"",L71,I71*K71),0))</f>
        <v/>
      </c>
      <c r="AK71" s="21">
        <f>IF(UPPER(AD71)="SKORYGOWANY",0,IF(UPPER(E71)="SPRZEDAŻ",IF(L71&lt;&gt;"",L71,I71*M71),0))</f>
        <v/>
      </c>
      <c r="AL71" s="21">
        <f>AE71*Q71</f>
        <v/>
      </c>
      <c r="AM71">
        <f>IF(R71="","",IF(LOWER(R71)="brak","Brak",IF(OR(ISNUMBER(SEARCH("własn",LOWER(R71))),ISNUMBER(SEARCH("wlasn",LOWER(R71))),ISNUMBER(SEARCH("wojciechowski",LOWER(R71)))),"Własny","Zewnętrzny")))</f>
        <v/>
      </c>
      <c r="AN71" s="24">
        <f>IF(C71="","",YEAR(C71))</f>
        <v/>
      </c>
      <c r="AO71" s="24">
        <f>IF(C71="","",MONTH(C71))</f>
        <v/>
      </c>
      <c r="AP71">
        <f>IF(C71="","",UPPER(TEXT(C71,"mmmm")))</f>
        <v/>
      </c>
      <c r="AQ71">
        <f>IF(C71="","","Q"&amp;ROUNDUP(MONTH(C71)/3,0))</f>
        <v/>
      </c>
    </row>
    <row r="72">
      <c r="A72" s="19" t="n">
        <v>46218</v>
      </c>
      <c r="B72" t="inlineStr">
        <is>
          <t>Magazyn Pyskowice</t>
        </is>
      </c>
      <c r="C72" s="19" t="n">
        <v>46218</v>
      </c>
      <c r="D72" t="inlineStr">
        <is>
          <t>Magazyn Pyskowice</t>
        </is>
      </c>
      <c r="E72" t="inlineStr">
        <is>
          <t>MM</t>
        </is>
      </c>
      <c r="F72" t="inlineStr">
        <is>
          <t>MM-30</t>
        </is>
      </c>
      <c r="G72" t="inlineStr">
        <is>
          <t>TAK</t>
        </is>
      </c>
      <c r="I72" s="20" t="n">
        <v>87</v>
      </c>
      <c r="J72" t="inlineStr">
        <is>
          <t>MP</t>
        </is>
      </c>
      <c r="K72" s="21" t="n">
        <v>0</v>
      </c>
      <c r="L72" s="21" t="n">
        <v>0</v>
      </c>
      <c r="M72" s="21" t="n">
        <v>0</v>
      </c>
      <c r="N72" t="inlineStr">
        <is>
          <t>Zrębka Produkcyjna Leśna</t>
        </is>
      </c>
      <c r="O72" t="inlineStr">
        <is>
          <t>B</t>
        </is>
      </c>
      <c r="Q72" s="21" t="n">
        <v>0</v>
      </c>
      <c r="R72" t="inlineStr">
        <is>
          <t>własny (Chrzan)</t>
        </is>
      </c>
      <c r="S72" t="inlineStr">
        <is>
          <t>SK 7J885</t>
        </is>
      </c>
      <c r="T72" s="22" t="n">
        <v>40</v>
      </c>
      <c r="U72" s="21" t="n">
        <v>5</v>
      </c>
      <c r="V72" s="21" t="n">
        <v>200</v>
      </c>
      <c r="W72" t="inlineStr">
        <is>
          <t>Magazyn Zabrze</t>
        </is>
      </c>
      <c r="X72" t="inlineStr">
        <is>
          <t>Magazyn Pyskowice</t>
        </is>
      </c>
      <c r="Z72" t="inlineStr">
        <is>
          <t>Roesner Mateusz</t>
        </is>
      </c>
      <c r="AA72" s="23" t="n">
        <v>46218.54966435185</v>
      </c>
      <c r="AB72" t="inlineStr">
        <is>
          <t>OP-MIGR-00071</t>
        </is>
      </c>
      <c r="AD72" t="inlineStr">
        <is>
          <t>AKTYWNY</t>
        </is>
      </c>
      <c r="AE72" s="20">
        <f>IF(I72="",0,IF(ISNUMBER(SEARCH("MP",UPPER(J72))),I72,IF(ISNUMBER(SEARCH("TON",UPPER(J72))),I72/Przelicznik_MP_tona,IF(ISNUMBER(SEARCH("M3",UPPER(J72))),I72*Przelicznik_M3_MP,IF(ISNUMBER(SEARCH("GJ",UPPER(J72))),I72/Przelicznik_GJ_tona/Przelicznik_MP_tona,I72)))))</f>
        <v/>
      </c>
      <c r="AF72" s="20">
        <f>IF(I72="",0,IF(ISNUMBER(SEARCH("TON",UPPER(J72))),I72,IF(ISNUMBER(SEARCH("GJ",UPPER(J72))),I72/Przelicznik_GJ_tona,AE72*Przelicznik_MP_tona)))</f>
        <v/>
      </c>
      <c r="AG72" s="20">
        <f>AF72*Przelicznik_GJ_tona</f>
        <v/>
      </c>
      <c r="AH72" s="20">
        <f>IF(UPPER(AD72)="SKORYGOWANY",0,IF(OR(UPPER(E72)="TRANSPORT",UPPER(E72)="MM"),0,IF(UPPER(G72)&lt;&gt;"TAK",0,IF(OR(UPPER(E72)="ZAKUP",UPPER(E72)="PRODUKCJA"),AE72,IF(OR(UPPER(E72)="SPRZEDAŻ",UPPER(E72)="ZUŻYCIE"),-AE72,0)))))</f>
        <v/>
      </c>
      <c r="AI72" s="20">
        <f>IF(UPPER(AD72)="SKORYGOWANY",0,IF(OR(UPPER(E72)="TRANSPORT",UPPER(E72)="MM"),0,IF(UPPER(G72)&lt;&gt;"TAK",0,IF(OR(UPPER(E72)="ZAKUP",UPPER(E72)="PRODUKCJA"),AF72,IF(OR(UPPER(E72)="SPRZEDAŻ",UPPER(E72)="ZUŻYCIE"),-AF72,0)))))</f>
        <v/>
      </c>
      <c r="AJ72" s="21">
        <f>IF(UPPER(AD72)="SKORYGOWANY",0,IF(UPPER(E72)="ZAKUP",IF(L72&lt;&gt;"",L72,I72*K72),0))</f>
        <v/>
      </c>
      <c r="AK72" s="21">
        <f>IF(UPPER(AD72)="SKORYGOWANY",0,IF(UPPER(E72)="SPRZEDAŻ",IF(L72&lt;&gt;"",L72,I72*M72),0))</f>
        <v/>
      </c>
      <c r="AL72" s="21">
        <f>AE72*Q72</f>
        <v/>
      </c>
      <c r="AM72">
        <f>IF(R72="","",IF(LOWER(R72)="brak","Brak",IF(OR(ISNUMBER(SEARCH("własn",LOWER(R72))),ISNUMBER(SEARCH("wlasn",LOWER(R72))),ISNUMBER(SEARCH("wojciechowski",LOWER(R72)))),"Własny","Zewnętrzny")))</f>
        <v/>
      </c>
      <c r="AN72" s="24">
        <f>IF(C72="","",YEAR(C72))</f>
        <v/>
      </c>
      <c r="AO72" s="24">
        <f>IF(C72="","",MONTH(C72))</f>
        <v/>
      </c>
      <c r="AP72">
        <f>IF(C72="","",UPPER(TEXT(C72,"mmmm")))</f>
        <v/>
      </c>
      <c r="AQ72">
        <f>IF(C72="","","Q"&amp;ROUNDUP(MONTH(C72)/3,0))</f>
        <v/>
      </c>
    </row>
    <row r="73">
      <c r="A73" s="19" t="n">
        <v>46218</v>
      </c>
      <c r="C73" s="19" t="n">
        <v>46218</v>
      </c>
      <c r="D73" t="inlineStr">
        <is>
          <t>Drewnex</t>
        </is>
      </c>
      <c r="E73" t="inlineStr">
        <is>
          <t>ZAKUP</t>
        </is>
      </c>
      <c r="F73" t="inlineStr">
        <is>
          <t>PZ/16</t>
        </is>
      </c>
      <c r="G73" t="inlineStr">
        <is>
          <t>TAK</t>
        </is>
      </c>
      <c r="H73" t="inlineStr">
        <is>
          <t>KZR</t>
        </is>
      </c>
      <c r="I73" s="20" t="n">
        <v>28.06</v>
      </c>
      <c r="J73" t="inlineStr">
        <is>
          <t>TON</t>
        </is>
      </c>
      <c r="K73" s="21" t="n">
        <v>265</v>
      </c>
      <c r="L73" s="21" t="n">
        <v>7435.9</v>
      </c>
      <c r="M73" s="21" t="n">
        <v>0</v>
      </c>
      <c r="N73" t="inlineStr">
        <is>
          <t>Zrębka towar</t>
        </is>
      </c>
      <c r="Q73" s="21" t="n">
        <v>0</v>
      </c>
      <c r="T73" s="22" t="n">
        <v>0</v>
      </c>
      <c r="U73" s="21" t="n">
        <v>0</v>
      </c>
      <c r="V73" s="21" t="n">
        <v>0</v>
      </c>
      <c r="W73" t="inlineStr">
        <is>
          <t>Magazyn Zabrze</t>
        </is>
      </c>
      <c r="Y73" t="inlineStr">
        <is>
          <t>Tartaczna</t>
        </is>
      </c>
      <c r="Z73" t="inlineStr">
        <is>
          <t>Roesner Mateusz</t>
        </is>
      </c>
      <c r="AA73" s="23" t="n">
        <v>46224.43101851852</v>
      </c>
      <c r="AB73" t="inlineStr">
        <is>
          <t>OP-MIGR-00072</t>
        </is>
      </c>
      <c r="AD73" t="inlineStr">
        <is>
          <t>AKTYWNY</t>
        </is>
      </c>
      <c r="AE73" s="20">
        <f>IF(I73="",0,IF(ISNUMBER(SEARCH("MP",UPPER(J73))),I73,IF(ISNUMBER(SEARCH("TON",UPPER(J73))),I73/Przelicznik_MP_tona,IF(ISNUMBER(SEARCH("M3",UPPER(J73))),I73*Przelicznik_M3_MP,IF(ISNUMBER(SEARCH("GJ",UPPER(J73))),I73/Przelicznik_GJ_tona/Przelicznik_MP_tona,I73)))))</f>
        <v/>
      </c>
      <c r="AF73" s="20">
        <f>IF(I73="",0,IF(ISNUMBER(SEARCH("TON",UPPER(J73))),I73,IF(ISNUMBER(SEARCH("GJ",UPPER(J73))),I73/Przelicznik_GJ_tona,AE73*Przelicznik_MP_tona)))</f>
        <v/>
      </c>
      <c r="AG73" s="20">
        <f>AF73*Przelicznik_GJ_tona</f>
        <v/>
      </c>
      <c r="AH73" s="20">
        <f>IF(UPPER(AD73)="SKORYGOWANY",0,IF(OR(UPPER(E73)="TRANSPORT",UPPER(E73)="MM"),0,IF(UPPER(G73)&lt;&gt;"TAK",0,IF(OR(UPPER(E73)="ZAKUP",UPPER(E73)="PRODUKCJA"),AE73,IF(OR(UPPER(E73)="SPRZEDAŻ",UPPER(E73)="ZUŻYCIE"),-AE73,0)))))</f>
        <v/>
      </c>
      <c r="AI73" s="20">
        <f>IF(UPPER(AD73)="SKORYGOWANY",0,IF(OR(UPPER(E73)="TRANSPORT",UPPER(E73)="MM"),0,IF(UPPER(G73)&lt;&gt;"TAK",0,IF(OR(UPPER(E73)="ZAKUP",UPPER(E73)="PRODUKCJA"),AF73,IF(OR(UPPER(E73)="SPRZEDAŻ",UPPER(E73)="ZUŻYCIE"),-AF73,0)))))</f>
        <v/>
      </c>
      <c r="AJ73" s="21">
        <f>IF(UPPER(AD73)="SKORYGOWANY",0,IF(UPPER(E73)="ZAKUP",IF(L73&lt;&gt;"",L73,I73*K73),0))</f>
        <v/>
      </c>
      <c r="AK73" s="21">
        <f>IF(UPPER(AD73)="SKORYGOWANY",0,IF(UPPER(E73)="SPRZEDAŻ",IF(L73&lt;&gt;"",L73,I73*M73),0))</f>
        <v/>
      </c>
      <c r="AL73" s="21">
        <f>AE73*Q73</f>
        <v/>
      </c>
      <c r="AM73">
        <f>IF(R73="","",IF(LOWER(R73)="brak","Brak",IF(OR(ISNUMBER(SEARCH("własn",LOWER(R73))),ISNUMBER(SEARCH("wlasn",LOWER(R73))),ISNUMBER(SEARCH("wojciechowski",LOWER(R73)))),"Własny","Zewnętrzny")))</f>
        <v/>
      </c>
      <c r="AN73" s="24">
        <f>IF(C73="","",YEAR(C73))</f>
        <v/>
      </c>
      <c r="AO73" s="24">
        <f>IF(C73="","",MONTH(C73))</f>
        <v/>
      </c>
      <c r="AP73">
        <f>IF(C73="","",UPPER(TEXT(C73,"mmmm")))</f>
        <v/>
      </c>
      <c r="AQ73">
        <f>IF(C73="","","Q"&amp;ROUNDUP(MONTH(C73)/3,0))</f>
        <v/>
      </c>
    </row>
    <row r="74">
      <c r="A74" s="19" t="n">
        <v>46219</v>
      </c>
      <c r="B74" t="inlineStr">
        <is>
          <t>Magazyn Pyskowice</t>
        </is>
      </c>
      <c r="C74" s="19" t="n">
        <v>46219</v>
      </c>
      <c r="D74" t="inlineStr">
        <is>
          <t>Magazyn Pyskowice</t>
        </is>
      </c>
      <c r="E74" t="inlineStr">
        <is>
          <t>MM</t>
        </is>
      </c>
      <c r="F74" t="inlineStr">
        <is>
          <t>MM-31</t>
        </is>
      </c>
      <c r="G74" t="inlineStr">
        <is>
          <t>TAK</t>
        </is>
      </c>
      <c r="I74" s="20" t="n">
        <v>85</v>
      </c>
      <c r="J74" t="inlineStr">
        <is>
          <t>MP</t>
        </is>
      </c>
      <c r="K74" s="21" t="n">
        <v>0</v>
      </c>
      <c r="L74" s="21" t="n">
        <v>0</v>
      </c>
      <c r="M74" s="21" t="n">
        <v>0</v>
      </c>
      <c r="N74" t="inlineStr">
        <is>
          <t>Zrębka Produkcyjna Leśna</t>
        </is>
      </c>
      <c r="O74" t="inlineStr">
        <is>
          <t>B</t>
        </is>
      </c>
      <c r="Q74" s="21" t="n">
        <v>0</v>
      </c>
      <c r="R74" t="inlineStr">
        <is>
          <t>Nowatrans</t>
        </is>
      </c>
      <c r="S74" t="inlineStr">
        <is>
          <t>ST 9995P</t>
        </is>
      </c>
      <c r="T74" s="22" t="n">
        <v>40</v>
      </c>
      <c r="U74" s="21" t="n">
        <v>15</v>
      </c>
      <c r="V74" s="21" t="n">
        <v>600</v>
      </c>
      <c r="W74" t="inlineStr">
        <is>
          <t>Magazyn Zabrze</t>
        </is>
      </c>
      <c r="X74" t="inlineStr">
        <is>
          <t>Magazyn Pyskowice</t>
        </is>
      </c>
      <c r="Z74" t="inlineStr">
        <is>
          <t>Roesner Mateusz</t>
        </is>
      </c>
      <c r="AA74" s="23" t="n">
        <v>46219.45089120371</v>
      </c>
      <c r="AB74" t="inlineStr">
        <is>
          <t>OP-MIGR-00073</t>
        </is>
      </c>
      <c r="AD74" t="inlineStr">
        <is>
          <t>AKTYWNY</t>
        </is>
      </c>
      <c r="AE74" s="20">
        <f>IF(I74="",0,IF(ISNUMBER(SEARCH("MP",UPPER(J74))),I74,IF(ISNUMBER(SEARCH("TON",UPPER(J74))),I74/Przelicznik_MP_tona,IF(ISNUMBER(SEARCH("M3",UPPER(J74))),I74*Przelicznik_M3_MP,IF(ISNUMBER(SEARCH("GJ",UPPER(J74))),I74/Przelicznik_GJ_tona/Przelicznik_MP_tona,I74)))))</f>
        <v/>
      </c>
      <c r="AF74" s="20">
        <f>IF(I74="",0,IF(ISNUMBER(SEARCH("TON",UPPER(J74))),I74,IF(ISNUMBER(SEARCH("GJ",UPPER(J74))),I74/Przelicznik_GJ_tona,AE74*Przelicznik_MP_tona)))</f>
        <v/>
      </c>
      <c r="AG74" s="20">
        <f>AF74*Przelicznik_GJ_tona</f>
        <v/>
      </c>
      <c r="AH74" s="20">
        <f>IF(UPPER(AD74)="SKORYGOWANY",0,IF(OR(UPPER(E74)="TRANSPORT",UPPER(E74)="MM"),0,IF(UPPER(G74)&lt;&gt;"TAK",0,IF(OR(UPPER(E74)="ZAKUP",UPPER(E74)="PRODUKCJA"),AE74,IF(OR(UPPER(E74)="SPRZEDAŻ",UPPER(E74)="ZUŻYCIE"),-AE74,0)))))</f>
        <v/>
      </c>
      <c r="AI74" s="20">
        <f>IF(UPPER(AD74)="SKORYGOWANY",0,IF(OR(UPPER(E74)="TRANSPORT",UPPER(E74)="MM"),0,IF(UPPER(G74)&lt;&gt;"TAK",0,IF(OR(UPPER(E74)="ZAKUP",UPPER(E74)="PRODUKCJA"),AF74,IF(OR(UPPER(E74)="SPRZEDAŻ",UPPER(E74)="ZUŻYCIE"),-AF74,0)))))</f>
        <v/>
      </c>
      <c r="AJ74" s="21">
        <f>IF(UPPER(AD74)="SKORYGOWANY",0,IF(UPPER(E74)="ZAKUP",IF(L74&lt;&gt;"",L74,I74*K74),0))</f>
        <v/>
      </c>
      <c r="AK74" s="21">
        <f>IF(UPPER(AD74)="SKORYGOWANY",0,IF(UPPER(E74)="SPRZEDAŻ",IF(L74&lt;&gt;"",L74,I74*M74),0))</f>
        <v/>
      </c>
      <c r="AL74" s="21">
        <f>AE74*Q74</f>
        <v/>
      </c>
      <c r="AM74">
        <f>IF(R74="","",IF(LOWER(R74)="brak","Brak",IF(OR(ISNUMBER(SEARCH("własn",LOWER(R74))),ISNUMBER(SEARCH("wlasn",LOWER(R74))),ISNUMBER(SEARCH("wojciechowski",LOWER(R74)))),"Własny","Zewnętrzny")))</f>
        <v/>
      </c>
      <c r="AN74" s="24">
        <f>IF(C74="","",YEAR(C74))</f>
        <v/>
      </c>
      <c r="AO74" s="24">
        <f>IF(C74="","",MONTH(C74))</f>
        <v/>
      </c>
      <c r="AP74">
        <f>IF(C74="","",UPPER(TEXT(C74,"mmmm")))</f>
        <v/>
      </c>
      <c r="AQ74">
        <f>IF(C74="","","Q"&amp;ROUNDUP(MONTH(C74)/3,0))</f>
        <v/>
      </c>
    </row>
    <row r="75">
      <c r="A75" s="19" t="n">
        <v>46219</v>
      </c>
      <c r="B75" t="inlineStr">
        <is>
          <t>Magazyn Pyskowice</t>
        </is>
      </c>
      <c r="C75" s="19" t="n">
        <v>46219</v>
      </c>
      <c r="D75" t="inlineStr">
        <is>
          <t>Magazyn Pyskowice</t>
        </is>
      </c>
      <c r="E75" t="inlineStr">
        <is>
          <t>MM</t>
        </is>
      </c>
      <c r="F75" t="inlineStr">
        <is>
          <t>MM-32</t>
        </is>
      </c>
      <c r="G75" t="inlineStr">
        <is>
          <t>TAK</t>
        </is>
      </c>
      <c r="I75" s="20" t="n">
        <v>87</v>
      </c>
      <c r="J75" t="inlineStr">
        <is>
          <t>MP</t>
        </is>
      </c>
      <c r="K75" s="21" t="n">
        <v>0</v>
      </c>
      <c r="L75" s="21" t="n">
        <v>0</v>
      </c>
      <c r="M75" s="21" t="n">
        <v>0</v>
      </c>
      <c r="N75" t="inlineStr">
        <is>
          <t>Zrębka Produkcyjna Leśna</t>
        </is>
      </c>
      <c r="O75" t="inlineStr">
        <is>
          <t>B</t>
        </is>
      </c>
      <c r="Q75" s="21" t="n">
        <v>0</v>
      </c>
      <c r="R75" t="inlineStr">
        <is>
          <t>Nowatrans</t>
        </is>
      </c>
      <c r="S75" t="inlineStr">
        <is>
          <t>ST 9995P</t>
        </is>
      </c>
      <c r="T75" s="22" t="n">
        <v>40</v>
      </c>
      <c r="U75" s="21" t="n">
        <v>15</v>
      </c>
      <c r="V75" s="21" t="n">
        <v>600</v>
      </c>
      <c r="W75" t="inlineStr">
        <is>
          <t>Magazyn Zabrze</t>
        </is>
      </c>
      <c r="X75" t="inlineStr">
        <is>
          <t>Magazyn Pyskowice</t>
        </is>
      </c>
      <c r="Z75" t="inlineStr">
        <is>
          <t>Roesner Mateusz</t>
        </is>
      </c>
      <c r="AA75" s="23" t="n">
        <v>46219.45149305555</v>
      </c>
      <c r="AB75" t="inlineStr">
        <is>
          <t>OP-MIGR-00074</t>
        </is>
      </c>
      <c r="AD75" t="inlineStr">
        <is>
          <t>AKTYWNY</t>
        </is>
      </c>
      <c r="AE75" s="20">
        <f>IF(I75="",0,IF(ISNUMBER(SEARCH("MP",UPPER(J75))),I75,IF(ISNUMBER(SEARCH("TON",UPPER(J75))),I75/Przelicznik_MP_tona,IF(ISNUMBER(SEARCH("M3",UPPER(J75))),I75*Przelicznik_M3_MP,IF(ISNUMBER(SEARCH("GJ",UPPER(J75))),I75/Przelicznik_GJ_tona/Przelicznik_MP_tona,I75)))))</f>
        <v/>
      </c>
      <c r="AF75" s="20">
        <f>IF(I75="",0,IF(ISNUMBER(SEARCH("TON",UPPER(J75))),I75,IF(ISNUMBER(SEARCH("GJ",UPPER(J75))),I75/Przelicznik_GJ_tona,AE75*Przelicznik_MP_tona)))</f>
        <v/>
      </c>
      <c r="AG75" s="20">
        <f>AF75*Przelicznik_GJ_tona</f>
        <v/>
      </c>
      <c r="AH75" s="20">
        <f>IF(UPPER(AD75)="SKORYGOWANY",0,IF(OR(UPPER(E75)="TRANSPORT",UPPER(E75)="MM"),0,IF(UPPER(G75)&lt;&gt;"TAK",0,IF(OR(UPPER(E75)="ZAKUP",UPPER(E75)="PRODUKCJA"),AE75,IF(OR(UPPER(E75)="SPRZEDAŻ",UPPER(E75)="ZUŻYCIE"),-AE75,0)))))</f>
        <v/>
      </c>
      <c r="AI75" s="20">
        <f>IF(UPPER(AD75)="SKORYGOWANY",0,IF(OR(UPPER(E75)="TRANSPORT",UPPER(E75)="MM"),0,IF(UPPER(G75)&lt;&gt;"TAK",0,IF(OR(UPPER(E75)="ZAKUP",UPPER(E75)="PRODUKCJA"),AF75,IF(OR(UPPER(E75)="SPRZEDAŻ",UPPER(E75)="ZUŻYCIE"),-AF75,0)))))</f>
        <v/>
      </c>
      <c r="AJ75" s="21">
        <f>IF(UPPER(AD75)="SKORYGOWANY",0,IF(UPPER(E75)="ZAKUP",IF(L75&lt;&gt;"",L75,I75*K75),0))</f>
        <v/>
      </c>
      <c r="AK75" s="21">
        <f>IF(UPPER(AD75)="SKORYGOWANY",0,IF(UPPER(E75)="SPRZEDAŻ",IF(L75&lt;&gt;"",L75,I75*M75),0))</f>
        <v/>
      </c>
      <c r="AL75" s="21">
        <f>AE75*Q75</f>
        <v/>
      </c>
      <c r="AM75">
        <f>IF(R75="","",IF(LOWER(R75)="brak","Brak",IF(OR(ISNUMBER(SEARCH("własn",LOWER(R75))),ISNUMBER(SEARCH("wlasn",LOWER(R75))),ISNUMBER(SEARCH("wojciechowski",LOWER(R75)))),"Własny","Zewnętrzny")))</f>
        <v/>
      </c>
      <c r="AN75" s="24">
        <f>IF(C75="","",YEAR(C75))</f>
        <v/>
      </c>
      <c r="AO75" s="24">
        <f>IF(C75="","",MONTH(C75))</f>
        <v/>
      </c>
      <c r="AP75">
        <f>IF(C75="","",UPPER(TEXT(C75,"mmmm")))</f>
        <v/>
      </c>
      <c r="AQ75">
        <f>IF(C75="","","Q"&amp;ROUNDUP(MONTH(C75)/3,0))</f>
        <v/>
      </c>
    </row>
    <row r="76">
      <c r="A76" s="19" t="n">
        <v>46219</v>
      </c>
      <c r="B76" t="inlineStr">
        <is>
          <t>Magazyn Pyskowice</t>
        </is>
      </c>
      <c r="C76" s="19" t="n">
        <v>46219</v>
      </c>
      <c r="D76" t="inlineStr">
        <is>
          <t>Magazyn Pyskowice</t>
        </is>
      </c>
      <c r="E76" t="inlineStr">
        <is>
          <t>MM</t>
        </is>
      </c>
      <c r="F76" t="inlineStr">
        <is>
          <t>MM-33</t>
        </is>
      </c>
      <c r="G76" t="inlineStr">
        <is>
          <t>TAK</t>
        </is>
      </c>
      <c r="I76" s="20" t="n">
        <v>76</v>
      </c>
      <c r="J76" t="inlineStr">
        <is>
          <t>MP</t>
        </is>
      </c>
      <c r="K76" s="21" t="n">
        <v>0</v>
      </c>
      <c r="L76" s="21" t="n">
        <v>0</v>
      </c>
      <c r="M76" s="21" t="n">
        <v>0</v>
      </c>
      <c r="N76" t="inlineStr">
        <is>
          <t>Zrębka Produkcyjna Leśna</t>
        </is>
      </c>
      <c r="O76" t="inlineStr">
        <is>
          <t>B</t>
        </is>
      </c>
      <c r="Q76" s="21" t="n">
        <v>0</v>
      </c>
      <c r="R76" t="inlineStr">
        <is>
          <t>własny (Wiór)</t>
        </is>
      </c>
      <c r="S76" t="inlineStr">
        <is>
          <t>SK 7H433</t>
        </is>
      </c>
      <c r="T76" s="22" t="n">
        <v>40</v>
      </c>
      <c r="U76" s="21" t="n">
        <v>6</v>
      </c>
      <c r="V76" s="21" t="n">
        <v>240</v>
      </c>
      <c r="W76" t="inlineStr">
        <is>
          <t>Magazyn Zabrze</t>
        </is>
      </c>
      <c r="X76" t="inlineStr">
        <is>
          <t>Magazyn Pyskowice</t>
        </is>
      </c>
      <c r="Z76" t="inlineStr">
        <is>
          <t>Roesner Mateusz</t>
        </is>
      </c>
      <c r="AA76" s="23" t="n">
        <v>46219.45221064815</v>
      </c>
      <c r="AB76" t="inlineStr">
        <is>
          <t>OP-MIGR-00075</t>
        </is>
      </c>
      <c r="AD76" t="inlineStr">
        <is>
          <t>AKTYWNY</t>
        </is>
      </c>
      <c r="AE76" s="20">
        <f>IF(I76="",0,IF(ISNUMBER(SEARCH("MP",UPPER(J76))),I76,IF(ISNUMBER(SEARCH("TON",UPPER(J76))),I76/Przelicznik_MP_tona,IF(ISNUMBER(SEARCH("M3",UPPER(J76))),I76*Przelicznik_M3_MP,IF(ISNUMBER(SEARCH("GJ",UPPER(J76))),I76/Przelicznik_GJ_tona/Przelicznik_MP_tona,I76)))))</f>
        <v/>
      </c>
      <c r="AF76" s="20">
        <f>IF(I76="",0,IF(ISNUMBER(SEARCH("TON",UPPER(J76))),I76,IF(ISNUMBER(SEARCH("GJ",UPPER(J76))),I76/Przelicznik_GJ_tona,AE76*Przelicznik_MP_tona)))</f>
        <v/>
      </c>
      <c r="AG76" s="20">
        <f>AF76*Przelicznik_GJ_tona</f>
        <v/>
      </c>
      <c r="AH76" s="20">
        <f>IF(UPPER(AD76)="SKORYGOWANY",0,IF(OR(UPPER(E76)="TRANSPORT",UPPER(E76)="MM"),0,IF(UPPER(G76)&lt;&gt;"TAK",0,IF(OR(UPPER(E76)="ZAKUP",UPPER(E76)="PRODUKCJA"),AE76,IF(OR(UPPER(E76)="SPRZEDAŻ",UPPER(E76)="ZUŻYCIE"),-AE76,0)))))</f>
        <v/>
      </c>
      <c r="AI76" s="20">
        <f>IF(UPPER(AD76)="SKORYGOWANY",0,IF(OR(UPPER(E76)="TRANSPORT",UPPER(E76)="MM"),0,IF(UPPER(G76)&lt;&gt;"TAK",0,IF(OR(UPPER(E76)="ZAKUP",UPPER(E76)="PRODUKCJA"),AF76,IF(OR(UPPER(E76)="SPRZEDAŻ",UPPER(E76)="ZUŻYCIE"),-AF76,0)))))</f>
        <v/>
      </c>
      <c r="AJ76" s="21">
        <f>IF(UPPER(AD76)="SKORYGOWANY",0,IF(UPPER(E76)="ZAKUP",IF(L76&lt;&gt;"",L76,I76*K76),0))</f>
        <v/>
      </c>
      <c r="AK76" s="21">
        <f>IF(UPPER(AD76)="SKORYGOWANY",0,IF(UPPER(E76)="SPRZEDAŻ",IF(L76&lt;&gt;"",L76,I76*M76),0))</f>
        <v/>
      </c>
      <c r="AL76" s="21">
        <f>AE76*Q76</f>
        <v/>
      </c>
      <c r="AM76">
        <f>IF(R76="","",IF(LOWER(R76)="brak","Brak",IF(OR(ISNUMBER(SEARCH("własn",LOWER(R76))),ISNUMBER(SEARCH("wlasn",LOWER(R76))),ISNUMBER(SEARCH("wojciechowski",LOWER(R76)))),"Własny","Zewnętrzny")))</f>
        <v/>
      </c>
      <c r="AN76" s="24">
        <f>IF(C76="","",YEAR(C76))</f>
        <v/>
      </c>
      <c r="AO76" s="24">
        <f>IF(C76="","",MONTH(C76))</f>
        <v/>
      </c>
      <c r="AP76">
        <f>IF(C76="","",UPPER(TEXT(C76,"mmmm")))</f>
        <v/>
      </c>
      <c r="AQ76">
        <f>IF(C76="","","Q"&amp;ROUNDUP(MONTH(C76)/3,0))</f>
        <v/>
      </c>
    </row>
    <row r="77">
      <c r="A77" s="19" t="n">
        <v>46219</v>
      </c>
      <c r="C77" s="19" t="n">
        <v>46219</v>
      </c>
      <c r="D77" t="inlineStr">
        <is>
          <t>Lander Agro</t>
        </is>
      </c>
      <c r="E77" t="inlineStr">
        <is>
          <t>ZAKUP</t>
        </is>
      </c>
      <c r="F77" t="inlineStr">
        <is>
          <t>PZ/6/D</t>
        </is>
      </c>
      <c r="G77" t="inlineStr">
        <is>
          <t>TAK</t>
        </is>
      </c>
      <c r="H77" t="inlineStr">
        <is>
          <t>KZR</t>
        </is>
      </c>
      <c r="I77" s="20" t="n">
        <v>28.98</v>
      </c>
      <c r="J77" t="inlineStr">
        <is>
          <t>M3</t>
        </is>
      </c>
      <c r="K77" s="21" t="n">
        <v>230</v>
      </c>
      <c r="L77" s="21" t="n">
        <v>6665.4</v>
      </c>
      <c r="M77" s="21" t="n">
        <v>0</v>
      </c>
      <c r="N77" t="inlineStr">
        <is>
          <t>Drewno opałowe z lasu</t>
        </is>
      </c>
      <c r="Q77" s="21" t="n">
        <v>0</v>
      </c>
      <c r="T77" s="22" t="n">
        <v>0</v>
      </c>
      <c r="U77" s="21" t="n">
        <v>0</v>
      </c>
      <c r="V77" s="21" t="n">
        <v>0</v>
      </c>
      <c r="W77" t="inlineStr">
        <is>
          <t>Magazyn Zabrze</t>
        </is>
      </c>
      <c r="Z77" t="inlineStr">
        <is>
          <t>Roesner Mateusz</t>
        </is>
      </c>
      <c r="AA77" s="23" t="n">
        <v>46219.46831018518</v>
      </c>
      <c r="AB77" t="inlineStr">
        <is>
          <t>OP-MIGR-00078</t>
        </is>
      </c>
      <c r="AD77" t="inlineStr">
        <is>
          <t>AKTYWNY</t>
        </is>
      </c>
      <c r="AE77" s="20">
        <f>IF(I77="",0,IF(ISNUMBER(SEARCH("MP",UPPER(J77))),I77,IF(ISNUMBER(SEARCH("TON",UPPER(J77))),I77/Przelicznik_MP_tona,IF(ISNUMBER(SEARCH("M3",UPPER(J77))),I77*Przelicznik_M3_MP,IF(ISNUMBER(SEARCH("GJ",UPPER(J77))),I77/Przelicznik_GJ_tona/Przelicznik_MP_tona,I77)))))</f>
        <v/>
      </c>
      <c r="AF77" s="20">
        <f>IF(I77="",0,IF(ISNUMBER(SEARCH("TON",UPPER(J77))),I77,IF(ISNUMBER(SEARCH("GJ",UPPER(J77))),I77/Przelicznik_GJ_tona,AE77*Przelicznik_MP_tona)))</f>
        <v/>
      </c>
      <c r="AG77" s="20">
        <f>AF77*Przelicznik_GJ_tona</f>
        <v/>
      </c>
      <c r="AH77" s="20">
        <f>IF(UPPER(AD77)="SKORYGOWANY",0,IF(OR(UPPER(E77)="TRANSPORT",UPPER(E77)="MM"),0,IF(UPPER(G77)&lt;&gt;"TAK",0,IF(OR(UPPER(E77)="ZAKUP",UPPER(E77)="PRODUKCJA"),AE77,IF(OR(UPPER(E77)="SPRZEDAŻ",UPPER(E77)="ZUŻYCIE"),-AE77,0)))))</f>
        <v/>
      </c>
      <c r="AI77" s="20">
        <f>IF(UPPER(AD77)="SKORYGOWANY",0,IF(OR(UPPER(E77)="TRANSPORT",UPPER(E77)="MM"),0,IF(UPPER(G77)&lt;&gt;"TAK",0,IF(OR(UPPER(E77)="ZAKUP",UPPER(E77)="PRODUKCJA"),AF77,IF(OR(UPPER(E77)="SPRZEDAŻ",UPPER(E77)="ZUŻYCIE"),-AF77,0)))))</f>
        <v/>
      </c>
      <c r="AJ77" s="21">
        <f>IF(UPPER(AD77)="SKORYGOWANY",0,IF(UPPER(E77)="ZAKUP",IF(L77&lt;&gt;"",L77,I77*K77),0))</f>
        <v/>
      </c>
      <c r="AK77" s="21">
        <f>IF(UPPER(AD77)="SKORYGOWANY",0,IF(UPPER(E77)="SPRZEDAŻ",IF(L77&lt;&gt;"",L77,I77*M77),0))</f>
        <v/>
      </c>
      <c r="AL77" s="21">
        <f>AE77*Q77</f>
        <v/>
      </c>
      <c r="AM77">
        <f>IF(R77="","",IF(LOWER(R77)="brak","Brak",IF(OR(ISNUMBER(SEARCH("własn",LOWER(R77))),ISNUMBER(SEARCH("wlasn",LOWER(R77))),ISNUMBER(SEARCH("wojciechowski",LOWER(R77)))),"Własny","Zewnętrzny")))</f>
        <v/>
      </c>
      <c r="AN77" s="24">
        <f>IF(C77="","",YEAR(C77))</f>
        <v/>
      </c>
      <c r="AO77" s="24">
        <f>IF(C77="","",MONTH(C77))</f>
        <v/>
      </c>
      <c r="AP77">
        <f>IF(C77="","",UPPER(TEXT(C77,"mmmm")))</f>
        <v/>
      </c>
      <c r="AQ77">
        <f>IF(C77="","","Q"&amp;ROUNDUP(MONTH(C77)/3,0))</f>
        <v/>
      </c>
    </row>
    <row r="78">
      <c r="A78" s="19" t="n">
        <v>46219</v>
      </c>
      <c r="C78" s="19" t="n">
        <v>46219</v>
      </c>
      <c r="D78" t="inlineStr">
        <is>
          <t>Lander Agro</t>
        </is>
      </c>
      <c r="E78" t="inlineStr">
        <is>
          <t>ZAKUP</t>
        </is>
      </c>
      <c r="F78" t="inlineStr">
        <is>
          <t>PZ/7/D</t>
        </is>
      </c>
      <c r="G78" t="inlineStr">
        <is>
          <t>TAK</t>
        </is>
      </c>
      <c r="H78" t="inlineStr">
        <is>
          <t>KZR</t>
        </is>
      </c>
      <c r="I78" s="20" t="n">
        <v>28.49</v>
      </c>
      <c r="J78" t="inlineStr">
        <is>
          <t>M3</t>
        </is>
      </c>
      <c r="K78" s="21" t="n">
        <v>230</v>
      </c>
      <c r="L78" s="21" t="n">
        <v>6552.7</v>
      </c>
      <c r="M78" s="21" t="n">
        <v>0</v>
      </c>
      <c r="N78" t="inlineStr">
        <is>
          <t>Drewno opałowe z lasu</t>
        </is>
      </c>
      <c r="Q78" s="21" t="n">
        <v>0</v>
      </c>
      <c r="T78" s="22" t="n">
        <v>0</v>
      </c>
      <c r="U78" s="21" t="n">
        <v>0</v>
      </c>
      <c r="V78" s="21" t="n">
        <v>0</v>
      </c>
      <c r="W78" t="inlineStr">
        <is>
          <t>Magazyn Zabrze</t>
        </is>
      </c>
      <c r="Y78" t="inlineStr">
        <is>
          <t>Waga: 22,880t</t>
        </is>
      </c>
      <c r="Z78" t="inlineStr">
        <is>
          <t>Roesner Mateusz</t>
        </is>
      </c>
      <c r="AA78" s="23" t="n">
        <v>46219.4690625</v>
      </c>
      <c r="AB78" t="inlineStr">
        <is>
          <t>OP-MIGR-00079</t>
        </is>
      </c>
      <c r="AD78" t="inlineStr">
        <is>
          <t>AKTYWNY</t>
        </is>
      </c>
      <c r="AE78" s="20">
        <f>IF(I78="",0,IF(ISNUMBER(SEARCH("MP",UPPER(J78))),I78,IF(ISNUMBER(SEARCH("TON",UPPER(J78))),I78/Przelicznik_MP_tona,IF(ISNUMBER(SEARCH("M3",UPPER(J78))),I78*Przelicznik_M3_MP,IF(ISNUMBER(SEARCH("GJ",UPPER(J78))),I78/Przelicznik_GJ_tona/Przelicznik_MP_tona,I78)))))</f>
        <v/>
      </c>
      <c r="AF78" s="20">
        <f>IF(I78="",0,IF(ISNUMBER(SEARCH("TON",UPPER(J78))),I78,IF(ISNUMBER(SEARCH("GJ",UPPER(J78))),I78/Przelicznik_GJ_tona,AE78*Przelicznik_MP_tona)))</f>
        <v/>
      </c>
      <c r="AG78" s="20">
        <f>AF78*Przelicznik_GJ_tona</f>
        <v/>
      </c>
      <c r="AH78" s="20">
        <f>IF(UPPER(AD78)="SKORYGOWANY",0,IF(OR(UPPER(E78)="TRANSPORT",UPPER(E78)="MM"),0,IF(UPPER(G78)&lt;&gt;"TAK",0,IF(OR(UPPER(E78)="ZAKUP",UPPER(E78)="PRODUKCJA"),AE78,IF(OR(UPPER(E78)="SPRZEDAŻ",UPPER(E78)="ZUŻYCIE"),-AE78,0)))))</f>
        <v/>
      </c>
      <c r="AI78" s="20">
        <f>IF(UPPER(AD78)="SKORYGOWANY",0,IF(OR(UPPER(E78)="TRANSPORT",UPPER(E78)="MM"),0,IF(UPPER(G78)&lt;&gt;"TAK",0,IF(OR(UPPER(E78)="ZAKUP",UPPER(E78)="PRODUKCJA"),AF78,IF(OR(UPPER(E78)="SPRZEDAŻ",UPPER(E78)="ZUŻYCIE"),-AF78,0)))))</f>
        <v/>
      </c>
      <c r="AJ78" s="21">
        <f>IF(UPPER(AD78)="SKORYGOWANY",0,IF(UPPER(E78)="ZAKUP",IF(L78&lt;&gt;"",L78,I78*K78),0))</f>
        <v/>
      </c>
      <c r="AK78" s="21">
        <f>IF(UPPER(AD78)="SKORYGOWANY",0,IF(UPPER(E78)="SPRZEDAŻ",IF(L78&lt;&gt;"",L78,I78*M78),0))</f>
        <v/>
      </c>
      <c r="AL78" s="21">
        <f>AE78*Q78</f>
        <v/>
      </c>
      <c r="AM78">
        <f>IF(R78="","",IF(LOWER(R78)="brak","Brak",IF(OR(ISNUMBER(SEARCH("własn",LOWER(R78))),ISNUMBER(SEARCH("wlasn",LOWER(R78))),ISNUMBER(SEARCH("wojciechowski",LOWER(R78)))),"Własny","Zewnętrzny")))</f>
        <v/>
      </c>
      <c r="AN78" s="24">
        <f>IF(C78="","",YEAR(C78))</f>
        <v/>
      </c>
      <c r="AO78" s="24">
        <f>IF(C78="","",MONTH(C78))</f>
        <v/>
      </c>
      <c r="AP78">
        <f>IF(C78="","",UPPER(TEXT(C78,"mmmm")))</f>
        <v/>
      </c>
      <c r="AQ78">
        <f>IF(C78="","","Q"&amp;ROUNDUP(MONTH(C78)/3,0))</f>
        <v/>
      </c>
    </row>
    <row r="79">
      <c r="A79" s="19" t="n">
        <v>46219</v>
      </c>
      <c r="C79" s="19" t="n">
        <v>46219</v>
      </c>
      <c r="D79" t="inlineStr">
        <is>
          <t>Lander Agro</t>
        </is>
      </c>
      <c r="E79" t="inlineStr">
        <is>
          <t>ZAKUP</t>
        </is>
      </c>
      <c r="F79" t="inlineStr">
        <is>
          <t>PZ/8/D</t>
        </is>
      </c>
      <c r="G79" t="inlineStr">
        <is>
          <t>TAK</t>
        </is>
      </c>
      <c r="H79" t="inlineStr">
        <is>
          <t>KZR</t>
        </is>
      </c>
      <c r="I79" s="20" t="n">
        <v>32.06</v>
      </c>
      <c r="J79" t="inlineStr">
        <is>
          <t>M3</t>
        </is>
      </c>
      <c r="K79" s="21" t="n">
        <v>230</v>
      </c>
      <c r="L79" s="21" t="n">
        <v>7373.8</v>
      </c>
      <c r="M79" s="21" t="n">
        <v>0</v>
      </c>
      <c r="N79" t="inlineStr">
        <is>
          <t>Drewno opałowe z lasu</t>
        </is>
      </c>
      <c r="Q79" s="21" t="n">
        <v>0</v>
      </c>
      <c r="T79" s="22" t="n">
        <v>0</v>
      </c>
      <c r="U79" s="21" t="n">
        <v>0</v>
      </c>
      <c r="V79" s="21" t="n">
        <v>0</v>
      </c>
      <c r="W79" t="inlineStr">
        <is>
          <t>Magazyn Zabrze</t>
        </is>
      </c>
      <c r="Y79" t="inlineStr">
        <is>
          <t>Waga: 23,300t</t>
        </is>
      </c>
      <c r="Z79" t="inlineStr">
        <is>
          <t>Roesner Mateusz</t>
        </is>
      </c>
      <c r="AA79" s="23" t="n">
        <v>46219.55172453704</v>
      </c>
      <c r="AB79" t="inlineStr">
        <is>
          <t>OP-MIGR-00080</t>
        </is>
      </c>
      <c r="AD79" t="inlineStr">
        <is>
          <t>AKTYWNY</t>
        </is>
      </c>
      <c r="AE79" s="20">
        <f>IF(I79="",0,IF(ISNUMBER(SEARCH("MP",UPPER(J79))),I79,IF(ISNUMBER(SEARCH("TON",UPPER(J79))),I79/Przelicznik_MP_tona,IF(ISNUMBER(SEARCH("M3",UPPER(J79))),I79*Przelicznik_M3_MP,IF(ISNUMBER(SEARCH("GJ",UPPER(J79))),I79/Przelicznik_GJ_tona/Przelicznik_MP_tona,I79)))))</f>
        <v/>
      </c>
      <c r="AF79" s="20">
        <f>IF(I79="",0,IF(ISNUMBER(SEARCH("TON",UPPER(J79))),I79,IF(ISNUMBER(SEARCH("GJ",UPPER(J79))),I79/Przelicznik_GJ_tona,AE79*Przelicznik_MP_tona)))</f>
        <v/>
      </c>
      <c r="AG79" s="20">
        <f>AF79*Przelicznik_GJ_tona</f>
        <v/>
      </c>
      <c r="AH79" s="20">
        <f>IF(UPPER(AD79)="SKORYGOWANY",0,IF(OR(UPPER(E79)="TRANSPORT",UPPER(E79)="MM"),0,IF(UPPER(G79)&lt;&gt;"TAK",0,IF(OR(UPPER(E79)="ZAKUP",UPPER(E79)="PRODUKCJA"),AE79,IF(OR(UPPER(E79)="SPRZEDAŻ",UPPER(E79)="ZUŻYCIE"),-AE79,0)))))</f>
        <v/>
      </c>
      <c r="AI79" s="20">
        <f>IF(UPPER(AD79)="SKORYGOWANY",0,IF(OR(UPPER(E79)="TRANSPORT",UPPER(E79)="MM"),0,IF(UPPER(G79)&lt;&gt;"TAK",0,IF(OR(UPPER(E79)="ZAKUP",UPPER(E79)="PRODUKCJA"),AF79,IF(OR(UPPER(E79)="SPRZEDAŻ",UPPER(E79)="ZUŻYCIE"),-AF79,0)))))</f>
        <v/>
      </c>
      <c r="AJ79" s="21">
        <f>IF(UPPER(AD79)="SKORYGOWANY",0,IF(UPPER(E79)="ZAKUP",IF(L79&lt;&gt;"",L79,I79*K79),0))</f>
        <v/>
      </c>
      <c r="AK79" s="21">
        <f>IF(UPPER(AD79)="SKORYGOWANY",0,IF(UPPER(E79)="SPRZEDAŻ",IF(L79&lt;&gt;"",L79,I79*M79),0))</f>
        <v/>
      </c>
      <c r="AL79" s="21">
        <f>AE79*Q79</f>
        <v/>
      </c>
      <c r="AM79">
        <f>IF(R79="","",IF(LOWER(R79)="brak","Brak",IF(OR(ISNUMBER(SEARCH("własn",LOWER(R79))),ISNUMBER(SEARCH("wlasn",LOWER(R79))),ISNUMBER(SEARCH("wojciechowski",LOWER(R79)))),"Własny","Zewnętrzny")))</f>
        <v/>
      </c>
      <c r="AN79" s="24">
        <f>IF(C79="","",YEAR(C79))</f>
        <v/>
      </c>
      <c r="AO79" s="24">
        <f>IF(C79="","",MONTH(C79))</f>
        <v/>
      </c>
      <c r="AP79">
        <f>IF(C79="","",UPPER(TEXT(C79,"mmmm")))</f>
        <v/>
      </c>
      <c r="AQ79">
        <f>IF(C79="","","Q"&amp;ROUNDUP(MONTH(C79)/3,0))</f>
        <v/>
      </c>
    </row>
    <row r="80">
      <c r="A80" s="19" t="n">
        <v>46219</v>
      </c>
      <c r="B80" t="inlineStr">
        <is>
          <t>Magazyn Pyskowice</t>
        </is>
      </c>
      <c r="C80" s="19" t="n">
        <v>46219</v>
      </c>
      <c r="D80" t="inlineStr">
        <is>
          <t>Magazyn Pyskowice</t>
        </is>
      </c>
      <c r="E80" t="inlineStr">
        <is>
          <t>MM</t>
        </is>
      </c>
      <c r="F80" t="inlineStr">
        <is>
          <t>MM-34</t>
        </is>
      </c>
      <c r="G80" t="inlineStr">
        <is>
          <t>TAK</t>
        </is>
      </c>
      <c r="I80" s="20" t="n">
        <v>71</v>
      </c>
      <c r="J80" t="inlineStr">
        <is>
          <t>MP</t>
        </is>
      </c>
      <c r="K80" s="21" t="n">
        <v>0</v>
      </c>
      <c r="L80" s="21" t="n">
        <v>0</v>
      </c>
      <c r="M80" s="21" t="n">
        <v>0</v>
      </c>
      <c r="N80" t="inlineStr">
        <is>
          <t>Zrębka Produkcyjna Leśna</t>
        </is>
      </c>
      <c r="O80" t="inlineStr">
        <is>
          <t>B</t>
        </is>
      </c>
      <c r="Q80" s="21" t="n">
        <v>0</v>
      </c>
      <c r="R80" t="inlineStr">
        <is>
          <t>własny (Wiór)</t>
        </is>
      </c>
      <c r="S80" t="inlineStr">
        <is>
          <t>SK 7H433</t>
        </is>
      </c>
      <c r="T80" s="22" t="n">
        <v>40</v>
      </c>
      <c r="U80" s="21" t="n">
        <v>6</v>
      </c>
      <c r="V80" s="21" t="n">
        <v>240</v>
      </c>
      <c r="W80" t="inlineStr">
        <is>
          <t>Magazyn Zabrze</t>
        </is>
      </c>
      <c r="X80" t="inlineStr">
        <is>
          <t>Magazyn Pyskowice</t>
        </is>
      </c>
      <c r="Z80" t="inlineStr">
        <is>
          <t>Roesner Mateusz</t>
        </is>
      </c>
      <c r="AA80" s="23" t="n">
        <v>46220.37108796297</v>
      </c>
      <c r="AB80" t="inlineStr">
        <is>
          <t>OP-MIGR-00076</t>
        </is>
      </c>
      <c r="AD80" t="inlineStr">
        <is>
          <t>AKTYWNY</t>
        </is>
      </c>
      <c r="AE80" s="20">
        <f>IF(I80="",0,IF(ISNUMBER(SEARCH("MP",UPPER(J80))),I80,IF(ISNUMBER(SEARCH("TON",UPPER(J80))),I80/Przelicznik_MP_tona,IF(ISNUMBER(SEARCH("M3",UPPER(J80))),I80*Przelicznik_M3_MP,IF(ISNUMBER(SEARCH("GJ",UPPER(J80))),I80/Przelicznik_GJ_tona/Przelicznik_MP_tona,I80)))))</f>
        <v/>
      </c>
      <c r="AF80" s="20">
        <f>IF(I80="",0,IF(ISNUMBER(SEARCH("TON",UPPER(J80))),I80,IF(ISNUMBER(SEARCH("GJ",UPPER(J80))),I80/Przelicznik_GJ_tona,AE80*Przelicznik_MP_tona)))</f>
        <v/>
      </c>
      <c r="AG80" s="20">
        <f>AF80*Przelicznik_GJ_tona</f>
        <v/>
      </c>
      <c r="AH80" s="20">
        <f>IF(UPPER(AD80)="SKORYGOWANY",0,IF(OR(UPPER(E80)="TRANSPORT",UPPER(E80)="MM"),0,IF(UPPER(G80)&lt;&gt;"TAK",0,IF(OR(UPPER(E80)="ZAKUP",UPPER(E80)="PRODUKCJA"),AE80,IF(OR(UPPER(E80)="SPRZEDAŻ",UPPER(E80)="ZUŻYCIE"),-AE80,0)))))</f>
        <v/>
      </c>
      <c r="AI80" s="20">
        <f>IF(UPPER(AD80)="SKORYGOWANY",0,IF(OR(UPPER(E80)="TRANSPORT",UPPER(E80)="MM"),0,IF(UPPER(G80)&lt;&gt;"TAK",0,IF(OR(UPPER(E80)="ZAKUP",UPPER(E80)="PRODUKCJA"),AF80,IF(OR(UPPER(E80)="SPRZEDAŻ",UPPER(E80)="ZUŻYCIE"),-AF80,0)))))</f>
        <v/>
      </c>
      <c r="AJ80" s="21">
        <f>IF(UPPER(AD80)="SKORYGOWANY",0,IF(UPPER(E80)="ZAKUP",IF(L80&lt;&gt;"",L80,I80*K80),0))</f>
        <v/>
      </c>
      <c r="AK80" s="21">
        <f>IF(UPPER(AD80)="SKORYGOWANY",0,IF(UPPER(E80)="SPRZEDAŻ",IF(L80&lt;&gt;"",L80,I80*M80),0))</f>
        <v/>
      </c>
      <c r="AL80" s="21">
        <f>AE80*Q80</f>
        <v/>
      </c>
      <c r="AM80">
        <f>IF(R80="","",IF(LOWER(R80)="brak","Brak",IF(OR(ISNUMBER(SEARCH("własn",LOWER(R80))),ISNUMBER(SEARCH("wlasn",LOWER(R80))),ISNUMBER(SEARCH("wojciechowski",LOWER(R80)))),"Własny","Zewnętrzny")))</f>
        <v/>
      </c>
      <c r="AN80" s="24">
        <f>IF(C80="","",YEAR(C80))</f>
        <v/>
      </c>
      <c r="AO80" s="24">
        <f>IF(C80="","",MONTH(C80))</f>
        <v/>
      </c>
      <c r="AP80">
        <f>IF(C80="","",UPPER(TEXT(C80,"mmmm")))</f>
        <v/>
      </c>
      <c r="AQ80">
        <f>IF(C80="","","Q"&amp;ROUNDUP(MONTH(C80)/3,0))</f>
        <v/>
      </c>
    </row>
    <row r="81">
      <c r="A81" s="19" t="n">
        <v>46219</v>
      </c>
      <c r="B81" t="inlineStr">
        <is>
          <t>Magazyn Pyskowice</t>
        </is>
      </c>
      <c r="C81" s="19" t="n">
        <v>46219</v>
      </c>
      <c r="D81" t="inlineStr">
        <is>
          <t>Magazyn Pyskowice</t>
        </is>
      </c>
      <c r="E81" t="inlineStr">
        <is>
          <t>MM</t>
        </is>
      </c>
      <c r="F81" t="inlineStr">
        <is>
          <t>MM-35</t>
        </is>
      </c>
      <c r="G81" t="inlineStr">
        <is>
          <t>TAK</t>
        </is>
      </c>
      <c r="I81" s="20" t="n">
        <v>88</v>
      </c>
      <c r="J81" t="inlineStr">
        <is>
          <t>MP</t>
        </is>
      </c>
      <c r="K81" s="21" t="n">
        <v>0</v>
      </c>
      <c r="L81" s="21" t="n">
        <v>0</v>
      </c>
      <c r="M81" s="21" t="n">
        <v>0</v>
      </c>
      <c r="N81" t="inlineStr">
        <is>
          <t>Zrębka Produkcyjna Leśna</t>
        </is>
      </c>
      <c r="O81" t="inlineStr">
        <is>
          <t>B</t>
        </is>
      </c>
      <c r="Q81" s="21" t="n">
        <v>0</v>
      </c>
      <c r="R81" t="inlineStr">
        <is>
          <t>Nowatrans</t>
        </is>
      </c>
      <c r="S81" t="inlineStr">
        <is>
          <t>ST 9995P</t>
        </is>
      </c>
      <c r="T81" s="22" t="n">
        <v>40</v>
      </c>
      <c r="U81" s="21" t="n">
        <v>15</v>
      </c>
      <c r="V81" s="21" t="n">
        <v>600</v>
      </c>
      <c r="W81" t="inlineStr">
        <is>
          <t>Magazyn Zabrze</t>
        </is>
      </c>
      <c r="X81" t="inlineStr">
        <is>
          <t>Magazyn Pyskowice</t>
        </is>
      </c>
      <c r="Z81" t="inlineStr">
        <is>
          <t>Roesner Mateusz</t>
        </is>
      </c>
      <c r="AA81" s="23" t="n">
        <v>46220.37440972222</v>
      </c>
      <c r="AB81" t="inlineStr">
        <is>
          <t>OP-MIGR-00077</t>
        </is>
      </c>
      <c r="AD81" t="inlineStr">
        <is>
          <t>AKTYWNY</t>
        </is>
      </c>
      <c r="AE81" s="20">
        <f>IF(I81="",0,IF(ISNUMBER(SEARCH("MP",UPPER(J81))),I81,IF(ISNUMBER(SEARCH("TON",UPPER(J81))),I81/Przelicznik_MP_tona,IF(ISNUMBER(SEARCH("M3",UPPER(J81))),I81*Przelicznik_M3_MP,IF(ISNUMBER(SEARCH("GJ",UPPER(J81))),I81/Przelicznik_GJ_tona/Przelicznik_MP_tona,I81)))))</f>
        <v/>
      </c>
      <c r="AF81" s="20">
        <f>IF(I81="",0,IF(ISNUMBER(SEARCH("TON",UPPER(J81))),I81,IF(ISNUMBER(SEARCH("GJ",UPPER(J81))),I81/Przelicznik_GJ_tona,AE81*Przelicznik_MP_tona)))</f>
        <v/>
      </c>
      <c r="AG81" s="20">
        <f>AF81*Przelicznik_GJ_tona</f>
        <v/>
      </c>
      <c r="AH81" s="20">
        <f>IF(UPPER(AD81)="SKORYGOWANY",0,IF(OR(UPPER(E81)="TRANSPORT",UPPER(E81)="MM"),0,IF(UPPER(G81)&lt;&gt;"TAK",0,IF(OR(UPPER(E81)="ZAKUP",UPPER(E81)="PRODUKCJA"),AE81,IF(OR(UPPER(E81)="SPRZEDAŻ",UPPER(E81)="ZUŻYCIE"),-AE81,0)))))</f>
        <v/>
      </c>
      <c r="AI81" s="20">
        <f>IF(UPPER(AD81)="SKORYGOWANY",0,IF(OR(UPPER(E81)="TRANSPORT",UPPER(E81)="MM"),0,IF(UPPER(G81)&lt;&gt;"TAK",0,IF(OR(UPPER(E81)="ZAKUP",UPPER(E81)="PRODUKCJA"),AF81,IF(OR(UPPER(E81)="SPRZEDAŻ",UPPER(E81)="ZUŻYCIE"),-AF81,0)))))</f>
        <v/>
      </c>
      <c r="AJ81" s="21">
        <f>IF(UPPER(AD81)="SKORYGOWANY",0,IF(UPPER(E81)="ZAKUP",IF(L81&lt;&gt;"",L81,I81*K81),0))</f>
        <v/>
      </c>
      <c r="AK81" s="21">
        <f>IF(UPPER(AD81)="SKORYGOWANY",0,IF(UPPER(E81)="SPRZEDAŻ",IF(L81&lt;&gt;"",L81,I81*M81),0))</f>
        <v/>
      </c>
      <c r="AL81" s="21">
        <f>AE81*Q81</f>
        <v/>
      </c>
      <c r="AM81">
        <f>IF(R81="","",IF(LOWER(R81)="brak","Brak",IF(OR(ISNUMBER(SEARCH("własn",LOWER(R81))),ISNUMBER(SEARCH("wlasn",LOWER(R81))),ISNUMBER(SEARCH("wojciechowski",LOWER(R81)))),"Własny","Zewnętrzny")))</f>
        <v/>
      </c>
      <c r="AN81" s="24">
        <f>IF(C81="","",YEAR(C81))</f>
        <v/>
      </c>
      <c r="AO81" s="24">
        <f>IF(C81="","",MONTH(C81))</f>
        <v/>
      </c>
      <c r="AP81">
        <f>IF(C81="","",UPPER(TEXT(C81,"mmmm")))</f>
        <v/>
      </c>
      <c r="AQ81">
        <f>IF(C81="","","Q"&amp;ROUNDUP(MONTH(C81)/3,0))</f>
        <v/>
      </c>
    </row>
    <row r="82">
      <c r="A82" s="19" t="n">
        <v>46219</v>
      </c>
      <c r="C82" s="19" t="n">
        <v>46219</v>
      </c>
      <c r="D82" t="inlineStr">
        <is>
          <t>Lander Agro</t>
        </is>
      </c>
      <c r="E82" t="inlineStr">
        <is>
          <t>ZAKUP</t>
        </is>
      </c>
      <c r="F82" t="inlineStr">
        <is>
          <t>PZ/9/D</t>
        </is>
      </c>
      <c r="G82" t="inlineStr">
        <is>
          <t>TAK</t>
        </is>
      </c>
      <c r="H82" t="inlineStr">
        <is>
          <t>KZR</t>
        </is>
      </c>
      <c r="I82" s="20" t="n">
        <v>27.06</v>
      </c>
      <c r="J82" t="inlineStr">
        <is>
          <t>M3</t>
        </is>
      </c>
      <c r="K82" s="21" t="n">
        <v>230</v>
      </c>
      <c r="L82" s="21" t="n">
        <v>6223.8</v>
      </c>
      <c r="M82" s="21" t="n">
        <v>0</v>
      </c>
      <c r="N82" t="inlineStr">
        <is>
          <t>Drewno opałowe z lasu</t>
        </is>
      </c>
      <c r="Q82" s="21" t="n">
        <v>0</v>
      </c>
      <c r="T82" s="22" t="n">
        <v>0</v>
      </c>
      <c r="U82" s="21" t="n">
        <v>0</v>
      </c>
      <c r="V82" s="21" t="n">
        <v>0</v>
      </c>
      <c r="W82" t="inlineStr">
        <is>
          <t>Magazyn Zabrze</t>
        </is>
      </c>
      <c r="Y82" t="inlineStr">
        <is>
          <t>Waga: 24,120t</t>
        </is>
      </c>
      <c r="Z82" t="inlineStr">
        <is>
          <t>Roesner Mateusz</t>
        </is>
      </c>
      <c r="AA82" s="23" t="n">
        <v>46224.42460648148</v>
      </c>
      <c r="AB82" t="inlineStr">
        <is>
          <t>OP-MIGR-00081</t>
        </is>
      </c>
      <c r="AD82" t="inlineStr">
        <is>
          <t>AKTYWNY</t>
        </is>
      </c>
      <c r="AE82" s="20">
        <f>IF(I82="",0,IF(ISNUMBER(SEARCH("MP",UPPER(J82))),I82,IF(ISNUMBER(SEARCH("TON",UPPER(J82))),I82/Przelicznik_MP_tona,IF(ISNUMBER(SEARCH("M3",UPPER(J82))),I82*Przelicznik_M3_MP,IF(ISNUMBER(SEARCH("GJ",UPPER(J82))),I82/Przelicznik_GJ_tona/Przelicznik_MP_tona,I82)))))</f>
        <v/>
      </c>
      <c r="AF82" s="20">
        <f>IF(I82="",0,IF(ISNUMBER(SEARCH("TON",UPPER(J82))),I82,IF(ISNUMBER(SEARCH("GJ",UPPER(J82))),I82/Przelicznik_GJ_tona,AE82*Przelicznik_MP_tona)))</f>
        <v/>
      </c>
      <c r="AG82" s="20">
        <f>AF82*Przelicznik_GJ_tona</f>
        <v/>
      </c>
      <c r="AH82" s="20">
        <f>IF(UPPER(AD82)="SKORYGOWANY",0,IF(OR(UPPER(E82)="TRANSPORT",UPPER(E82)="MM"),0,IF(UPPER(G82)&lt;&gt;"TAK",0,IF(OR(UPPER(E82)="ZAKUP",UPPER(E82)="PRODUKCJA"),AE82,IF(OR(UPPER(E82)="SPRZEDAŻ",UPPER(E82)="ZUŻYCIE"),-AE82,0)))))</f>
        <v/>
      </c>
      <c r="AI82" s="20">
        <f>IF(UPPER(AD82)="SKORYGOWANY",0,IF(OR(UPPER(E82)="TRANSPORT",UPPER(E82)="MM"),0,IF(UPPER(G82)&lt;&gt;"TAK",0,IF(OR(UPPER(E82)="ZAKUP",UPPER(E82)="PRODUKCJA"),AF82,IF(OR(UPPER(E82)="SPRZEDAŻ",UPPER(E82)="ZUŻYCIE"),-AF82,0)))))</f>
        <v/>
      </c>
      <c r="AJ82" s="21">
        <f>IF(UPPER(AD82)="SKORYGOWANY",0,IF(UPPER(E82)="ZAKUP",IF(L82&lt;&gt;"",L82,I82*K82),0))</f>
        <v/>
      </c>
      <c r="AK82" s="21">
        <f>IF(UPPER(AD82)="SKORYGOWANY",0,IF(UPPER(E82)="SPRZEDAŻ",IF(L82&lt;&gt;"",L82,I82*M82),0))</f>
        <v/>
      </c>
      <c r="AL82" s="21">
        <f>AE82*Q82</f>
        <v/>
      </c>
      <c r="AM82">
        <f>IF(R82="","",IF(LOWER(R82)="brak","Brak",IF(OR(ISNUMBER(SEARCH("własn",LOWER(R82))),ISNUMBER(SEARCH("wlasn",LOWER(R82))),ISNUMBER(SEARCH("wojciechowski",LOWER(R82)))),"Własny","Zewnętrzny")))</f>
        <v/>
      </c>
      <c r="AN82" s="24">
        <f>IF(C82="","",YEAR(C82))</f>
        <v/>
      </c>
      <c r="AO82" s="24">
        <f>IF(C82="","",MONTH(C82))</f>
        <v/>
      </c>
      <c r="AP82">
        <f>IF(C82="","",UPPER(TEXT(C82,"mmmm")))</f>
        <v/>
      </c>
      <c r="AQ82">
        <f>IF(C82="","","Q"&amp;ROUNDUP(MONTH(C82)/3,0))</f>
        <v/>
      </c>
    </row>
    <row r="83">
      <c r="A83" s="19" t="n">
        <v>46219</v>
      </c>
      <c r="B83" t="inlineStr">
        <is>
          <t>Gdańsk</t>
        </is>
      </c>
      <c r="C83" s="19" t="n">
        <v>46219</v>
      </c>
      <c r="D83" t="inlineStr">
        <is>
          <t>Port Północny Gdańsk</t>
        </is>
      </c>
      <c r="E83" t="inlineStr">
        <is>
          <t>ZAKUP</t>
        </is>
      </c>
      <c r="F83" t="inlineStr">
        <is>
          <t>PZ/1/ŁN</t>
        </is>
      </c>
      <c r="G83" t="inlineStr">
        <is>
          <t>TAK</t>
        </is>
      </c>
      <c r="H83" t="inlineStr">
        <is>
          <t>KZR</t>
        </is>
      </c>
      <c r="I83" s="20" t="n">
        <v>1055</v>
      </c>
      <c r="J83" t="inlineStr">
        <is>
          <t>TON</t>
        </is>
      </c>
      <c r="K83" s="21" t="n">
        <v>0</v>
      </c>
      <c r="L83" s="21" t="n">
        <v>0</v>
      </c>
      <c r="M83" s="21" t="n">
        <v>0</v>
      </c>
      <c r="N83" t="inlineStr">
        <is>
          <t>Łupiny nerkowca</t>
        </is>
      </c>
      <c r="Q83" s="21" t="n">
        <v>0</v>
      </c>
      <c r="R83" t="inlineStr">
        <is>
          <t>DB Cargo</t>
        </is>
      </c>
      <c r="T83" s="22" t="n">
        <v>0</v>
      </c>
      <c r="U83" s="21" t="n">
        <v>0</v>
      </c>
      <c r="V83" s="21" t="n">
        <v>0</v>
      </c>
      <c r="W83" t="inlineStr">
        <is>
          <t>Magazyn Zabrze</t>
        </is>
      </c>
      <c r="Z83" t="inlineStr">
        <is>
          <t>Roesner Mateusz</t>
        </is>
      </c>
      <c r="AA83" s="23" t="n">
        <v>46231.30222222222</v>
      </c>
      <c r="AB83" t="inlineStr">
        <is>
          <t>OP-MIGR-00082</t>
        </is>
      </c>
      <c r="AD83" t="inlineStr">
        <is>
          <t>AKTYWNY</t>
        </is>
      </c>
      <c r="AE83" s="20">
        <f>IF(I83="",0,IF(ISNUMBER(SEARCH("MP",UPPER(J83))),I83,IF(ISNUMBER(SEARCH("TON",UPPER(J83))),I83/Przelicznik_MP_tona,IF(ISNUMBER(SEARCH("M3",UPPER(J83))),I83*Przelicznik_M3_MP,IF(ISNUMBER(SEARCH("GJ",UPPER(J83))),I83/Przelicznik_GJ_tona/Przelicznik_MP_tona,I83)))))</f>
        <v/>
      </c>
      <c r="AF83" s="20">
        <f>IF(I83="",0,IF(ISNUMBER(SEARCH("TON",UPPER(J83))),I83,IF(ISNUMBER(SEARCH("GJ",UPPER(J83))),I83/Przelicznik_GJ_tona,AE83*Przelicznik_MP_tona)))</f>
        <v/>
      </c>
      <c r="AG83" s="20">
        <f>AF83*Przelicznik_GJ_tona</f>
        <v/>
      </c>
      <c r="AH83" s="20">
        <f>IF(UPPER(AD83)="SKORYGOWANY",0,IF(OR(UPPER(E83)="TRANSPORT",UPPER(E83)="MM"),0,IF(UPPER(G83)&lt;&gt;"TAK",0,IF(OR(UPPER(E83)="ZAKUP",UPPER(E83)="PRODUKCJA"),AE83,IF(OR(UPPER(E83)="SPRZEDAŻ",UPPER(E83)="ZUŻYCIE"),-AE83,0)))))</f>
        <v/>
      </c>
      <c r="AI83" s="20">
        <f>IF(UPPER(AD83)="SKORYGOWANY",0,IF(OR(UPPER(E83)="TRANSPORT",UPPER(E83)="MM"),0,IF(UPPER(G83)&lt;&gt;"TAK",0,IF(OR(UPPER(E83)="ZAKUP",UPPER(E83)="PRODUKCJA"),AF83,IF(OR(UPPER(E83)="SPRZEDAŻ",UPPER(E83)="ZUŻYCIE"),-AF83,0)))))</f>
        <v/>
      </c>
      <c r="AJ83" s="21">
        <f>IF(UPPER(AD83)="SKORYGOWANY",0,IF(UPPER(E83)="ZAKUP",IF(L83&lt;&gt;"",L83,I83*K83),0))</f>
        <v/>
      </c>
      <c r="AK83" s="21">
        <f>IF(UPPER(AD83)="SKORYGOWANY",0,IF(UPPER(E83)="SPRZEDAŻ",IF(L83&lt;&gt;"",L83,I83*M83),0))</f>
        <v/>
      </c>
      <c r="AL83" s="21">
        <f>AE83*Q83</f>
        <v/>
      </c>
      <c r="AM83">
        <f>IF(R83="","",IF(LOWER(R83)="brak","Brak",IF(OR(ISNUMBER(SEARCH("własn",LOWER(R83))),ISNUMBER(SEARCH("wlasn",LOWER(R83))),ISNUMBER(SEARCH("wojciechowski",LOWER(R83)))),"Własny","Zewnętrzny")))</f>
        <v/>
      </c>
      <c r="AN83" s="24">
        <f>IF(C83="","",YEAR(C83))</f>
        <v/>
      </c>
      <c r="AO83" s="24">
        <f>IF(C83="","",MONTH(C83))</f>
        <v/>
      </c>
      <c r="AP83">
        <f>IF(C83="","",UPPER(TEXT(C83,"mmmm")))</f>
        <v/>
      </c>
      <c r="AQ83">
        <f>IF(C83="","","Q"&amp;ROUNDUP(MONTH(C83)/3,0))</f>
        <v/>
      </c>
    </row>
    <row r="84">
      <c r="A84" s="19" t="n">
        <v>46220</v>
      </c>
      <c r="B84" t="inlineStr">
        <is>
          <t>Magazyn Pyskowice</t>
        </is>
      </c>
      <c r="C84" s="19" t="n">
        <v>46220</v>
      </c>
      <c r="D84" t="inlineStr">
        <is>
          <t>Magazyn Pyskowice</t>
        </is>
      </c>
      <c r="E84" t="inlineStr">
        <is>
          <t>MM</t>
        </is>
      </c>
      <c r="F84" t="inlineStr">
        <is>
          <t>MM-36</t>
        </is>
      </c>
      <c r="G84" t="inlineStr">
        <is>
          <t>TAK</t>
        </is>
      </c>
      <c r="I84" s="20" t="n">
        <v>80</v>
      </c>
      <c r="J84" t="inlineStr">
        <is>
          <t>MP</t>
        </is>
      </c>
      <c r="K84" s="21" t="n">
        <v>0</v>
      </c>
      <c r="L84" s="21" t="n">
        <v>0</v>
      </c>
      <c r="M84" s="21" t="n">
        <v>0</v>
      </c>
      <c r="N84" t="inlineStr">
        <is>
          <t>Zrębka Produkcyjna Leśna</t>
        </is>
      </c>
      <c r="O84" t="inlineStr">
        <is>
          <t>B</t>
        </is>
      </c>
      <c r="Q84" s="21" t="n">
        <v>0</v>
      </c>
      <c r="R84" t="inlineStr">
        <is>
          <t>własny (Wilczak)</t>
        </is>
      </c>
      <c r="S84" t="inlineStr">
        <is>
          <t>SK 7J884</t>
        </is>
      </c>
      <c r="T84" s="22" t="n">
        <v>40</v>
      </c>
      <c r="U84" s="21" t="n">
        <v>5</v>
      </c>
      <c r="V84" s="21" t="n">
        <v>200</v>
      </c>
      <c r="W84" t="inlineStr">
        <is>
          <t>Magazyn Zabrze</t>
        </is>
      </c>
      <c r="X84" t="inlineStr">
        <is>
          <t>Magazyn Pyskowice</t>
        </is>
      </c>
      <c r="Z84" t="inlineStr">
        <is>
          <t>Roesner Mateusz</t>
        </is>
      </c>
      <c r="AA84" s="23" t="n">
        <v>46220.37771990741</v>
      </c>
      <c r="AB84" t="inlineStr">
        <is>
          <t>OP-MIGR-00083</t>
        </is>
      </c>
      <c r="AD84" t="inlineStr">
        <is>
          <t>AKTYWNY</t>
        </is>
      </c>
      <c r="AE84" s="20">
        <f>IF(I84="",0,IF(ISNUMBER(SEARCH("MP",UPPER(J84))),I84,IF(ISNUMBER(SEARCH("TON",UPPER(J84))),I84/Przelicznik_MP_tona,IF(ISNUMBER(SEARCH("M3",UPPER(J84))),I84*Przelicznik_M3_MP,IF(ISNUMBER(SEARCH("GJ",UPPER(J84))),I84/Przelicznik_GJ_tona/Przelicznik_MP_tona,I84)))))</f>
        <v/>
      </c>
      <c r="AF84" s="20">
        <f>IF(I84="",0,IF(ISNUMBER(SEARCH("TON",UPPER(J84))),I84,IF(ISNUMBER(SEARCH("GJ",UPPER(J84))),I84/Przelicznik_GJ_tona,AE84*Przelicznik_MP_tona)))</f>
        <v/>
      </c>
      <c r="AG84" s="20">
        <f>AF84*Przelicznik_GJ_tona</f>
        <v/>
      </c>
      <c r="AH84" s="20">
        <f>IF(UPPER(AD84)="SKORYGOWANY",0,IF(OR(UPPER(E84)="TRANSPORT",UPPER(E84)="MM"),0,IF(UPPER(G84)&lt;&gt;"TAK",0,IF(OR(UPPER(E84)="ZAKUP",UPPER(E84)="PRODUKCJA"),AE84,IF(OR(UPPER(E84)="SPRZEDAŻ",UPPER(E84)="ZUŻYCIE"),-AE84,0)))))</f>
        <v/>
      </c>
      <c r="AI84" s="20">
        <f>IF(UPPER(AD84)="SKORYGOWANY",0,IF(OR(UPPER(E84)="TRANSPORT",UPPER(E84)="MM"),0,IF(UPPER(G84)&lt;&gt;"TAK",0,IF(OR(UPPER(E84)="ZAKUP",UPPER(E84)="PRODUKCJA"),AF84,IF(OR(UPPER(E84)="SPRZEDAŻ",UPPER(E84)="ZUŻYCIE"),-AF84,0)))))</f>
        <v/>
      </c>
      <c r="AJ84" s="21">
        <f>IF(UPPER(AD84)="SKORYGOWANY",0,IF(UPPER(E84)="ZAKUP",IF(L84&lt;&gt;"",L84,I84*K84),0))</f>
        <v/>
      </c>
      <c r="AK84" s="21">
        <f>IF(UPPER(AD84)="SKORYGOWANY",0,IF(UPPER(E84)="SPRZEDAŻ",IF(L84&lt;&gt;"",L84,I84*M84),0))</f>
        <v/>
      </c>
      <c r="AL84" s="21">
        <f>AE84*Q84</f>
        <v/>
      </c>
      <c r="AM84">
        <f>IF(R84="","",IF(LOWER(R84)="brak","Brak",IF(OR(ISNUMBER(SEARCH("własn",LOWER(R84))),ISNUMBER(SEARCH("wlasn",LOWER(R84))),ISNUMBER(SEARCH("wojciechowski",LOWER(R84)))),"Własny","Zewnętrzny")))</f>
        <v/>
      </c>
      <c r="AN84" s="24">
        <f>IF(C84="","",YEAR(C84))</f>
        <v/>
      </c>
      <c r="AO84" s="24">
        <f>IF(C84="","",MONTH(C84))</f>
        <v/>
      </c>
      <c r="AP84">
        <f>IF(C84="","",UPPER(TEXT(C84,"mmmm")))</f>
        <v/>
      </c>
      <c r="AQ84">
        <f>IF(C84="","","Q"&amp;ROUNDUP(MONTH(C84)/3,0))</f>
        <v/>
      </c>
    </row>
    <row r="85">
      <c r="A85" s="19" t="n">
        <v>46220</v>
      </c>
      <c r="B85" t="inlineStr">
        <is>
          <t>Magazyn Pyskowice</t>
        </is>
      </c>
      <c r="C85" s="19" t="n">
        <v>46220</v>
      </c>
      <c r="D85" t="inlineStr">
        <is>
          <t>Magazyn Pyskowice</t>
        </is>
      </c>
      <c r="E85" t="inlineStr">
        <is>
          <t>MM</t>
        </is>
      </c>
      <c r="F85" t="inlineStr">
        <is>
          <t>MM-37</t>
        </is>
      </c>
      <c r="G85" t="inlineStr">
        <is>
          <t>TAK</t>
        </is>
      </c>
      <c r="I85" s="20" t="n">
        <v>84</v>
      </c>
      <c r="J85" t="inlineStr">
        <is>
          <t>MP</t>
        </is>
      </c>
      <c r="K85" s="21" t="n">
        <v>0</v>
      </c>
      <c r="L85" s="21" t="n">
        <v>0</v>
      </c>
      <c r="M85" s="21" t="n">
        <v>0</v>
      </c>
      <c r="N85" t="inlineStr">
        <is>
          <t>Zrębka Produkcyjna Leśna</t>
        </is>
      </c>
      <c r="O85" t="inlineStr">
        <is>
          <t>B</t>
        </is>
      </c>
      <c r="Q85" s="21" t="n">
        <v>0</v>
      </c>
      <c r="R85" t="inlineStr">
        <is>
          <t>własny (Chrzan)</t>
        </is>
      </c>
      <c r="S85" t="inlineStr">
        <is>
          <t>SK 7J885</t>
        </is>
      </c>
      <c r="T85" s="22" t="n">
        <v>40</v>
      </c>
      <c r="U85" s="21" t="n">
        <v>5</v>
      </c>
      <c r="V85" s="21" t="n">
        <v>200</v>
      </c>
      <c r="W85" t="inlineStr">
        <is>
          <t>Magazyn Zabrze</t>
        </is>
      </c>
      <c r="X85" t="inlineStr">
        <is>
          <t>Magazyn Pyskowice</t>
        </is>
      </c>
      <c r="Z85" t="inlineStr">
        <is>
          <t>Roesner Mateusz</t>
        </is>
      </c>
      <c r="AA85" s="23" t="n">
        <v>46220.37883101852</v>
      </c>
      <c r="AB85" t="inlineStr">
        <is>
          <t>OP-MIGR-00084</t>
        </is>
      </c>
      <c r="AD85" t="inlineStr">
        <is>
          <t>AKTYWNY</t>
        </is>
      </c>
      <c r="AE85" s="20">
        <f>IF(I85="",0,IF(ISNUMBER(SEARCH("MP",UPPER(J85))),I85,IF(ISNUMBER(SEARCH("TON",UPPER(J85))),I85/Przelicznik_MP_tona,IF(ISNUMBER(SEARCH("M3",UPPER(J85))),I85*Przelicznik_M3_MP,IF(ISNUMBER(SEARCH("GJ",UPPER(J85))),I85/Przelicznik_GJ_tona/Przelicznik_MP_tona,I85)))))</f>
        <v/>
      </c>
      <c r="AF85" s="20">
        <f>IF(I85="",0,IF(ISNUMBER(SEARCH("TON",UPPER(J85))),I85,IF(ISNUMBER(SEARCH("GJ",UPPER(J85))),I85/Przelicznik_GJ_tona,AE85*Przelicznik_MP_tona)))</f>
        <v/>
      </c>
      <c r="AG85" s="20">
        <f>AF85*Przelicznik_GJ_tona</f>
        <v/>
      </c>
      <c r="AH85" s="20">
        <f>IF(UPPER(AD85)="SKORYGOWANY",0,IF(OR(UPPER(E85)="TRANSPORT",UPPER(E85)="MM"),0,IF(UPPER(G85)&lt;&gt;"TAK",0,IF(OR(UPPER(E85)="ZAKUP",UPPER(E85)="PRODUKCJA"),AE85,IF(OR(UPPER(E85)="SPRZEDAŻ",UPPER(E85)="ZUŻYCIE"),-AE85,0)))))</f>
        <v/>
      </c>
      <c r="AI85" s="20">
        <f>IF(UPPER(AD85)="SKORYGOWANY",0,IF(OR(UPPER(E85)="TRANSPORT",UPPER(E85)="MM"),0,IF(UPPER(G85)&lt;&gt;"TAK",0,IF(OR(UPPER(E85)="ZAKUP",UPPER(E85)="PRODUKCJA"),AF85,IF(OR(UPPER(E85)="SPRZEDAŻ",UPPER(E85)="ZUŻYCIE"),-AF85,0)))))</f>
        <v/>
      </c>
      <c r="AJ85" s="21">
        <f>IF(UPPER(AD85)="SKORYGOWANY",0,IF(UPPER(E85)="ZAKUP",IF(L85&lt;&gt;"",L85,I85*K85),0))</f>
        <v/>
      </c>
      <c r="AK85" s="21">
        <f>IF(UPPER(AD85)="SKORYGOWANY",0,IF(UPPER(E85)="SPRZEDAŻ",IF(L85&lt;&gt;"",L85,I85*M85),0))</f>
        <v/>
      </c>
      <c r="AL85" s="21">
        <f>AE85*Q85</f>
        <v/>
      </c>
      <c r="AM85">
        <f>IF(R85="","",IF(LOWER(R85)="brak","Brak",IF(OR(ISNUMBER(SEARCH("własn",LOWER(R85))),ISNUMBER(SEARCH("wlasn",LOWER(R85))),ISNUMBER(SEARCH("wojciechowski",LOWER(R85)))),"Własny","Zewnętrzny")))</f>
        <v/>
      </c>
      <c r="AN85" s="24">
        <f>IF(C85="","",YEAR(C85))</f>
        <v/>
      </c>
      <c r="AO85" s="24">
        <f>IF(C85="","",MONTH(C85))</f>
        <v/>
      </c>
      <c r="AP85">
        <f>IF(C85="","",UPPER(TEXT(C85,"mmmm")))</f>
        <v/>
      </c>
      <c r="AQ85">
        <f>IF(C85="","","Q"&amp;ROUNDUP(MONTH(C85)/3,0))</f>
        <v/>
      </c>
    </row>
    <row r="86">
      <c r="A86" s="19" t="n">
        <v>46220</v>
      </c>
      <c r="B86" t="inlineStr">
        <is>
          <t>Magazyn Pyskowice</t>
        </is>
      </c>
      <c r="C86" s="19" t="n">
        <v>46220</v>
      </c>
      <c r="D86" t="inlineStr">
        <is>
          <t>Magazyn Pyskowice</t>
        </is>
      </c>
      <c r="E86" t="inlineStr">
        <is>
          <t>MM</t>
        </is>
      </c>
      <c r="F86" t="inlineStr">
        <is>
          <t>MM-38</t>
        </is>
      </c>
      <c r="G86" t="inlineStr">
        <is>
          <t>TAK</t>
        </is>
      </c>
      <c r="I86" s="20" t="n">
        <v>62.19</v>
      </c>
      <c r="J86" t="inlineStr">
        <is>
          <t>MP</t>
        </is>
      </c>
      <c r="K86" s="21" t="n">
        <v>0</v>
      </c>
      <c r="L86" s="21" t="n">
        <v>0</v>
      </c>
      <c r="M86" s="21" t="n">
        <v>0</v>
      </c>
      <c r="N86" t="inlineStr">
        <is>
          <t>Zrębka Produkcyjna Leśna</t>
        </is>
      </c>
      <c r="O86" t="inlineStr">
        <is>
          <t>B</t>
        </is>
      </c>
      <c r="Q86" s="21" t="n">
        <v>0</v>
      </c>
      <c r="R86" t="inlineStr">
        <is>
          <t>własny (Wiór)</t>
        </is>
      </c>
      <c r="S86" t="inlineStr">
        <is>
          <t>SK 7H433</t>
        </is>
      </c>
      <c r="T86" s="22" t="n">
        <v>40</v>
      </c>
      <c r="U86" s="21" t="n">
        <v>6</v>
      </c>
      <c r="V86" s="21" t="n">
        <v>240</v>
      </c>
      <c r="W86" t="inlineStr">
        <is>
          <t>Magazyn Zabrze</t>
        </is>
      </c>
      <c r="X86" t="inlineStr">
        <is>
          <t>Magazyn Pyskowice</t>
        </is>
      </c>
      <c r="Z86" t="inlineStr">
        <is>
          <t>Roesner Mateusz</t>
        </is>
      </c>
      <c r="AA86" s="23" t="n">
        <v>46220.3797337963</v>
      </c>
      <c r="AB86" t="inlineStr">
        <is>
          <t>OP-MIGR-00085</t>
        </is>
      </c>
      <c r="AD86" t="inlineStr">
        <is>
          <t>AKTYWNY</t>
        </is>
      </c>
      <c r="AE86" s="20">
        <f>IF(I86="",0,IF(ISNUMBER(SEARCH("MP",UPPER(J86))),I86,IF(ISNUMBER(SEARCH("TON",UPPER(J86))),I86/Przelicznik_MP_tona,IF(ISNUMBER(SEARCH("M3",UPPER(J86))),I86*Przelicznik_M3_MP,IF(ISNUMBER(SEARCH("GJ",UPPER(J86))),I86/Przelicznik_GJ_tona/Przelicznik_MP_tona,I86)))))</f>
        <v/>
      </c>
      <c r="AF86" s="20">
        <f>IF(I86="",0,IF(ISNUMBER(SEARCH("TON",UPPER(J86))),I86,IF(ISNUMBER(SEARCH("GJ",UPPER(J86))),I86/Przelicznik_GJ_tona,AE86*Przelicznik_MP_tona)))</f>
        <v/>
      </c>
      <c r="AG86" s="20">
        <f>AF86*Przelicznik_GJ_tona</f>
        <v/>
      </c>
      <c r="AH86" s="20">
        <f>IF(UPPER(AD86)="SKORYGOWANY",0,IF(OR(UPPER(E86)="TRANSPORT",UPPER(E86)="MM"),0,IF(UPPER(G86)&lt;&gt;"TAK",0,IF(OR(UPPER(E86)="ZAKUP",UPPER(E86)="PRODUKCJA"),AE86,IF(OR(UPPER(E86)="SPRZEDAŻ",UPPER(E86)="ZUŻYCIE"),-AE86,0)))))</f>
        <v/>
      </c>
      <c r="AI86" s="20">
        <f>IF(UPPER(AD86)="SKORYGOWANY",0,IF(OR(UPPER(E86)="TRANSPORT",UPPER(E86)="MM"),0,IF(UPPER(G86)&lt;&gt;"TAK",0,IF(OR(UPPER(E86)="ZAKUP",UPPER(E86)="PRODUKCJA"),AF86,IF(OR(UPPER(E86)="SPRZEDAŻ",UPPER(E86)="ZUŻYCIE"),-AF86,0)))))</f>
        <v/>
      </c>
      <c r="AJ86" s="21">
        <f>IF(UPPER(AD86)="SKORYGOWANY",0,IF(UPPER(E86)="ZAKUP",IF(L86&lt;&gt;"",L86,I86*K86),0))</f>
        <v/>
      </c>
      <c r="AK86" s="21">
        <f>IF(UPPER(AD86)="SKORYGOWANY",0,IF(UPPER(E86)="SPRZEDAŻ",IF(L86&lt;&gt;"",L86,I86*M86),0))</f>
        <v/>
      </c>
      <c r="AL86" s="21">
        <f>AE86*Q86</f>
        <v/>
      </c>
      <c r="AM86">
        <f>IF(R86="","",IF(LOWER(R86)="brak","Brak",IF(OR(ISNUMBER(SEARCH("własn",LOWER(R86))),ISNUMBER(SEARCH("wlasn",LOWER(R86))),ISNUMBER(SEARCH("wojciechowski",LOWER(R86)))),"Własny","Zewnętrzny")))</f>
        <v/>
      </c>
      <c r="AN86" s="24">
        <f>IF(C86="","",YEAR(C86))</f>
        <v/>
      </c>
      <c r="AO86" s="24">
        <f>IF(C86="","",MONTH(C86))</f>
        <v/>
      </c>
      <c r="AP86">
        <f>IF(C86="","",UPPER(TEXT(C86,"mmmm")))</f>
        <v/>
      </c>
      <c r="AQ86">
        <f>IF(C86="","","Q"&amp;ROUNDUP(MONTH(C86)/3,0))</f>
        <v/>
      </c>
    </row>
    <row r="87">
      <c r="A87" s="19" t="n">
        <v>46220</v>
      </c>
      <c r="B87" t="inlineStr">
        <is>
          <t>Magazyn Pyskowice</t>
        </is>
      </c>
      <c r="C87" s="19" t="n">
        <v>46220</v>
      </c>
      <c r="D87" t="inlineStr">
        <is>
          <t>Magazyn Pyskowice</t>
        </is>
      </c>
      <c r="E87" t="inlineStr">
        <is>
          <t>MM</t>
        </is>
      </c>
      <c r="F87" t="inlineStr">
        <is>
          <t>MM-39</t>
        </is>
      </c>
      <c r="G87" t="inlineStr">
        <is>
          <t>TAK</t>
        </is>
      </c>
      <c r="I87" s="20" t="n">
        <v>85</v>
      </c>
      <c r="J87" t="inlineStr">
        <is>
          <t>MP</t>
        </is>
      </c>
      <c r="K87" s="21" t="n">
        <v>0</v>
      </c>
      <c r="L87" s="21" t="n">
        <v>0</v>
      </c>
      <c r="M87" s="21" t="n">
        <v>0</v>
      </c>
      <c r="N87" t="inlineStr">
        <is>
          <t>Zrębka Produkcyjna Leśna</t>
        </is>
      </c>
      <c r="O87" t="inlineStr">
        <is>
          <t>B</t>
        </is>
      </c>
      <c r="Q87" s="21" t="n">
        <v>0</v>
      </c>
      <c r="R87" t="inlineStr">
        <is>
          <t>Nowatrans</t>
        </is>
      </c>
      <c r="S87" t="inlineStr">
        <is>
          <t>SZ 2503U</t>
        </is>
      </c>
      <c r="T87" s="22" t="n">
        <v>40</v>
      </c>
      <c r="U87" s="21" t="n">
        <v>15</v>
      </c>
      <c r="V87" s="21" t="n">
        <v>600</v>
      </c>
      <c r="W87" t="inlineStr">
        <is>
          <t>Magazyn Zabrze</t>
        </is>
      </c>
      <c r="X87" t="inlineStr">
        <is>
          <t>Magazyn Pyskowice</t>
        </is>
      </c>
      <c r="Z87" t="inlineStr">
        <is>
          <t>Roesner Mateusz</t>
        </is>
      </c>
      <c r="AA87" s="23" t="n">
        <v>46220.38472222222</v>
      </c>
      <c r="AB87" t="inlineStr">
        <is>
          <t>OP-MIGR-00086</t>
        </is>
      </c>
      <c r="AD87" t="inlineStr">
        <is>
          <t>AKTYWNY</t>
        </is>
      </c>
      <c r="AE87" s="20">
        <f>IF(I87="",0,IF(ISNUMBER(SEARCH("MP",UPPER(J87))),I87,IF(ISNUMBER(SEARCH("TON",UPPER(J87))),I87/Przelicznik_MP_tona,IF(ISNUMBER(SEARCH("M3",UPPER(J87))),I87*Przelicznik_M3_MP,IF(ISNUMBER(SEARCH("GJ",UPPER(J87))),I87/Przelicznik_GJ_tona/Przelicznik_MP_tona,I87)))))</f>
        <v/>
      </c>
      <c r="AF87" s="20">
        <f>IF(I87="",0,IF(ISNUMBER(SEARCH("TON",UPPER(J87))),I87,IF(ISNUMBER(SEARCH("GJ",UPPER(J87))),I87/Przelicznik_GJ_tona,AE87*Przelicznik_MP_tona)))</f>
        <v/>
      </c>
      <c r="AG87" s="20">
        <f>AF87*Przelicznik_GJ_tona</f>
        <v/>
      </c>
      <c r="AH87" s="20">
        <f>IF(UPPER(AD87)="SKORYGOWANY",0,IF(OR(UPPER(E87)="TRANSPORT",UPPER(E87)="MM"),0,IF(UPPER(G87)&lt;&gt;"TAK",0,IF(OR(UPPER(E87)="ZAKUP",UPPER(E87)="PRODUKCJA"),AE87,IF(OR(UPPER(E87)="SPRZEDAŻ",UPPER(E87)="ZUŻYCIE"),-AE87,0)))))</f>
        <v/>
      </c>
      <c r="AI87" s="20">
        <f>IF(UPPER(AD87)="SKORYGOWANY",0,IF(OR(UPPER(E87)="TRANSPORT",UPPER(E87)="MM"),0,IF(UPPER(G87)&lt;&gt;"TAK",0,IF(OR(UPPER(E87)="ZAKUP",UPPER(E87)="PRODUKCJA"),AF87,IF(OR(UPPER(E87)="SPRZEDAŻ",UPPER(E87)="ZUŻYCIE"),-AF87,0)))))</f>
        <v/>
      </c>
      <c r="AJ87" s="21">
        <f>IF(UPPER(AD87)="SKORYGOWANY",0,IF(UPPER(E87)="ZAKUP",IF(L87&lt;&gt;"",L87,I87*K87),0))</f>
        <v/>
      </c>
      <c r="AK87" s="21">
        <f>IF(UPPER(AD87)="SKORYGOWANY",0,IF(UPPER(E87)="SPRZEDAŻ",IF(L87&lt;&gt;"",L87,I87*M87),0))</f>
        <v/>
      </c>
      <c r="AL87" s="21">
        <f>AE87*Q87</f>
        <v/>
      </c>
      <c r="AM87">
        <f>IF(R87="","",IF(LOWER(R87)="brak","Brak",IF(OR(ISNUMBER(SEARCH("własn",LOWER(R87))),ISNUMBER(SEARCH("wlasn",LOWER(R87))),ISNUMBER(SEARCH("wojciechowski",LOWER(R87)))),"Własny","Zewnętrzny")))</f>
        <v/>
      </c>
      <c r="AN87" s="24">
        <f>IF(C87="","",YEAR(C87))</f>
        <v/>
      </c>
      <c r="AO87" s="24">
        <f>IF(C87="","",MONTH(C87))</f>
        <v/>
      </c>
      <c r="AP87">
        <f>IF(C87="","",UPPER(TEXT(C87,"mmmm")))</f>
        <v/>
      </c>
      <c r="AQ87">
        <f>IF(C87="","","Q"&amp;ROUNDUP(MONTH(C87)/3,0))</f>
        <v/>
      </c>
    </row>
    <row r="88">
      <c r="A88" s="19" t="n">
        <v>46220</v>
      </c>
      <c r="B88" t="inlineStr">
        <is>
          <t>Magazyn Pyskowice</t>
        </is>
      </c>
      <c r="C88" s="19" t="n">
        <v>46220</v>
      </c>
      <c r="D88" t="inlineStr">
        <is>
          <t>Magazyn Pyskowice</t>
        </is>
      </c>
      <c r="E88" t="inlineStr">
        <is>
          <t>MM</t>
        </is>
      </c>
      <c r="F88" t="inlineStr">
        <is>
          <t>MM-40</t>
        </is>
      </c>
      <c r="G88" t="inlineStr">
        <is>
          <t>TAK</t>
        </is>
      </c>
      <c r="I88" s="20" t="n">
        <v>87</v>
      </c>
      <c r="J88" t="inlineStr">
        <is>
          <t>MP</t>
        </is>
      </c>
      <c r="K88" s="21" t="n">
        <v>0</v>
      </c>
      <c r="L88" s="21" t="n">
        <v>0</v>
      </c>
      <c r="M88" s="21" t="n">
        <v>0</v>
      </c>
      <c r="N88" t="inlineStr">
        <is>
          <t>Zrębka Produkcyjna Leśna</t>
        </is>
      </c>
      <c r="O88" t="inlineStr">
        <is>
          <t>B</t>
        </is>
      </c>
      <c r="Q88" s="21" t="n">
        <v>0</v>
      </c>
      <c r="R88" t="inlineStr">
        <is>
          <t>Nowatrans</t>
        </is>
      </c>
      <c r="S88" t="inlineStr">
        <is>
          <t>SZ 2503U</t>
        </is>
      </c>
      <c r="T88" s="22" t="n">
        <v>40</v>
      </c>
      <c r="U88" s="21" t="n">
        <v>15</v>
      </c>
      <c r="V88" s="21" t="n">
        <v>600</v>
      </c>
      <c r="W88" t="inlineStr">
        <is>
          <t>Magazyn Zabrze</t>
        </is>
      </c>
      <c r="X88" t="inlineStr">
        <is>
          <t>Magazyn Pyskowice</t>
        </is>
      </c>
      <c r="Z88" t="inlineStr">
        <is>
          <t>Roesner Mateusz</t>
        </is>
      </c>
      <c r="AA88" s="23" t="n">
        <v>46220.45273148148</v>
      </c>
      <c r="AB88" t="inlineStr">
        <is>
          <t>OP-MIGR-00087</t>
        </is>
      </c>
      <c r="AD88" t="inlineStr">
        <is>
          <t>AKTYWNY</t>
        </is>
      </c>
      <c r="AE88" s="20">
        <f>IF(I88="",0,IF(ISNUMBER(SEARCH("MP",UPPER(J88))),I88,IF(ISNUMBER(SEARCH("TON",UPPER(J88))),I88/Przelicznik_MP_tona,IF(ISNUMBER(SEARCH("M3",UPPER(J88))),I88*Przelicznik_M3_MP,IF(ISNUMBER(SEARCH("GJ",UPPER(J88))),I88/Przelicznik_GJ_tona/Przelicznik_MP_tona,I88)))))</f>
        <v/>
      </c>
      <c r="AF88" s="20">
        <f>IF(I88="",0,IF(ISNUMBER(SEARCH("TON",UPPER(J88))),I88,IF(ISNUMBER(SEARCH("GJ",UPPER(J88))),I88/Przelicznik_GJ_tona,AE88*Przelicznik_MP_tona)))</f>
        <v/>
      </c>
      <c r="AG88" s="20">
        <f>AF88*Przelicznik_GJ_tona</f>
        <v/>
      </c>
      <c r="AH88" s="20">
        <f>IF(UPPER(AD88)="SKORYGOWANY",0,IF(OR(UPPER(E88)="TRANSPORT",UPPER(E88)="MM"),0,IF(UPPER(G88)&lt;&gt;"TAK",0,IF(OR(UPPER(E88)="ZAKUP",UPPER(E88)="PRODUKCJA"),AE88,IF(OR(UPPER(E88)="SPRZEDAŻ",UPPER(E88)="ZUŻYCIE"),-AE88,0)))))</f>
        <v/>
      </c>
      <c r="AI88" s="20">
        <f>IF(UPPER(AD88)="SKORYGOWANY",0,IF(OR(UPPER(E88)="TRANSPORT",UPPER(E88)="MM"),0,IF(UPPER(G88)&lt;&gt;"TAK",0,IF(OR(UPPER(E88)="ZAKUP",UPPER(E88)="PRODUKCJA"),AF88,IF(OR(UPPER(E88)="SPRZEDAŻ",UPPER(E88)="ZUŻYCIE"),-AF88,0)))))</f>
        <v/>
      </c>
      <c r="AJ88" s="21">
        <f>IF(UPPER(AD88)="SKORYGOWANY",0,IF(UPPER(E88)="ZAKUP",IF(L88&lt;&gt;"",L88,I88*K88),0))</f>
        <v/>
      </c>
      <c r="AK88" s="21">
        <f>IF(UPPER(AD88)="SKORYGOWANY",0,IF(UPPER(E88)="SPRZEDAŻ",IF(L88&lt;&gt;"",L88,I88*M88),0))</f>
        <v/>
      </c>
      <c r="AL88" s="21">
        <f>AE88*Q88</f>
        <v/>
      </c>
      <c r="AM88">
        <f>IF(R88="","",IF(LOWER(R88)="brak","Brak",IF(OR(ISNUMBER(SEARCH("własn",LOWER(R88))),ISNUMBER(SEARCH("wlasn",LOWER(R88))),ISNUMBER(SEARCH("wojciechowski",LOWER(R88)))),"Własny","Zewnętrzny")))</f>
        <v/>
      </c>
      <c r="AN88" s="24">
        <f>IF(C88="","",YEAR(C88))</f>
        <v/>
      </c>
      <c r="AO88" s="24">
        <f>IF(C88="","",MONTH(C88))</f>
        <v/>
      </c>
      <c r="AP88">
        <f>IF(C88="","",UPPER(TEXT(C88,"mmmm")))</f>
        <v/>
      </c>
      <c r="AQ88">
        <f>IF(C88="","","Q"&amp;ROUNDUP(MONTH(C88)/3,0))</f>
        <v/>
      </c>
    </row>
    <row r="89">
      <c r="A89" s="19" t="n">
        <v>46220</v>
      </c>
      <c r="B89" t="inlineStr">
        <is>
          <t>Magazyn Pyskowice</t>
        </is>
      </c>
      <c r="C89" s="19" t="n">
        <v>46220</v>
      </c>
      <c r="D89" t="inlineStr">
        <is>
          <t>Magazyn Pyskowice</t>
        </is>
      </c>
      <c r="E89" t="inlineStr">
        <is>
          <t>MM</t>
        </is>
      </c>
      <c r="F89" t="inlineStr">
        <is>
          <t>MM-41</t>
        </is>
      </c>
      <c r="G89" t="inlineStr">
        <is>
          <t>TAK</t>
        </is>
      </c>
      <c r="I89" s="20" t="n">
        <v>86</v>
      </c>
      <c r="J89" t="inlineStr">
        <is>
          <t>MP</t>
        </is>
      </c>
      <c r="K89" s="21" t="n">
        <v>0</v>
      </c>
      <c r="L89" s="21" t="n">
        <v>0</v>
      </c>
      <c r="M89" s="21" t="n">
        <v>0</v>
      </c>
      <c r="N89" t="inlineStr">
        <is>
          <t>Zrębka Produkcyjna Leśna</t>
        </is>
      </c>
      <c r="O89" t="inlineStr">
        <is>
          <t>B</t>
        </is>
      </c>
      <c r="Q89" s="21" t="n">
        <v>0</v>
      </c>
      <c r="R89" t="inlineStr">
        <is>
          <t>Nowatrans</t>
        </is>
      </c>
      <c r="S89" t="inlineStr">
        <is>
          <t>SZ 2503U</t>
        </is>
      </c>
      <c r="T89" s="22" t="n">
        <v>40</v>
      </c>
      <c r="U89" s="21" t="n">
        <v>15</v>
      </c>
      <c r="V89" s="21" t="n">
        <v>600</v>
      </c>
      <c r="W89" t="inlineStr">
        <is>
          <t>Magazyn Zabrze</t>
        </is>
      </c>
      <c r="X89" t="inlineStr">
        <is>
          <t>Magazyn Pyskowice</t>
        </is>
      </c>
      <c r="Z89" t="inlineStr">
        <is>
          <t>Roesner Mateusz</t>
        </is>
      </c>
      <c r="AA89" s="23" t="n">
        <v>46224.41078703704</v>
      </c>
      <c r="AB89" t="inlineStr">
        <is>
          <t>OP-MIGR-00088</t>
        </is>
      </c>
      <c r="AD89" t="inlineStr">
        <is>
          <t>AKTYWNY</t>
        </is>
      </c>
      <c r="AE89" s="20">
        <f>IF(I89="",0,IF(ISNUMBER(SEARCH("MP",UPPER(J89))),I89,IF(ISNUMBER(SEARCH("TON",UPPER(J89))),I89/Przelicznik_MP_tona,IF(ISNUMBER(SEARCH("M3",UPPER(J89))),I89*Przelicznik_M3_MP,IF(ISNUMBER(SEARCH("GJ",UPPER(J89))),I89/Przelicznik_GJ_tona/Przelicznik_MP_tona,I89)))))</f>
        <v/>
      </c>
      <c r="AF89" s="20">
        <f>IF(I89="",0,IF(ISNUMBER(SEARCH("TON",UPPER(J89))),I89,IF(ISNUMBER(SEARCH("GJ",UPPER(J89))),I89/Przelicznik_GJ_tona,AE89*Przelicznik_MP_tona)))</f>
        <v/>
      </c>
      <c r="AG89" s="20">
        <f>AF89*Przelicznik_GJ_tona</f>
        <v/>
      </c>
      <c r="AH89" s="20">
        <f>IF(UPPER(AD89)="SKORYGOWANY",0,IF(OR(UPPER(E89)="TRANSPORT",UPPER(E89)="MM"),0,IF(UPPER(G89)&lt;&gt;"TAK",0,IF(OR(UPPER(E89)="ZAKUP",UPPER(E89)="PRODUKCJA"),AE89,IF(OR(UPPER(E89)="SPRZEDAŻ",UPPER(E89)="ZUŻYCIE"),-AE89,0)))))</f>
        <v/>
      </c>
      <c r="AI89" s="20">
        <f>IF(UPPER(AD89)="SKORYGOWANY",0,IF(OR(UPPER(E89)="TRANSPORT",UPPER(E89)="MM"),0,IF(UPPER(G89)&lt;&gt;"TAK",0,IF(OR(UPPER(E89)="ZAKUP",UPPER(E89)="PRODUKCJA"),AF89,IF(OR(UPPER(E89)="SPRZEDAŻ",UPPER(E89)="ZUŻYCIE"),-AF89,0)))))</f>
        <v/>
      </c>
      <c r="AJ89" s="21">
        <f>IF(UPPER(AD89)="SKORYGOWANY",0,IF(UPPER(E89)="ZAKUP",IF(L89&lt;&gt;"",L89,I89*K89),0))</f>
        <v/>
      </c>
      <c r="AK89" s="21">
        <f>IF(UPPER(AD89)="SKORYGOWANY",0,IF(UPPER(E89)="SPRZEDAŻ",IF(L89&lt;&gt;"",L89,I89*M89),0))</f>
        <v/>
      </c>
      <c r="AL89" s="21">
        <f>AE89*Q89</f>
        <v/>
      </c>
      <c r="AM89">
        <f>IF(R89="","",IF(LOWER(R89)="brak","Brak",IF(OR(ISNUMBER(SEARCH("własn",LOWER(R89))),ISNUMBER(SEARCH("wlasn",LOWER(R89))),ISNUMBER(SEARCH("wojciechowski",LOWER(R89)))),"Własny","Zewnętrzny")))</f>
        <v/>
      </c>
      <c r="AN89" s="24">
        <f>IF(C89="","",YEAR(C89))</f>
        <v/>
      </c>
      <c r="AO89" s="24">
        <f>IF(C89="","",MONTH(C89))</f>
        <v/>
      </c>
      <c r="AP89">
        <f>IF(C89="","",UPPER(TEXT(C89,"mmmm")))</f>
        <v/>
      </c>
      <c r="AQ89">
        <f>IF(C89="","","Q"&amp;ROUNDUP(MONTH(C89)/3,0))</f>
        <v/>
      </c>
    </row>
    <row r="90">
      <c r="A90" s="19" t="n">
        <v>46220</v>
      </c>
      <c r="B90" t="inlineStr">
        <is>
          <t>Magazyn Pyskowice</t>
        </is>
      </c>
      <c r="C90" s="19" t="n">
        <v>46220</v>
      </c>
      <c r="D90" t="inlineStr">
        <is>
          <t>Magazyn Pyskowice</t>
        </is>
      </c>
      <c r="E90" t="inlineStr">
        <is>
          <t>MM</t>
        </is>
      </c>
      <c r="F90" t="inlineStr">
        <is>
          <t>MM-42</t>
        </is>
      </c>
      <c r="G90" t="inlineStr">
        <is>
          <t>TAK</t>
        </is>
      </c>
      <c r="I90" s="20" t="n">
        <v>65</v>
      </c>
      <c r="J90" t="inlineStr">
        <is>
          <t>MP</t>
        </is>
      </c>
      <c r="K90" s="21" t="n">
        <v>0</v>
      </c>
      <c r="L90" s="21" t="n">
        <v>0</v>
      </c>
      <c r="M90" s="21" t="n">
        <v>0</v>
      </c>
      <c r="N90" t="inlineStr">
        <is>
          <t>Zrębka Produkcyjna Leśna</t>
        </is>
      </c>
      <c r="O90" t="inlineStr">
        <is>
          <t>B</t>
        </is>
      </c>
      <c r="Q90" s="21" t="n">
        <v>0</v>
      </c>
      <c r="R90" t="inlineStr">
        <is>
          <t>własny (Wiór)</t>
        </is>
      </c>
      <c r="S90" t="inlineStr">
        <is>
          <t>SK 7H433</t>
        </is>
      </c>
      <c r="T90" s="22" t="n">
        <v>40</v>
      </c>
      <c r="U90" s="21" t="n">
        <v>6</v>
      </c>
      <c r="V90" s="21" t="n">
        <v>240</v>
      </c>
      <c r="W90" t="inlineStr">
        <is>
          <t>Magazyn Zabrze</t>
        </is>
      </c>
      <c r="X90" t="inlineStr">
        <is>
          <t>Magazyn Pyskowice</t>
        </is>
      </c>
      <c r="Z90" t="inlineStr">
        <is>
          <t>Roesner Mateusz</t>
        </is>
      </c>
      <c r="AA90" s="23" t="n">
        <v>46224.41934027777</v>
      </c>
      <c r="AB90" t="inlineStr">
        <is>
          <t>OP-MIGR-00089</t>
        </is>
      </c>
      <c r="AD90" t="inlineStr">
        <is>
          <t>AKTYWNY</t>
        </is>
      </c>
      <c r="AE90" s="20">
        <f>IF(I90="",0,IF(ISNUMBER(SEARCH("MP",UPPER(J90))),I90,IF(ISNUMBER(SEARCH("TON",UPPER(J90))),I90/Przelicznik_MP_tona,IF(ISNUMBER(SEARCH("M3",UPPER(J90))),I90*Przelicznik_M3_MP,IF(ISNUMBER(SEARCH("GJ",UPPER(J90))),I90/Przelicznik_GJ_tona/Przelicznik_MP_tona,I90)))))</f>
        <v/>
      </c>
      <c r="AF90" s="20">
        <f>IF(I90="",0,IF(ISNUMBER(SEARCH("TON",UPPER(J90))),I90,IF(ISNUMBER(SEARCH("GJ",UPPER(J90))),I90/Przelicznik_GJ_tona,AE90*Przelicznik_MP_tona)))</f>
        <v/>
      </c>
      <c r="AG90" s="20">
        <f>AF90*Przelicznik_GJ_tona</f>
        <v/>
      </c>
      <c r="AH90" s="20">
        <f>IF(UPPER(AD90)="SKORYGOWANY",0,IF(OR(UPPER(E90)="TRANSPORT",UPPER(E90)="MM"),0,IF(UPPER(G90)&lt;&gt;"TAK",0,IF(OR(UPPER(E90)="ZAKUP",UPPER(E90)="PRODUKCJA"),AE90,IF(OR(UPPER(E90)="SPRZEDAŻ",UPPER(E90)="ZUŻYCIE"),-AE90,0)))))</f>
        <v/>
      </c>
      <c r="AI90" s="20">
        <f>IF(UPPER(AD90)="SKORYGOWANY",0,IF(OR(UPPER(E90)="TRANSPORT",UPPER(E90)="MM"),0,IF(UPPER(G90)&lt;&gt;"TAK",0,IF(OR(UPPER(E90)="ZAKUP",UPPER(E90)="PRODUKCJA"),AF90,IF(OR(UPPER(E90)="SPRZEDAŻ",UPPER(E90)="ZUŻYCIE"),-AF90,0)))))</f>
        <v/>
      </c>
      <c r="AJ90" s="21">
        <f>IF(UPPER(AD90)="SKORYGOWANY",0,IF(UPPER(E90)="ZAKUP",IF(L90&lt;&gt;"",L90,I90*K90),0))</f>
        <v/>
      </c>
      <c r="AK90" s="21">
        <f>IF(UPPER(AD90)="SKORYGOWANY",0,IF(UPPER(E90)="SPRZEDAŻ",IF(L90&lt;&gt;"",L90,I90*M90),0))</f>
        <v/>
      </c>
      <c r="AL90" s="21">
        <f>AE90*Q90</f>
        <v/>
      </c>
      <c r="AM90">
        <f>IF(R90="","",IF(LOWER(R90)="brak","Brak",IF(OR(ISNUMBER(SEARCH("własn",LOWER(R90))),ISNUMBER(SEARCH("wlasn",LOWER(R90))),ISNUMBER(SEARCH("wojciechowski",LOWER(R90)))),"Własny","Zewnętrzny")))</f>
        <v/>
      </c>
      <c r="AN90" s="24">
        <f>IF(C90="","",YEAR(C90))</f>
        <v/>
      </c>
      <c r="AO90" s="24">
        <f>IF(C90="","",MONTH(C90))</f>
        <v/>
      </c>
      <c r="AP90">
        <f>IF(C90="","",UPPER(TEXT(C90,"mmmm")))</f>
        <v/>
      </c>
      <c r="AQ90">
        <f>IF(C90="","","Q"&amp;ROUNDUP(MONTH(C90)/3,0))</f>
        <v/>
      </c>
    </row>
    <row r="91">
      <c r="A91" s="19" t="n">
        <v>46220</v>
      </c>
      <c r="C91" s="19" t="n">
        <v>46220</v>
      </c>
      <c r="D91" t="inlineStr">
        <is>
          <t>Lander Agro</t>
        </is>
      </c>
      <c r="E91" t="inlineStr">
        <is>
          <t>ZAKUP</t>
        </is>
      </c>
      <c r="F91" t="inlineStr">
        <is>
          <t>PZ/10/D</t>
        </is>
      </c>
      <c r="G91" t="inlineStr">
        <is>
          <t>TAK</t>
        </is>
      </c>
      <c r="H91" t="inlineStr">
        <is>
          <t>KZR</t>
        </is>
      </c>
      <c r="I91" s="20" t="n">
        <v>30</v>
      </c>
      <c r="J91" t="inlineStr">
        <is>
          <t>M3</t>
        </is>
      </c>
      <c r="K91" s="21" t="n">
        <v>230</v>
      </c>
      <c r="L91" s="21" t="n">
        <v>6900</v>
      </c>
      <c r="M91" s="21" t="n">
        <v>0</v>
      </c>
      <c r="N91" t="inlineStr">
        <is>
          <t>Drewno opałowe z lasu</t>
        </is>
      </c>
      <c r="Q91" s="21" t="n">
        <v>0</v>
      </c>
      <c r="T91" s="22" t="n">
        <v>0</v>
      </c>
      <c r="U91" s="21" t="n">
        <v>0</v>
      </c>
      <c r="V91" s="21" t="n">
        <v>0</v>
      </c>
      <c r="W91" t="inlineStr">
        <is>
          <t>Magazyn Zabrze</t>
        </is>
      </c>
      <c r="Y91" t="inlineStr">
        <is>
          <t>Waga: 24,740t</t>
        </is>
      </c>
      <c r="Z91" t="inlineStr">
        <is>
          <t>Roesner Mateusz</t>
        </is>
      </c>
      <c r="AA91" s="23" t="n">
        <v>46224.42232638889</v>
      </c>
      <c r="AB91" t="inlineStr">
        <is>
          <t>OP-MIGR-00090</t>
        </is>
      </c>
      <c r="AD91" t="inlineStr">
        <is>
          <t>AKTYWNY</t>
        </is>
      </c>
      <c r="AE91" s="20">
        <f>IF(I91="",0,IF(ISNUMBER(SEARCH("MP",UPPER(J91))),I91,IF(ISNUMBER(SEARCH("TON",UPPER(J91))),I91/Przelicznik_MP_tona,IF(ISNUMBER(SEARCH("M3",UPPER(J91))),I91*Przelicznik_M3_MP,IF(ISNUMBER(SEARCH("GJ",UPPER(J91))),I91/Przelicznik_GJ_tona/Przelicznik_MP_tona,I91)))))</f>
        <v/>
      </c>
      <c r="AF91" s="20">
        <f>IF(I91="",0,IF(ISNUMBER(SEARCH("TON",UPPER(J91))),I91,IF(ISNUMBER(SEARCH("GJ",UPPER(J91))),I91/Przelicznik_GJ_tona,AE91*Przelicznik_MP_tona)))</f>
        <v/>
      </c>
      <c r="AG91" s="20">
        <f>AF91*Przelicznik_GJ_tona</f>
        <v/>
      </c>
      <c r="AH91" s="20">
        <f>IF(UPPER(AD91)="SKORYGOWANY",0,IF(OR(UPPER(E91)="TRANSPORT",UPPER(E91)="MM"),0,IF(UPPER(G91)&lt;&gt;"TAK",0,IF(OR(UPPER(E91)="ZAKUP",UPPER(E91)="PRODUKCJA"),AE91,IF(OR(UPPER(E91)="SPRZEDAŻ",UPPER(E91)="ZUŻYCIE"),-AE91,0)))))</f>
        <v/>
      </c>
      <c r="AI91" s="20">
        <f>IF(UPPER(AD91)="SKORYGOWANY",0,IF(OR(UPPER(E91)="TRANSPORT",UPPER(E91)="MM"),0,IF(UPPER(G91)&lt;&gt;"TAK",0,IF(OR(UPPER(E91)="ZAKUP",UPPER(E91)="PRODUKCJA"),AF91,IF(OR(UPPER(E91)="SPRZEDAŻ",UPPER(E91)="ZUŻYCIE"),-AF91,0)))))</f>
        <v/>
      </c>
      <c r="AJ91" s="21">
        <f>IF(UPPER(AD91)="SKORYGOWANY",0,IF(UPPER(E91)="ZAKUP",IF(L91&lt;&gt;"",L91,I91*K91),0))</f>
        <v/>
      </c>
      <c r="AK91" s="21">
        <f>IF(UPPER(AD91)="SKORYGOWANY",0,IF(UPPER(E91)="SPRZEDAŻ",IF(L91&lt;&gt;"",L91,I91*M91),0))</f>
        <v/>
      </c>
      <c r="AL91" s="21">
        <f>AE91*Q91</f>
        <v/>
      </c>
      <c r="AM91">
        <f>IF(R91="","",IF(LOWER(R91)="brak","Brak",IF(OR(ISNUMBER(SEARCH("własn",LOWER(R91))),ISNUMBER(SEARCH("wlasn",LOWER(R91))),ISNUMBER(SEARCH("wojciechowski",LOWER(R91)))),"Własny","Zewnętrzny")))</f>
        <v/>
      </c>
      <c r="AN91" s="24">
        <f>IF(C91="","",YEAR(C91))</f>
        <v/>
      </c>
      <c r="AO91" s="24">
        <f>IF(C91="","",MONTH(C91))</f>
        <v/>
      </c>
      <c r="AP91">
        <f>IF(C91="","",UPPER(TEXT(C91,"mmmm")))</f>
        <v/>
      </c>
      <c r="AQ91">
        <f>IF(C91="","","Q"&amp;ROUNDUP(MONTH(C91)/3,0))</f>
        <v/>
      </c>
    </row>
    <row r="92">
      <c r="A92" s="19" t="n">
        <v>46220</v>
      </c>
      <c r="C92" s="19" t="n">
        <v>46220</v>
      </c>
      <c r="D92" t="inlineStr">
        <is>
          <t>Lander Agro</t>
        </is>
      </c>
      <c r="E92" t="inlineStr">
        <is>
          <t>ZAKUP</t>
        </is>
      </c>
      <c r="F92" t="inlineStr">
        <is>
          <t>PZ/11/D</t>
        </is>
      </c>
      <c r="G92" t="inlineStr">
        <is>
          <t>TAK</t>
        </is>
      </c>
      <c r="H92" t="inlineStr">
        <is>
          <t>KZR</t>
        </is>
      </c>
      <c r="I92" s="20" t="n">
        <v>29.9</v>
      </c>
      <c r="J92" t="inlineStr">
        <is>
          <t>M3</t>
        </is>
      </c>
      <c r="K92" s="21" t="n">
        <v>230</v>
      </c>
      <c r="L92" s="21" t="n">
        <v>6877</v>
      </c>
      <c r="M92" s="21" t="n">
        <v>0</v>
      </c>
      <c r="N92" t="inlineStr">
        <is>
          <t>Drewno opałowe z lasu</t>
        </is>
      </c>
      <c r="Q92" s="21" t="n">
        <v>0</v>
      </c>
      <c r="T92" s="22" t="n">
        <v>0</v>
      </c>
      <c r="U92" s="21" t="n">
        <v>0</v>
      </c>
      <c r="V92" s="21" t="n">
        <v>0</v>
      </c>
      <c r="W92" t="inlineStr">
        <is>
          <t>Magazyn Zabrze</t>
        </is>
      </c>
      <c r="Y92" t="inlineStr">
        <is>
          <t>Waga b/d</t>
        </is>
      </c>
      <c r="Z92" t="inlineStr">
        <is>
          <t>Roesner Mateusz</t>
        </is>
      </c>
      <c r="AA92" s="23" t="n">
        <v>46225.48216435185</v>
      </c>
      <c r="AB92" t="inlineStr">
        <is>
          <t>OP-MIGR-00091</t>
        </is>
      </c>
      <c r="AD92" t="inlineStr">
        <is>
          <t>AKTYWNY</t>
        </is>
      </c>
      <c r="AE92" s="20">
        <f>IF(I92="",0,IF(ISNUMBER(SEARCH("MP",UPPER(J92))),I92,IF(ISNUMBER(SEARCH("TON",UPPER(J92))),I92/Przelicznik_MP_tona,IF(ISNUMBER(SEARCH("M3",UPPER(J92))),I92*Przelicznik_M3_MP,IF(ISNUMBER(SEARCH("GJ",UPPER(J92))),I92/Przelicznik_GJ_tona/Przelicznik_MP_tona,I92)))))</f>
        <v/>
      </c>
      <c r="AF92" s="20">
        <f>IF(I92="",0,IF(ISNUMBER(SEARCH("TON",UPPER(J92))),I92,IF(ISNUMBER(SEARCH("GJ",UPPER(J92))),I92/Przelicznik_GJ_tona,AE92*Przelicznik_MP_tona)))</f>
        <v/>
      </c>
      <c r="AG92" s="20">
        <f>AF92*Przelicznik_GJ_tona</f>
        <v/>
      </c>
      <c r="AH92" s="20">
        <f>IF(UPPER(AD92)="SKORYGOWANY",0,IF(OR(UPPER(E92)="TRANSPORT",UPPER(E92)="MM"),0,IF(UPPER(G92)&lt;&gt;"TAK",0,IF(OR(UPPER(E92)="ZAKUP",UPPER(E92)="PRODUKCJA"),AE92,IF(OR(UPPER(E92)="SPRZEDAŻ",UPPER(E92)="ZUŻYCIE"),-AE92,0)))))</f>
        <v/>
      </c>
      <c r="AI92" s="20">
        <f>IF(UPPER(AD92)="SKORYGOWANY",0,IF(OR(UPPER(E92)="TRANSPORT",UPPER(E92)="MM"),0,IF(UPPER(G92)&lt;&gt;"TAK",0,IF(OR(UPPER(E92)="ZAKUP",UPPER(E92)="PRODUKCJA"),AF92,IF(OR(UPPER(E92)="SPRZEDAŻ",UPPER(E92)="ZUŻYCIE"),-AF92,0)))))</f>
        <v/>
      </c>
      <c r="AJ92" s="21">
        <f>IF(UPPER(AD92)="SKORYGOWANY",0,IF(UPPER(E92)="ZAKUP",IF(L92&lt;&gt;"",L92,I92*K92),0))</f>
        <v/>
      </c>
      <c r="AK92" s="21">
        <f>IF(UPPER(AD92)="SKORYGOWANY",0,IF(UPPER(E92)="SPRZEDAŻ",IF(L92&lt;&gt;"",L92,I92*M92),0))</f>
        <v/>
      </c>
      <c r="AL92" s="21">
        <f>AE92*Q92</f>
        <v/>
      </c>
      <c r="AM92">
        <f>IF(R92="","",IF(LOWER(R92)="brak","Brak",IF(OR(ISNUMBER(SEARCH("własn",LOWER(R92))),ISNUMBER(SEARCH("wlasn",LOWER(R92))),ISNUMBER(SEARCH("wojciechowski",LOWER(R92)))),"Własny","Zewnętrzny")))</f>
        <v/>
      </c>
      <c r="AN92" s="24">
        <f>IF(C92="","",YEAR(C92))</f>
        <v/>
      </c>
      <c r="AO92" s="24">
        <f>IF(C92="","",MONTH(C92))</f>
        <v/>
      </c>
      <c r="AP92">
        <f>IF(C92="","",UPPER(TEXT(C92,"mmmm")))</f>
        <v/>
      </c>
      <c r="AQ92">
        <f>IF(C92="","","Q"&amp;ROUNDUP(MONTH(C92)/3,0))</f>
        <v/>
      </c>
    </row>
    <row r="93">
      <c r="A93" s="19" t="n">
        <v>46223</v>
      </c>
      <c r="C93" s="19" t="n">
        <v>46223</v>
      </c>
      <c r="D93" t="inlineStr">
        <is>
          <t>Lander Agro</t>
        </is>
      </c>
      <c r="E93" t="inlineStr">
        <is>
          <t>ZAKUP</t>
        </is>
      </c>
      <c r="F93" t="inlineStr">
        <is>
          <t>PZ/12/D</t>
        </is>
      </c>
      <c r="G93" t="inlineStr">
        <is>
          <t>TAK</t>
        </is>
      </c>
      <c r="H93" t="inlineStr">
        <is>
          <t>KZR</t>
        </is>
      </c>
      <c r="I93" s="20" t="n">
        <v>28.57</v>
      </c>
      <c r="J93" t="inlineStr">
        <is>
          <t>M3</t>
        </is>
      </c>
      <c r="K93" s="21" t="n">
        <v>230</v>
      </c>
      <c r="L93" s="21" t="n">
        <v>6571.1</v>
      </c>
      <c r="M93" s="21" t="n">
        <v>0</v>
      </c>
      <c r="N93" t="inlineStr">
        <is>
          <t>Drewno opałowe z lasu</t>
        </is>
      </c>
      <c r="Q93" s="21" t="n">
        <v>0</v>
      </c>
      <c r="T93" s="22" t="n">
        <v>0</v>
      </c>
      <c r="U93" s="21" t="n">
        <v>0</v>
      </c>
      <c r="V93" s="21" t="n">
        <v>0</v>
      </c>
      <c r="W93" t="inlineStr">
        <is>
          <t>Magazyn Zabrze</t>
        </is>
      </c>
      <c r="Y93" t="inlineStr">
        <is>
          <t>Waga 22,380t</t>
        </is>
      </c>
      <c r="Z93" t="inlineStr">
        <is>
          <t>Roesner Mateusz</t>
        </is>
      </c>
      <c r="AA93" s="23" t="n">
        <v>46224.3981712963</v>
      </c>
      <c r="AB93" t="inlineStr">
        <is>
          <t>OP-MIGR-00092</t>
        </is>
      </c>
      <c r="AD93" t="inlineStr">
        <is>
          <t>AKTYWNY</t>
        </is>
      </c>
      <c r="AE93" s="20">
        <f>IF(I93="",0,IF(ISNUMBER(SEARCH("MP",UPPER(J93))),I93,IF(ISNUMBER(SEARCH("TON",UPPER(J93))),I93/Przelicznik_MP_tona,IF(ISNUMBER(SEARCH("M3",UPPER(J93))),I93*Przelicznik_M3_MP,IF(ISNUMBER(SEARCH("GJ",UPPER(J93))),I93/Przelicznik_GJ_tona/Przelicznik_MP_tona,I93)))))</f>
        <v/>
      </c>
      <c r="AF93" s="20">
        <f>IF(I93="",0,IF(ISNUMBER(SEARCH("TON",UPPER(J93))),I93,IF(ISNUMBER(SEARCH("GJ",UPPER(J93))),I93/Przelicznik_GJ_tona,AE93*Przelicznik_MP_tona)))</f>
        <v/>
      </c>
      <c r="AG93" s="20">
        <f>AF93*Przelicznik_GJ_tona</f>
        <v/>
      </c>
      <c r="AH93" s="20">
        <f>IF(UPPER(AD93)="SKORYGOWANY",0,IF(OR(UPPER(E93)="TRANSPORT",UPPER(E93)="MM"),0,IF(UPPER(G93)&lt;&gt;"TAK",0,IF(OR(UPPER(E93)="ZAKUP",UPPER(E93)="PRODUKCJA"),AE93,IF(OR(UPPER(E93)="SPRZEDAŻ",UPPER(E93)="ZUŻYCIE"),-AE93,0)))))</f>
        <v/>
      </c>
      <c r="AI93" s="20">
        <f>IF(UPPER(AD93)="SKORYGOWANY",0,IF(OR(UPPER(E93)="TRANSPORT",UPPER(E93)="MM"),0,IF(UPPER(G93)&lt;&gt;"TAK",0,IF(OR(UPPER(E93)="ZAKUP",UPPER(E93)="PRODUKCJA"),AF93,IF(OR(UPPER(E93)="SPRZEDAŻ",UPPER(E93)="ZUŻYCIE"),-AF93,0)))))</f>
        <v/>
      </c>
      <c r="AJ93" s="21">
        <f>IF(UPPER(AD93)="SKORYGOWANY",0,IF(UPPER(E93)="ZAKUP",IF(L93&lt;&gt;"",L93,I93*K93),0))</f>
        <v/>
      </c>
      <c r="AK93" s="21">
        <f>IF(UPPER(AD93)="SKORYGOWANY",0,IF(UPPER(E93)="SPRZEDAŻ",IF(L93&lt;&gt;"",L93,I93*M93),0))</f>
        <v/>
      </c>
      <c r="AL93" s="21">
        <f>AE93*Q93</f>
        <v/>
      </c>
      <c r="AM93">
        <f>IF(R93="","",IF(LOWER(R93)="brak","Brak",IF(OR(ISNUMBER(SEARCH("własn",LOWER(R93))),ISNUMBER(SEARCH("wlasn",LOWER(R93))),ISNUMBER(SEARCH("wojciechowski",LOWER(R93)))),"Własny","Zewnętrzny")))</f>
        <v/>
      </c>
      <c r="AN93" s="24">
        <f>IF(C93="","",YEAR(C93))</f>
        <v/>
      </c>
      <c r="AO93" s="24">
        <f>IF(C93="","",MONTH(C93))</f>
        <v/>
      </c>
      <c r="AP93">
        <f>IF(C93="","",UPPER(TEXT(C93,"mmmm")))</f>
        <v/>
      </c>
      <c r="AQ93">
        <f>IF(C93="","","Q"&amp;ROUNDUP(MONTH(C93)/3,0))</f>
        <v/>
      </c>
    </row>
    <row r="94">
      <c r="A94" s="19" t="n">
        <v>46223</v>
      </c>
      <c r="C94" s="19" t="n">
        <v>46223</v>
      </c>
      <c r="D94" t="inlineStr">
        <is>
          <t>Lander Agro</t>
        </is>
      </c>
      <c r="E94" t="inlineStr">
        <is>
          <t>ZAKUP</t>
        </is>
      </c>
      <c r="F94" t="inlineStr">
        <is>
          <t>PZ/13/D</t>
        </is>
      </c>
      <c r="G94" t="inlineStr">
        <is>
          <t>TAK</t>
        </is>
      </c>
      <c r="H94" t="inlineStr">
        <is>
          <t>KZR</t>
        </is>
      </c>
      <c r="I94" s="20" t="n">
        <v>28.86</v>
      </c>
      <c r="J94" t="inlineStr">
        <is>
          <t>M3</t>
        </is>
      </c>
      <c r="K94" s="21" t="n">
        <v>230</v>
      </c>
      <c r="L94" s="21" t="n">
        <v>6637.8</v>
      </c>
      <c r="M94" s="21" t="n">
        <v>0</v>
      </c>
      <c r="N94" t="inlineStr">
        <is>
          <t>Drewno opałowe z lasu</t>
        </is>
      </c>
      <c r="Q94" s="21" t="n">
        <v>0</v>
      </c>
      <c r="T94" s="22" t="n">
        <v>0</v>
      </c>
      <c r="U94" s="21" t="n">
        <v>0</v>
      </c>
      <c r="V94" s="21" t="n">
        <v>0</v>
      </c>
      <c r="W94" t="inlineStr">
        <is>
          <t>Magazyn Zabrze</t>
        </is>
      </c>
      <c r="Y94" t="inlineStr">
        <is>
          <t>Waga 22,360t</t>
        </is>
      </c>
      <c r="Z94" t="inlineStr">
        <is>
          <t>Roesner Mateusz</t>
        </is>
      </c>
      <c r="AA94" s="23" t="n">
        <v>46224.40233796297</v>
      </c>
      <c r="AB94" t="inlineStr">
        <is>
          <t>OP-MIGR-00093</t>
        </is>
      </c>
      <c r="AD94" t="inlineStr">
        <is>
          <t>AKTYWNY</t>
        </is>
      </c>
      <c r="AE94" s="20">
        <f>IF(I94="",0,IF(ISNUMBER(SEARCH("MP",UPPER(J94))),I94,IF(ISNUMBER(SEARCH("TON",UPPER(J94))),I94/Przelicznik_MP_tona,IF(ISNUMBER(SEARCH("M3",UPPER(J94))),I94*Przelicznik_M3_MP,IF(ISNUMBER(SEARCH("GJ",UPPER(J94))),I94/Przelicznik_GJ_tona/Przelicznik_MP_tona,I94)))))</f>
        <v/>
      </c>
      <c r="AF94" s="20">
        <f>IF(I94="",0,IF(ISNUMBER(SEARCH("TON",UPPER(J94))),I94,IF(ISNUMBER(SEARCH("GJ",UPPER(J94))),I94/Przelicznik_GJ_tona,AE94*Przelicznik_MP_tona)))</f>
        <v/>
      </c>
      <c r="AG94" s="20">
        <f>AF94*Przelicznik_GJ_tona</f>
        <v/>
      </c>
      <c r="AH94" s="20">
        <f>IF(UPPER(AD94)="SKORYGOWANY",0,IF(OR(UPPER(E94)="TRANSPORT",UPPER(E94)="MM"),0,IF(UPPER(G94)&lt;&gt;"TAK",0,IF(OR(UPPER(E94)="ZAKUP",UPPER(E94)="PRODUKCJA"),AE94,IF(OR(UPPER(E94)="SPRZEDAŻ",UPPER(E94)="ZUŻYCIE"),-AE94,0)))))</f>
        <v/>
      </c>
      <c r="AI94" s="20">
        <f>IF(UPPER(AD94)="SKORYGOWANY",0,IF(OR(UPPER(E94)="TRANSPORT",UPPER(E94)="MM"),0,IF(UPPER(G94)&lt;&gt;"TAK",0,IF(OR(UPPER(E94)="ZAKUP",UPPER(E94)="PRODUKCJA"),AF94,IF(OR(UPPER(E94)="SPRZEDAŻ",UPPER(E94)="ZUŻYCIE"),-AF94,0)))))</f>
        <v/>
      </c>
      <c r="AJ94" s="21">
        <f>IF(UPPER(AD94)="SKORYGOWANY",0,IF(UPPER(E94)="ZAKUP",IF(L94&lt;&gt;"",L94,I94*K94),0))</f>
        <v/>
      </c>
      <c r="AK94" s="21">
        <f>IF(UPPER(AD94)="SKORYGOWANY",0,IF(UPPER(E94)="SPRZEDAŻ",IF(L94&lt;&gt;"",L94,I94*M94),0))</f>
        <v/>
      </c>
      <c r="AL94" s="21">
        <f>AE94*Q94</f>
        <v/>
      </c>
      <c r="AM94">
        <f>IF(R94="","",IF(LOWER(R94)="brak","Brak",IF(OR(ISNUMBER(SEARCH("własn",LOWER(R94))),ISNUMBER(SEARCH("wlasn",LOWER(R94))),ISNUMBER(SEARCH("wojciechowski",LOWER(R94)))),"Własny","Zewnętrzny")))</f>
        <v/>
      </c>
      <c r="AN94" s="24">
        <f>IF(C94="","",YEAR(C94))</f>
        <v/>
      </c>
      <c r="AO94" s="24">
        <f>IF(C94="","",MONTH(C94))</f>
        <v/>
      </c>
      <c r="AP94">
        <f>IF(C94="","",UPPER(TEXT(C94,"mmmm")))</f>
        <v/>
      </c>
      <c r="AQ94">
        <f>IF(C94="","","Q"&amp;ROUNDUP(MONTH(C94)/3,0))</f>
        <v/>
      </c>
    </row>
    <row r="95">
      <c r="A95" s="19" t="n">
        <v>46223</v>
      </c>
      <c r="C95" s="19" t="n">
        <v>46223</v>
      </c>
      <c r="D95" t="inlineStr">
        <is>
          <t>Drewnex</t>
        </is>
      </c>
      <c r="E95" t="inlineStr">
        <is>
          <t>ZAKUP</t>
        </is>
      </c>
      <c r="F95" t="inlineStr">
        <is>
          <t>PZ/17</t>
        </is>
      </c>
      <c r="G95" t="inlineStr">
        <is>
          <t>TAK</t>
        </is>
      </c>
      <c r="H95" t="inlineStr">
        <is>
          <t>KZR</t>
        </is>
      </c>
      <c r="I95" s="20" t="n">
        <v>30.5</v>
      </c>
      <c r="J95" t="inlineStr">
        <is>
          <t>TON</t>
        </is>
      </c>
      <c r="K95" s="21" t="n">
        <v>265</v>
      </c>
      <c r="L95" s="21" t="n">
        <v>8082.5</v>
      </c>
      <c r="M95" s="21" t="n">
        <v>0</v>
      </c>
      <c r="N95" t="inlineStr">
        <is>
          <t>Zrębka towar</t>
        </is>
      </c>
      <c r="O95" t="inlineStr">
        <is>
          <t>B</t>
        </is>
      </c>
      <c r="Q95" s="21" t="n">
        <v>0</v>
      </c>
      <c r="T95" s="22" t="n">
        <v>0</v>
      </c>
      <c r="U95" s="21" t="n">
        <v>0</v>
      </c>
      <c r="V95" s="21" t="n">
        <v>0</v>
      </c>
      <c r="W95" t="inlineStr">
        <is>
          <t>Magazyn Zabrze</t>
        </is>
      </c>
      <c r="Y95" t="inlineStr">
        <is>
          <t>90 MP / Tartaczna</t>
        </is>
      </c>
      <c r="Z95" t="inlineStr">
        <is>
          <t>Roesner Mateusz</t>
        </is>
      </c>
      <c r="AA95" s="23" t="n">
        <v>46224.4050462963</v>
      </c>
      <c r="AB95" t="inlineStr">
        <is>
          <t>OP-MIGR-00094</t>
        </is>
      </c>
      <c r="AD95" t="inlineStr">
        <is>
          <t>AKTYWNY</t>
        </is>
      </c>
      <c r="AE95" s="20">
        <f>IF(I95="",0,IF(ISNUMBER(SEARCH("MP",UPPER(J95))),I95,IF(ISNUMBER(SEARCH("TON",UPPER(J95))),I95/Przelicznik_MP_tona,IF(ISNUMBER(SEARCH("M3",UPPER(J95))),I95*Przelicznik_M3_MP,IF(ISNUMBER(SEARCH("GJ",UPPER(J95))),I95/Przelicznik_GJ_tona/Przelicznik_MP_tona,I95)))))</f>
        <v/>
      </c>
      <c r="AF95" s="20">
        <f>IF(I95="",0,IF(ISNUMBER(SEARCH("TON",UPPER(J95))),I95,IF(ISNUMBER(SEARCH("GJ",UPPER(J95))),I95/Przelicznik_GJ_tona,AE95*Przelicznik_MP_tona)))</f>
        <v/>
      </c>
      <c r="AG95" s="20">
        <f>AF95*Przelicznik_GJ_tona</f>
        <v/>
      </c>
      <c r="AH95" s="20">
        <f>IF(UPPER(AD95)="SKORYGOWANY",0,IF(OR(UPPER(E95)="TRANSPORT",UPPER(E95)="MM"),0,IF(UPPER(G95)&lt;&gt;"TAK",0,IF(OR(UPPER(E95)="ZAKUP",UPPER(E95)="PRODUKCJA"),AE95,IF(OR(UPPER(E95)="SPRZEDAŻ",UPPER(E95)="ZUŻYCIE"),-AE95,0)))))</f>
        <v/>
      </c>
      <c r="AI95" s="20">
        <f>IF(UPPER(AD95)="SKORYGOWANY",0,IF(OR(UPPER(E95)="TRANSPORT",UPPER(E95)="MM"),0,IF(UPPER(G95)&lt;&gt;"TAK",0,IF(OR(UPPER(E95)="ZAKUP",UPPER(E95)="PRODUKCJA"),AF95,IF(OR(UPPER(E95)="SPRZEDAŻ",UPPER(E95)="ZUŻYCIE"),-AF95,0)))))</f>
        <v/>
      </c>
      <c r="AJ95" s="21">
        <f>IF(UPPER(AD95)="SKORYGOWANY",0,IF(UPPER(E95)="ZAKUP",IF(L95&lt;&gt;"",L95,I95*K95),0))</f>
        <v/>
      </c>
      <c r="AK95" s="21">
        <f>IF(UPPER(AD95)="SKORYGOWANY",0,IF(UPPER(E95)="SPRZEDAŻ",IF(L95&lt;&gt;"",L95,I95*M95),0))</f>
        <v/>
      </c>
      <c r="AL95" s="21">
        <f>AE95*Q95</f>
        <v/>
      </c>
      <c r="AM95">
        <f>IF(R95="","",IF(LOWER(R95)="brak","Brak",IF(OR(ISNUMBER(SEARCH("własn",LOWER(R95))),ISNUMBER(SEARCH("wlasn",LOWER(R95))),ISNUMBER(SEARCH("wojciechowski",LOWER(R95)))),"Własny","Zewnętrzny")))</f>
        <v/>
      </c>
      <c r="AN95" s="24">
        <f>IF(C95="","",YEAR(C95))</f>
        <v/>
      </c>
      <c r="AO95" s="24">
        <f>IF(C95="","",MONTH(C95))</f>
        <v/>
      </c>
      <c r="AP95">
        <f>IF(C95="","",UPPER(TEXT(C95,"mmmm")))</f>
        <v/>
      </c>
      <c r="AQ95">
        <f>IF(C95="","","Q"&amp;ROUNDUP(MONTH(C95)/3,0))</f>
        <v/>
      </c>
    </row>
    <row r="96">
      <c r="A96" s="19" t="n">
        <v>46223</v>
      </c>
      <c r="C96" s="19" t="n">
        <v>46223</v>
      </c>
      <c r="D96" t="inlineStr">
        <is>
          <t>Marcin Jamrozik</t>
        </is>
      </c>
      <c r="E96" t="inlineStr">
        <is>
          <t>ZAKUP</t>
        </is>
      </c>
      <c r="F96" t="inlineStr">
        <is>
          <t>PZ/18, PZ/19</t>
        </is>
      </c>
      <c r="G96" t="inlineStr">
        <is>
          <t>NIE</t>
        </is>
      </c>
      <c r="H96" t="inlineStr">
        <is>
          <t>KZR</t>
        </is>
      </c>
      <c r="I96" s="20" t="n">
        <v>178</v>
      </c>
      <c r="J96" t="inlineStr">
        <is>
          <t>MP</t>
        </is>
      </c>
      <c r="K96" s="21" t="n">
        <v>50</v>
      </c>
      <c r="L96" s="21" t="n">
        <v>9000</v>
      </c>
      <c r="M96" s="21" t="n">
        <v>0</v>
      </c>
      <c r="N96" t="inlineStr">
        <is>
          <t>Drewno przemysłowe z wycinek inwest.</t>
        </is>
      </c>
      <c r="O96" t="inlineStr">
        <is>
          <t>B</t>
        </is>
      </c>
      <c r="Q96" s="21" t="n">
        <v>0</v>
      </c>
      <c r="T96" s="22" t="n">
        <v>0</v>
      </c>
      <c r="U96" s="21" t="n">
        <v>0</v>
      </c>
      <c r="V96" s="21" t="n">
        <v>0</v>
      </c>
      <c r="W96" t="inlineStr">
        <is>
          <t>Magazyn Zabrze</t>
        </is>
      </c>
      <c r="Z96" t="inlineStr">
        <is>
          <t>Roesner Mateusz</t>
        </is>
      </c>
      <c r="AA96" s="23" t="n">
        <v>46224.45534722223</v>
      </c>
      <c r="AB96" t="inlineStr">
        <is>
          <t>OP-MIGR-00095</t>
        </is>
      </c>
      <c r="AD96" t="inlineStr">
        <is>
          <t>AKTYWNY</t>
        </is>
      </c>
      <c r="AE96" s="20">
        <f>IF(I96="",0,IF(ISNUMBER(SEARCH("MP",UPPER(J96))),I96,IF(ISNUMBER(SEARCH("TON",UPPER(J96))),I96/Przelicznik_MP_tona,IF(ISNUMBER(SEARCH("M3",UPPER(J96))),I96*Przelicznik_M3_MP,IF(ISNUMBER(SEARCH("GJ",UPPER(J96))),I96/Przelicznik_GJ_tona/Przelicznik_MP_tona,I96)))))</f>
        <v/>
      </c>
      <c r="AF96" s="20">
        <f>IF(I96="",0,IF(ISNUMBER(SEARCH("TON",UPPER(J96))),I96,IF(ISNUMBER(SEARCH("GJ",UPPER(J96))),I96/Przelicznik_GJ_tona,AE96*Przelicznik_MP_tona)))</f>
        <v/>
      </c>
      <c r="AG96" s="20">
        <f>AF96*Przelicznik_GJ_tona</f>
        <v/>
      </c>
      <c r="AH96" s="20">
        <f>IF(UPPER(AD96)="SKORYGOWANY",0,IF(OR(UPPER(E96)="TRANSPORT",UPPER(E96)="MM"),0,IF(UPPER(G96)&lt;&gt;"TAK",0,IF(OR(UPPER(E96)="ZAKUP",UPPER(E96)="PRODUKCJA"),AE96,IF(OR(UPPER(E96)="SPRZEDAŻ",UPPER(E96)="ZUŻYCIE"),-AE96,0)))))</f>
        <v/>
      </c>
      <c r="AI96" s="20">
        <f>IF(UPPER(AD96)="SKORYGOWANY",0,IF(OR(UPPER(E96)="TRANSPORT",UPPER(E96)="MM"),0,IF(UPPER(G96)&lt;&gt;"TAK",0,IF(OR(UPPER(E96)="ZAKUP",UPPER(E96)="PRODUKCJA"),AF96,IF(OR(UPPER(E96)="SPRZEDAŻ",UPPER(E96)="ZUŻYCIE"),-AF96,0)))))</f>
        <v/>
      </c>
      <c r="AJ96" s="21">
        <f>IF(UPPER(AD96)="SKORYGOWANY",0,IF(UPPER(E96)="ZAKUP",IF(L96&lt;&gt;"",L96,I96*K96),0))</f>
        <v/>
      </c>
      <c r="AK96" s="21">
        <f>IF(UPPER(AD96)="SKORYGOWANY",0,IF(UPPER(E96)="SPRZEDAŻ",IF(L96&lt;&gt;"",L96,I96*M96),0))</f>
        <v/>
      </c>
      <c r="AL96" s="21">
        <f>AE96*Q96</f>
        <v/>
      </c>
      <c r="AM96">
        <f>IF(R96="","",IF(LOWER(R96)="brak","Brak",IF(OR(ISNUMBER(SEARCH("własn",LOWER(R96))),ISNUMBER(SEARCH("wlasn",LOWER(R96))),ISNUMBER(SEARCH("wojciechowski",LOWER(R96)))),"Własny","Zewnętrzny")))</f>
        <v/>
      </c>
      <c r="AN96" s="24">
        <f>IF(C96="","",YEAR(C96))</f>
        <v/>
      </c>
      <c r="AO96" s="24">
        <f>IF(C96="","",MONTH(C96))</f>
        <v/>
      </c>
      <c r="AP96">
        <f>IF(C96="","",UPPER(TEXT(C96,"mmmm")))</f>
        <v/>
      </c>
      <c r="AQ96">
        <f>IF(C96="","","Q"&amp;ROUNDUP(MONTH(C96)/3,0))</f>
        <v/>
      </c>
    </row>
    <row r="97">
      <c r="A97" s="19" t="n">
        <v>46223</v>
      </c>
      <c r="C97" s="19" t="n">
        <v>46223</v>
      </c>
      <c r="D97" t="inlineStr">
        <is>
          <t>Magazyn Zabrze</t>
        </is>
      </c>
      <c r="E97" t="inlineStr">
        <is>
          <t>PRODUKCJA</t>
        </is>
      </c>
      <c r="F97" t="inlineStr">
        <is>
          <t>PZ/18</t>
        </is>
      </c>
      <c r="G97" t="inlineStr">
        <is>
          <t>TAK</t>
        </is>
      </c>
      <c r="H97" t="inlineStr">
        <is>
          <t>KZR</t>
        </is>
      </c>
      <c r="I97" s="20" t="n">
        <v>89</v>
      </c>
      <c r="J97" t="inlineStr">
        <is>
          <t>MP</t>
        </is>
      </c>
      <c r="K97" s="21" t="n">
        <v>0</v>
      </c>
      <c r="L97" s="21" t="n">
        <v>0</v>
      </c>
      <c r="M97" s="21" t="n">
        <v>0</v>
      </c>
      <c r="N97" t="inlineStr">
        <is>
          <t>Zrębka Produkcyjna Inwestycyjna</t>
        </is>
      </c>
      <c r="O97" t="inlineStr">
        <is>
          <t>B</t>
        </is>
      </c>
      <c r="P97" t="inlineStr">
        <is>
          <t>własne</t>
        </is>
      </c>
      <c r="Q97" s="21" t="n">
        <v>10</v>
      </c>
      <c r="T97" s="22" t="n">
        <v>0</v>
      </c>
      <c r="U97" s="21" t="n">
        <v>0</v>
      </c>
      <c r="V97" s="21" t="n">
        <v>0</v>
      </c>
      <c r="W97" t="inlineStr">
        <is>
          <t>Magazyn Zabrze</t>
        </is>
      </c>
      <c r="Z97" t="inlineStr">
        <is>
          <t>Roesner Mateusz</t>
        </is>
      </c>
      <c r="AA97" s="23" t="n">
        <v>46224.45847222222</v>
      </c>
      <c r="AB97" t="inlineStr">
        <is>
          <t>OP-MIGR-00096</t>
        </is>
      </c>
      <c r="AD97" t="inlineStr">
        <is>
          <t>AKTYWNY</t>
        </is>
      </c>
      <c r="AE97" s="20">
        <f>IF(I97="",0,IF(ISNUMBER(SEARCH("MP",UPPER(J97))),I97,IF(ISNUMBER(SEARCH("TON",UPPER(J97))),I97/Przelicznik_MP_tona,IF(ISNUMBER(SEARCH("M3",UPPER(J97))),I97*Przelicznik_M3_MP,IF(ISNUMBER(SEARCH("GJ",UPPER(J97))),I97/Przelicznik_GJ_tona/Przelicznik_MP_tona,I97)))))</f>
        <v/>
      </c>
      <c r="AF97" s="20">
        <f>IF(I97="",0,IF(ISNUMBER(SEARCH("TON",UPPER(J97))),I97,IF(ISNUMBER(SEARCH("GJ",UPPER(J97))),I97/Przelicznik_GJ_tona,AE97*Przelicznik_MP_tona)))</f>
        <v/>
      </c>
      <c r="AG97" s="20">
        <f>AF97*Przelicznik_GJ_tona</f>
        <v/>
      </c>
      <c r="AH97" s="20">
        <f>IF(UPPER(AD97)="SKORYGOWANY",0,IF(OR(UPPER(E97)="TRANSPORT",UPPER(E97)="MM"),0,IF(UPPER(G97)&lt;&gt;"TAK",0,IF(OR(UPPER(E97)="ZAKUP",UPPER(E97)="PRODUKCJA"),AE97,IF(OR(UPPER(E97)="SPRZEDAŻ",UPPER(E97)="ZUŻYCIE"),-AE97,0)))))</f>
        <v/>
      </c>
      <c r="AI97" s="20">
        <f>IF(UPPER(AD97)="SKORYGOWANY",0,IF(OR(UPPER(E97)="TRANSPORT",UPPER(E97)="MM"),0,IF(UPPER(G97)&lt;&gt;"TAK",0,IF(OR(UPPER(E97)="ZAKUP",UPPER(E97)="PRODUKCJA"),AF97,IF(OR(UPPER(E97)="SPRZEDAŻ",UPPER(E97)="ZUŻYCIE"),-AF97,0)))))</f>
        <v/>
      </c>
      <c r="AJ97" s="21">
        <f>IF(UPPER(AD97)="SKORYGOWANY",0,IF(UPPER(E97)="ZAKUP",IF(L97&lt;&gt;"",L97,I97*K97),0))</f>
        <v/>
      </c>
      <c r="AK97" s="21">
        <f>IF(UPPER(AD97)="SKORYGOWANY",0,IF(UPPER(E97)="SPRZEDAŻ",IF(L97&lt;&gt;"",L97,I97*M97),0))</f>
        <v/>
      </c>
      <c r="AL97" s="21">
        <f>AE97*Q97</f>
        <v/>
      </c>
      <c r="AM97">
        <f>IF(R97="","",IF(LOWER(R97)="brak","Brak",IF(OR(ISNUMBER(SEARCH("własn",LOWER(R97))),ISNUMBER(SEARCH("wlasn",LOWER(R97))),ISNUMBER(SEARCH("wojciechowski",LOWER(R97)))),"Własny","Zewnętrzny")))</f>
        <v/>
      </c>
      <c r="AN97" s="24">
        <f>IF(C97="","",YEAR(C97))</f>
        <v/>
      </c>
      <c r="AO97" s="24">
        <f>IF(C97="","",MONTH(C97))</f>
        <v/>
      </c>
      <c r="AP97">
        <f>IF(C97="","",UPPER(TEXT(C97,"mmmm")))</f>
        <v/>
      </c>
      <c r="AQ97">
        <f>IF(C97="","","Q"&amp;ROUNDUP(MONTH(C97)/3,0))</f>
        <v/>
      </c>
    </row>
    <row r="98">
      <c r="A98" s="19" t="n">
        <v>46223</v>
      </c>
      <c r="C98" s="19" t="n">
        <v>46223</v>
      </c>
      <c r="D98" t="inlineStr">
        <is>
          <t>Magazyn Zabrze</t>
        </is>
      </c>
      <c r="E98" t="inlineStr">
        <is>
          <t>ZUŻYCIE</t>
        </is>
      </c>
      <c r="F98" t="inlineStr">
        <is>
          <t>PZ/18</t>
        </is>
      </c>
      <c r="G98" t="inlineStr">
        <is>
          <t>TAK</t>
        </is>
      </c>
      <c r="H98" t="inlineStr">
        <is>
          <t>KZR</t>
        </is>
      </c>
      <c r="I98" s="20" t="n">
        <v>89</v>
      </c>
      <c r="J98" t="inlineStr">
        <is>
          <t>MP</t>
        </is>
      </c>
      <c r="K98" s="21" t="n">
        <v>0</v>
      </c>
      <c r="L98" s="21" t="n">
        <v>0</v>
      </c>
      <c r="M98" s="21" t="n">
        <v>0</v>
      </c>
      <c r="N98" t="inlineStr">
        <is>
          <t>Zrębka Produkcyjna Inwestycyjna</t>
        </is>
      </c>
      <c r="O98" t="inlineStr">
        <is>
          <t>B</t>
        </is>
      </c>
      <c r="P98" t="inlineStr">
        <is>
          <t>własne</t>
        </is>
      </c>
      <c r="Q98" s="21" t="n">
        <v>10</v>
      </c>
      <c r="T98" s="22" t="n">
        <v>0</v>
      </c>
      <c r="U98" s="21" t="n">
        <v>0</v>
      </c>
      <c r="V98" s="21" t="n">
        <v>0</v>
      </c>
      <c r="W98" t="inlineStr">
        <is>
          <t>Magazyn Zabrze</t>
        </is>
      </c>
      <c r="Y98" t="inlineStr">
        <is>
          <t>Automatyczne zużycie surowca do produkcji</t>
        </is>
      </c>
      <c r="AA98" s="23" t="n">
        <v>46224.4584837963</v>
      </c>
      <c r="AB98" t="inlineStr">
        <is>
          <t>OP-MIGR-00097</t>
        </is>
      </c>
      <c r="AD98" t="inlineStr">
        <is>
          <t>AKTYWNY</t>
        </is>
      </c>
      <c r="AE98" s="20">
        <f>IF(I98="",0,IF(ISNUMBER(SEARCH("MP",UPPER(J98))),I98,IF(ISNUMBER(SEARCH("TON",UPPER(J98))),I98/Przelicznik_MP_tona,IF(ISNUMBER(SEARCH("M3",UPPER(J98))),I98*Przelicznik_M3_MP,IF(ISNUMBER(SEARCH("GJ",UPPER(J98))),I98/Przelicznik_GJ_tona/Przelicznik_MP_tona,I98)))))</f>
        <v/>
      </c>
      <c r="AF98" s="20">
        <f>IF(I98="",0,IF(ISNUMBER(SEARCH("TON",UPPER(J98))),I98,IF(ISNUMBER(SEARCH("GJ",UPPER(J98))),I98/Przelicznik_GJ_tona,AE98*Przelicznik_MP_tona)))</f>
        <v/>
      </c>
      <c r="AG98" s="20">
        <f>AF98*Przelicznik_GJ_tona</f>
        <v/>
      </c>
      <c r="AH98" s="20">
        <f>IF(UPPER(AD98)="SKORYGOWANY",0,IF(OR(UPPER(E98)="TRANSPORT",UPPER(E98)="MM"),0,IF(UPPER(G98)&lt;&gt;"TAK",0,IF(OR(UPPER(E98)="ZAKUP",UPPER(E98)="PRODUKCJA"),AE98,IF(OR(UPPER(E98)="SPRZEDAŻ",UPPER(E98)="ZUŻYCIE"),-AE98,0)))))</f>
        <v/>
      </c>
      <c r="AI98" s="20">
        <f>IF(UPPER(AD98)="SKORYGOWANY",0,IF(OR(UPPER(E98)="TRANSPORT",UPPER(E98)="MM"),0,IF(UPPER(G98)&lt;&gt;"TAK",0,IF(OR(UPPER(E98)="ZAKUP",UPPER(E98)="PRODUKCJA"),AF98,IF(OR(UPPER(E98)="SPRZEDAŻ",UPPER(E98)="ZUŻYCIE"),-AF98,0)))))</f>
        <v/>
      </c>
      <c r="AJ98" s="21">
        <f>IF(UPPER(AD98)="SKORYGOWANY",0,IF(UPPER(E98)="ZAKUP",IF(L98&lt;&gt;"",L98,I98*K98),0))</f>
        <v/>
      </c>
      <c r="AK98" s="21">
        <f>IF(UPPER(AD98)="SKORYGOWANY",0,IF(UPPER(E98)="SPRZEDAŻ",IF(L98&lt;&gt;"",L98,I98*M98),0))</f>
        <v/>
      </c>
      <c r="AL98" s="21">
        <f>AE98*Q98</f>
        <v/>
      </c>
      <c r="AM98">
        <f>IF(R98="","",IF(LOWER(R98)="brak","Brak",IF(OR(ISNUMBER(SEARCH("własn",LOWER(R98))),ISNUMBER(SEARCH("wlasn",LOWER(R98))),ISNUMBER(SEARCH("wojciechowski",LOWER(R98)))),"Własny","Zewnętrzny")))</f>
        <v/>
      </c>
      <c r="AN98" s="24">
        <f>IF(C98="","",YEAR(C98))</f>
        <v/>
      </c>
      <c r="AO98" s="24">
        <f>IF(C98="","",MONTH(C98))</f>
        <v/>
      </c>
      <c r="AP98">
        <f>IF(C98="","",UPPER(TEXT(C98,"mmmm")))</f>
        <v/>
      </c>
      <c r="AQ98">
        <f>IF(C98="","","Q"&amp;ROUNDUP(MONTH(C98)/3,0))</f>
        <v/>
      </c>
    </row>
    <row r="99">
      <c r="A99" s="19" t="n">
        <v>46223</v>
      </c>
      <c r="B99" t="inlineStr">
        <is>
          <t>Koniecpol</t>
        </is>
      </c>
      <c r="C99" s="19" t="n">
        <v>46223</v>
      </c>
      <c r="D99" t="inlineStr">
        <is>
          <t>Magazyn Zabrze</t>
        </is>
      </c>
      <c r="E99" t="inlineStr">
        <is>
          <t>ZAKUP</t>
        </is>
      </c>
      <c r="F99" t="inlineStr">
        <is>
          <t>PZ/18</t>
        </is>
      </c>
      <c r="G99" t="inlineStr">
        <is>
          <t>TAK</t>
        </is>
      </c>
      <c r="H99" t="inlineStr">
        <is>
          <t>KZR</t>
        </is>
      </c>
      <c r="I99" s="20" t="n">
        <v>89</v>
      </c>
      <c r="J99" t="inlineStr">
        <is>
          <t>MP</t>
        </is>
      </c>
      <c r="K99" s="21" t="n">
        <v>0</v>
      </c>
      <c r="L99" s="21" t="n">
        <v>0</v>
      </c>
      <c r="M99" s="21" t="n">
        <v>0</v>
      </c>
      <c r="N99" t="inlineStr">
        <is>
          <t>Zrębka Produkcyjna Inwestycyjna</t>
        </is>
      </c>
      <c r="O99" t="inlineStr">
        <is>
          <t>B</t>
        </is>
      </c>
      <c r="Q99" s="21" t="n">
        <v>0</v>
      </c>
      <c r="R99" t="inlineStr">
        <is>
          <t>własny (Wilczak)</t>
        </is>
      </c>
      <c r="S99" t="inlineStr">
        <is>
          <t>SK 7J884</t>
        </is>
      </c>
      <c r="T99" s="22" t="n">
        <v>120</v>
      </c>
      <c r="U99" s="21" t="n">
        <v>5</v>
      </c>
      <c r="V99" s="21" t="n">
        <v>600</v>
      </c>
      <c r="W99" t="inlineStr">
        <is>
          <t>Magazyn Zabrze</t>
        </is>
      </c>
      <c r="Z99" t="inlineStr">
        <is>
          <t>Roesner Mateusz</t>
        </is>
      </c>
      <c r="AA99" s="23" t="n">
        <v>46224.73023148148</v>
      </c>
      <c r="AB99" t="inlineStr">
        <is>
          <t>OP-MIGR-00098</t>
        </is>
      </c>
      <c r="AD99" t="inlineStr">
        <is>
          <t>AKTYWNY</t>
        </is>
      </c>
      <c r="AE99" s="20">
        <f>IF(I99="",0,IF(ISNUMBER(SEARCH("MP",UPPER(J99))),I99,IF(ISNUMBER(SEARCH("TON",UPPER(J99))),I99/Przelicznik_MP_tona,IF(ISNUMBER(SEARCH("M3",UPPER(J99))),I99*Przelicznik_M3_MP,IF(ISNUMBER(SEARCH("GJ",UPPER(J99))),I99/Przelicznik_GJ_tona/Przelicznik_MP_tona,I99)))))</f>
        <v/>
      </c>
      <c r="AF99" s="20">
        <f>IF(I99="",0,IF(ISNUMBER(SEARCH("TON",UPPER(J99))),I99,IF(ISNUMBER(SEARCH("GJ",UPPER(J99))),I99/Przelicznik_GJ_tona,AE99*Przelicznik_MP_tona)))</f>
        <v/>
      </c>
      <c r="AG99" s="20">
        <f>AF99*Przelicznik_GJ_tona</f>
        <v/>
      </c>
      <c r="AH99" s="20">
        <f>IF(UPPER(AD99)="SKORYGOWANY",0,IF(OR(UPPER(E99)="TRANSPORT",UPPER(E99)="MM"),0,IF(UPPER(G99)&lt;&gt;"TAK",0,IF(OR(UPPER(E99)="ZAKUP",UPPER(E99)="PRODUKCJA"),AE99,IF(OR(UPPER(E99)="SPRZEDAŻ",UPPER(E99)="ZUŻYCIE"),-AE99,0)))))</f>
        <v/>
      </c>
      <c r="AI99" s="20">
        <f>IF(UPPER(AD99)="SKORYGOWANY",0,IF(OR(UPPER(E99)="TRANSPORT",UPPER(E99)="MM"),0,IF(UPPER(G99)&lt;&gt;"TAK",0,IF(OR(UPPER(E99)="ZAKUP",UPPER(E99)="PRODUKCJA"),AF99,IF(OR(UPPER(E99)="SPRZEDAŻ",UPPER(E99)="ZUŻYCIE"),-AF99,0)))))</f>
        <v/>
      </c>
      <c r="AJ99" s="21">
        <f>IF(UPPER(AD99)="SKORYGOWANY",0,IF(UPPER(E99)="ZAKUP",IF(L99&lt;&gt;"",L99,I99*K99),0))</f>
        <v/>
      </c>
      <c r="AK99" s="21">
        <f>IF(UPPER(AD99)="SKORYGOWANY",0,IF(UPPER(E99)="SPRZEDAŻ",IF(L99&lt;&gt;"",L99,I99*M99),0))</f>
        <v/>
      </c>
      <c r="AL99" s="21">
        <f>AE99*Q99</f>
        <v/>
      </c>
      <c r="AM99">
        <f>IF(R99="","",IF(LOWER(R99)="brak","Brak",IF(OR(ISNUMBER(SEARCH("własn",LOWER(R99))),ISNUMBER(SEARCH("wlasn",LOWER(R99))),ISNUMBER(SEARCH("wojciechowski",LOWER(R99)))),"Własny","Zewnętrzny")))</f>
        <v/>
      </c>
      <c r="AN99" s="24">
        <f>IF(C99="","",YEAR(C99))</f>
        <v/>
      </c>
      <c r="AO99" s="24">
        <f>IF(C99="","",MONTH(C99))</f>
        <v/>
      </c>
      <c r="AP99">
        <f>IF(C99="","",UPPER(TEXT(C99,"mmmm")))</f>
        <v/>
      </c>
      <c r="AQ99">
        <f>IF(C99="","","Q"&amp;ROUNDUP(MONTH(C99)/3,0))</f>
        <v/>
      </c>
    </row>
    <row r="100">
      <c r="A100" s="19" t="n">
        <v>46223</v>
      </c>
      <c r="C100" s="19" t="n">
        <v>46223</v>
      </c>
      <c r="D100" t="inlineStr">
        <is>
          <t>Magazyn Zabrze</t>
        </is>
      </c>
      <c r="E100" t="inlineStr">
        <is>
          <t>PRODUKCJA</t>
        </is>
      </c>
      <c r="F100" t="inlineStr">
        <is>
          <t>PZ/19</t>
        </is>
      </c>
      <c r="G100" t="inlineStr">
        <is>
          <t>TAK</t>
        </is>
      </c>
      <c r="H100" t="inlineStr">
        <is>
          <t>KZR</t>
        </is>
      </c>
      <c r="I100" s="20" t="n">
        <v>89</v>
      </c>
      <c r="J100" t="inlineStr">
        <is>
          <t>MP</t>
        </is>
      </c>
      <c r="K100" s="21" t="n">
        <v>0</v>
      </c>
      <c r="L100" s="21" t="n">
        <v>0</v>
      </c>
      <c r="M100" s="21" t="n">
        <v>0</v>
      </c>
      <c r="N100" t="inlineStr">
        <is>
          <t>Zrębka Produkcyjna Inwestycyjna</t>
        </is>
      </c>
      <c r="O100" t="inlineStr">
        <is>
          <t>B</t>
        </is>
      </c>
      <c r="P100" t="inlineStr">
        <is>
          <t>własne</t>
        </is>
      </c>
      <c r="Q100" s="21" t="n">
        <v>10</v>
      </c>
      <c r="T100" s="22" t="n">
        <v>0</v>
      </c>
      <c r="U100" s="21" t="n">
        <v>0</v>
      </c>
      <c r="V100" s="21" t="n">
        <v>0</v>
      </c>
      <c r="W100" t="inlineStr">
        <is>
          <t>Magazyn Zabrze</t>
        </is>
      </c>
      <c r="Z100" t="inlineStr">
        <is>
          <t>Roesner Mateusz</t>
        </is>
      </c>
      <c r="AA100" s="23" t="n">
        <v>46224.93527777777</v>
      </c>
      <c r="AB100" t="inlineStr">
        <is>
          <t>OP-MIGR-00099</t>
        </is>
      </c>
      <c r="AD100" t="inlineStr">
        <is>
          <t>AKTYWNY</t>
        </is>
      </c>
      <c r="AE100" s="20">
        <f>IF(I100="",0,IF(ISNUMBER(SEARCH("MP",UPPER(J100))),I100,IF(ISNUMBER(SEARCH("TON",UPPER(J100))),I100/Przelicznik_MP_tona,IF(ISNUMBER(SEARCH("M3",UPPER(J100))),I100*Przelicznik_M3_MP,IF(ISNUMBER(SEARCH("GJ",UPPER(J100))),I100/Przelicznik_GJ_tona/Przelicznik_MP_tona,I100)))))</f>
        <v/>
      </c>
      <c r="AF100" s="20">
        <f>IF(I100="",0,IF(ISNUMBER(SEARCH("TON",UPPER(J100))),I100,IF(ISNUMBER(SEARCH("GJ",UPPER(J100))),I100/Przelicznik_GJ_tona,AE100*Przelicznik_MP_tona)))</f>
        <v/>
      </c>
      <c r="AG100" s="20">
        <f>AF100*Przelicznik_GJ_tona</f>
        <v/>
      </c>
      <c r="AH100" s="20">
        <f>IF(UPPER(AD100)="SKORYGOWANY",0,IF(OR(UPPER(E100)="TRANSPORT",UPPER(E100)="MM"),0,IF(UPPER(G100)&lt;&gt;"TAK",0,IF(OR(UPPER(E100)="ZAKUP",UPPER(E100)="PRODUKCJA"),AE100,IF(OR(UPPER(E100)="SPRZEDAŻ",UPPER(E100)="ZUŻYCIE"),-AE100,0)))))</f>
        <v/>
      </c>
      <c r="AI100" s="20">
        <f>IF(UPPER(AD100)="SKORYGOWANY",0,IF(OR(UPPER(E100)="TRANSPORT",UPPER(E100)="MM"),0,IF(UPPER(G100)&lt;&gt;"TAK",0,IF(OR(UPPER(E100)="ZAKUP",UPPER(E100)="PRODUKCJA"),AF100,IF(OR(UPPER(E100)="SPRZEDAŻ",UPPER(E100)="ZUŻYCIE"),-AF100,0)))))</f>
        <v/>
      </c>
      <c r="AJ100" s="21">
        <f>IF(UPPER(AD100)="SKORYGOWANY",0,IF(UPPER(E100)="ZAKUP",IF(L100&lt;&gt;"",L100,I100*K100),0))</f>
        <v/>
      </c>
      <c r="AK100" s="21">
        <f>IF(UPPER(AD100)="SKORYGOWANY",0,IF(UPPER(E100)="SPRZEDAŻ",IF(L100&lt;&gt;"",L100,I100*M100),0))</f>
        <v/>
      </c>
      <c r="AL100" s="21">
        <f>AE100*Q100</f>
        <v/>
      </c>
      <c r="AM100">
        <f>IF(R100="","",IF(LOWER(R100)="brak","Brak",IF(OR(ISNUMBER(SEARCH("własn",LOWER(R100))),ISNUMBER(SEARCH("wlasn",LOWER(R100))),ISNUMBER(SEARCH("wojciechowski",LOWER(R100)))),"Własny","Zewnętrzny")))</f>
        <v/>
      </c>
      <c r="AN100" s="24">
        <f>IF(C100="","",YEAR(C100))</f>
        <v/>
      </c>
      <c r="AO100" s="24">
        <f>IF(C100="","",MONTH(C100))</f>
        <v/>
      </c>
      <c r="AP100">
        <f>IF(C100="","",UPPER(TEXT(C100,"mmmm")))</f>
        <v/>
      </c>
      <c r="AQ100">
        <f>IF(C100="","","Q"&amp;ROUNDUP(MONTH(C100)/3,0))</f>
        <v/>
      </c>
    </row>
    <row r="101">
      <c r="A101" s="19" t="n">
        <v>46223</v>
      </c>
      <c r="C101" s="19" t="n">
        <v>46223</v>
      </c>
      <c r="D101" t="inlineStr">
        <is>
          <t>Magazyn Zabrze</t>
        </is>
      </c>
      <c r="E101" t="inlineStr">
        <is>
          <t>ZUŻYCIE</t>
        </is>
      </c>
      <c r="F101" t="inlineStr">
        <is>
          <t>PZ/19</t>
        </is>
      </c>
      <c r="G101" t="inlineStr">
        <is>
          <t>TAK</t>
        </is>
      </c>
      <c r="H101" t="inlineStr">
        <is>
          <t>KZR</t>
        </is>
      </c>
      <c r="I101" s="20" t="n">
        <v>89</v>
      </c>
      <c r="J101" t="inlineStr">
        <is>
          <t>MP</t>
        </is>
      </c>
      <c r="K101" s="21" t="n">
        <v>0</v>
      </c>
      <c r="L101" s="21" t="n">
        <v>0</v>
      </c>
      <c r="M101" s="21" t="n">
        <v>0</v>
      </c>
      <c r="N101" t="inlineStr">
        <is>
          <t>Zrębka Produkcyjna Inwestycyjna</t>
        </is>
      </c>
      <c r="O101" t="inlineStr">
        <is>
          <t>B</t>
        </is>
      </c>
      <c r="P101" t="inlineStr">
        <is>
          <t>własne</t>
        </is>
      </c>
      <c r="Q101" s="21" t="n">
        <v>10</v>
      </c>
      <c r="T101" s="22" t="n">
        <v>0</v>
      </c>
      <c r="U101" s="21" t="n">
        <v>0</v>
      </c>
      <c r="V101" s="21" t="n">
        <v>0</v>
      </c>
      <c r="W101" t="inlineStr">
        <is>
          <t>Magazyn Zabrze</t>
        </is>
      </c>
      <c r="Y101" t="inlineStr">
        <is>
          <t>Automatyczne zużycie surowca do produkcji</t>
        </is>
      </c>
      <c r="AA101" s="23" t="n">
        <v>46224.93527777777</v>
      </c>
      <c r="AB101" t="inlineStr">
        <is>
          <t>OP-MIGR-00100</t>
        </is>
      </c>
      <c r="AD101" t="inlineStr">
        <is>
          <t>AKTYWNY</t>
        </is>
      </c>
      <c r="AE101" s="20">
        <f>IF(I101="",0,IF(ISNUMBER(SEARCH("MP",UPPER(J101))),I101,IF(ISNUMBER(SEARCH("TON",UPPER(J101))),I101/Przelicznik_MP_tona,IF(ISNUMBER(SEARCH("M3",UPPER(J101))),I101*Przelicznik_M3_MP,IF(ISNUMBER(SEARCH("GJ",UPPER(J101))),I101/Przelicznik_GJ_tona/Przelicznik_MP_tona,I101)))))</f>
        <v/>
      </c>
      <c r="AF101" s="20">
        <f>IF(I101="",0,IF(ISNUMBER(SEARCH("TON",UPPER(J101))),I101,IF(ISNUMBER(SEARCH("GJ",UPPER(J101))),I101/Przelicznik_GJ_tona,AE101*Przelicznik_MP_tona)))</f>
        <v/>
      </c>
      <c r="AG101" s="20">
        <f>AF101*Przelicznik_GJ_tona</f>
        <v/>
      </c>
      <c r="AH101" s="20">
        <f>IF(UPPER(AD101)="SKORYGOWANY",0,IF(OR(UPPER(E101)="TRANSPORT",UPPER(E101)="MM"),0,IF(UPPER(G101)&lt;&gt;"TAK",0,IF(OR(UPPER(E101)="ZAKUP",UPPER(E101)="PRODUKCJA"),AE101,IF(OR(UPPER(E101)="SPRZEDAŻ",UPPER(E101)="ZUŻYCIE"),-AE101,0)))))</f>
        <v/>
      </c>
      <c r="AI101" s="20">
        <f>IF(UPPER(AD101)="SKORYGOWANY",0,IF(OR(UPPER(E101)="TRANSPORT",UPPER(E101)="MM"),0,IF(UPPER(G101)&lt;&gt;"TAK",0,IF(OR(UPPER(E101)="ZAKUP",UPPER(E101)="PRODUKCJA"),AF101,IF(OR(UPPER(E101)="SPRZEDAŻ",UPPER(E101)="ZUŻYCIE"),-AF101,0)))))</f>
        <v/>
      </c>
      <c r="AJ101" s="21">
        <f>IF(UPPER(AD101)="SKORYGOWANY",0,IF(UPPER(E101)="ZAKUP",IF(L101&lt;&gt;"",L101,I101*K101),0))</f>
        <v/>
      </c>
      <c r="AK101" s="21">
        <f>IF(UPPER(AD101)="SKORYGOWANY",0,IF(UPPER(E101)="SPRZEDAŻ",IF(L101&lt;&gt;"",L101,I101*M101),0))</f>
        <v/>
      </c>
      <c r="AL101" s="21">
        <f>AE101*Q101</f>
        <v/>
      </c>
      <c r="AM101">
        <f>IF(R101="","",IF(LOWER(R101)="brak","Brak",IF(OR(ISNUMBER(SEARCH("własn",LOWER(R101))),ISNUMBER(SEARCH("wlasn",LOWER(R101))),ISNUMBER(SEARCH("wojciechowski",LOWER(R101)))),"Własny","Zewnętrzny")))</f>
        <v/>
      </c>
      <c r="AN101" s="24">
        <f>IF(C101="","",YEAR(C101))</f>
        <v/>
      </c>
      <c r="AO101" s="24">
        <f>IF(C101="","",MONTH(C101))</f>
        <v/>
      </c>
      <c r="AP101">
        <f>IF(C101="","",UPPER(TEXT(C101,"mmmm")))</f>
        <v/>
      </c>
      <c r="AQ101">
        <f>IF(C101="","","Q"&amp;ROUNDUP(MONTH(C101)/3,0))</f>
        <v/>
      </c>
    </row>
    <row r="102">
      <c r="A102" s="19" t="n">
        <v>46223</v>
      </c>
      <c r="B102" t="inlineStr">
        <is>
          <t>Koniecpol</t>
        </is>
      </c>
      <c r="C102" s="19" t="n">
        <v>46223</v>
      </c>
      <c r="D102" t="inlineStr">
        <is>
          <t>Magazyn Zabrze</t>
        </is>
      </c>
      <c r="E102" t="inlineStr">
        <is>
          <t>ZAKUP</t>
        </is>
      </c>
      <c r="F102" t="inlineStr">
        <is>
          <t>PZ/19</t>
        </is>
      </c>
      <c r="G102" t="inlineStr">
        <is>
          <t>TAK</t>
        </is>
      </c>
      <c r="H102" t="inlineStr">
        <is>
          <t>KZR</t>
        </is>
      </c>
      <c r="I102" s="20" t="n">
        <v>89</v>
      </c>
      <c r="J102" t="inlineStr">
        <is>
          <t>MP</t>
        </is>
      </c>
      <c r="K102" s="21" t="n">
        <v>0</v>
      </c>
      <c r="L102" s="21" t="n">
        <v>0</v>
      </c>
      <c r="M102" s="21" t="n">
        <v>0</v>
      </c>
      <c r="N102" t="inlineStr">
        <is>
          <t>Zrębka Produkcyjna Inwestycyjna</t>
        </is>
      </c>
      <c r="O102" t="inlineStr">
        <is>
          <t>B</t>
        </is>
      </c>
      <c r="Q102" s="21" t="n">
        <v>0</v>
      </c>
      <c r="R102" t="inlineStr">
        <is>
          <t>własny (Kretek)</t>
        </is>
      </c>
      <c r="S102" t="inlineStr">
        <is>
          <t>SK 7J885</t>
        </is>
      </c>
      <c r="T102" s="22" t="n">
        <v>120</v>
      </c>
      <c r="U102" s="21" t="n">
        <v>5</v>
      </c>
      <c r="V102" s="21" t="n">
        <v>600</v>
      </c>
      <c r="W102" t="inlineStr">
        <is>
          <t>Magazyn Zabrze</t>
        </is>
      </c>
      <c r="Z102" t="inlineStr">
        <is>
          <t>Roesner Mateusz</t>
        </is>
      </c>
      <c r="AA102" s="23" t="n">
        <v>46224.93684027778</v>
      </c>
      <c r="AB102" t="inlineStr">
        <is>
          <t>OP-MIGR-00101</t>
        </is>
      </c>
      <c r="AD102" t="inlineStr">
        <is>
          <t>AKTYWNY</t>
        </is>
      </c>
      <c r="AE102" s="20">
        <f>IF(I102="",0,IF(ISNUMBER(SEARCH("MP",UPPER(J102))),I102,IF(ISNUMBER(SEARCH("TON",UPPER(J102))),I102/Przelicznik_MP_tona,IF(ISNUMBER(SEARCH("M3",UPPER(J102))),I102*Przelicznik_M3_MP,IF(ISNUMBER(SEARCH("GJ",UPPER(J102))),I102/Przelicznik_GJ_tona/Przelicznik_MP_tona,I102)))))</f>
        <v/>
      </c>
      <c r="AF102" s="20">
        <f>IF(I102="",0,IF(ISNUMBER(SEARCH("TON",UPPER(J102))),I102,IF(ISNUMBER(SEARCH("GJ",UPPER(J102))),I102/Przelicznik_GJ_tona,AE102*Przelicznik_MP_tona)))</f>
        <v/>
      </c>
      <c r="AG102" s="20">
        <f>AF102*Przelicznik_GJ_tona</f>
        <v/>
      </c>
      <c r="AH102" s="20">
        <f>IF(UPPER(AD102)="SKORYGOWANY",0,IF(OR(UPPER(E102)="TRANSPORT",UPPER(E102)="MM"),0,IF(UPPER(G102)&lt;&gt;"TAK",0,IF(OR(UPPER(E102)="ZAKUP",UPPER(E102)="PRODUKCJA"),AE102,IF(OR(UPPER(E102)="SPRZEDAŻ",UPPER(E102)="ZUŻYCIE"),-AE102,0)))))</f>
        <v/>
      </c>
      <c r="AI102" s="20">
        <f>IF(UPPER(AD102)="SKORYGOWANY",0,IF(OR(UPPER(E102)="TRANSPORT",UPPER(E102)="MM"),0,IF(UPPER(G102)&lt;&gt;"TAK",0,IF(OR(UPPER(E102)="ZAKUP",UPPER(E102)="PRODUKCJA"),AF102,IF(OR(UPPER(E102)="SPRZEDAŻ",UPPER(E102)="ZUŻYCIE"),-AF102,0)))))</f>
        <v/>
      </c>
      <c r="AJ102" s="21">
        <f>IF(UPPER(AD102)="SKORYGOWANY",0,IF(UPPER(E102)="ZAKUP",IF(L102&lt;&gt;"",L102,I102*K102),0))</f>
        <v/>
      </c>
      <c r="AK102" s="21">
        <f>IF(UPPER(AD102)="SKORYGOWANY",0,IF(UPPER(E102)="SPRZEDAŻ",IF(L102&lt;&gt;"",L102,I102*M102),0))</f>
        <v/>
      </c>
      <c r="AL102" s="21">
        <f>AE102*Q102</f>
        <v/>
      </c>
      <c r="AM102">
        <f>IF(R102="","",IF(LOWER(R102)="brak","Brak",IF(OR(ISNUMBER(SEARCH("własn",LOWER(R102))),ISNUMBER(SEARCH("wlasn",LOWER(R102))),ISNUMBER(SEARCH("wojciechowski",LOWER(R102)))),"Własny","Zewnętrzny")))</f>
        <v/>
      </c>
      <c r="AN102" s="24">
        <f>IF(C102="","",YEAR(C102))</f>
        <v/>
      </c>
      <c r="AO102" s="24">
        <f>IF(C102="","",MONTH(C102))</f>
        <v/>
      </c>
      <c r="AP102">
        <f>IF(C102="","",UPPER(TEXT(C102,"mmmm")))</f>
        <v/>
      </c>
      <c r="AQ102">
        <f>IF(C102="","","Q"&amp;ROUNDUP(MONTH(C102)/3,0))</f>
        <v/>
      </c>
    </row>
    <row r="103">
      <c r="A103" s="19" t="n">
        <v>46224</v>
      </c>
      <c r="B103" t="inlineStr">
        <is>
          <t>Magazyn Pyskowice</t>
        </is>
      </c>
      <c r="C103" s="19" t="n">
        <v>46224</v>
      </c>
      <c r="D103" t="inlineStr">
        <is>
          <t>Magazyn Pyskowice</t>
        </is>
      </c>
      <c r="E103" t="inlineStr">
        <is>
          <t>MM</t>
        </is>
      </c>
      <c r="F103" t="inlineStr">
        <is>
          <t>MM-43</t>
        </is>
      </c>
      <c r="G103" t="inlineStr">
        <is>
          <t>TAK</t>
        </is>
      </c>
      <c r="I103" s="20" t="n">
        <v>89.98</v>
      </c>
      <c r="J103" t="inlineStr">
        <is>
          <t>MP</t>
        </is>
      </c>
      <c r="K103" s="21" t="n">
        <v>0</v>
      </c>
      <c r="L103" s="21" t="n">
        <v>0</v>
      </c>
      <c r="M103" s="21" t="n">
        <v>0</v>
      </c>
      <c r="N103" t="inlineStr">
        <is>
          <t>Zrębka Produkcyjna Leśna</t>
        </is>
      </c>
      <c r="O103" t="inlineStr">
        <is>
          <t>B</t>
        </is>
      </c>
      <c r="Q103" s="21" t="n">
        <v>0</v>
      </c>
      <c r="R103" t="inlineStr">
        <is>
          <t>Nowatrans</t>
        </is>
      </c>
      <c r="S103" t="inlineStr">
        <is>
          <t>WND 3546F</t>
        </is>
      </c>
      <c r="T103" s="22" t="n">
        <v>40</v>
      </c>
      <c r="U103" s="21" t="n">
        <v>15</v>
      </c>
      <c r="V103" s="21" t="n">
        <v>600</v>
      </c>
      <c r="W103" t="inlineStr">
        <is>
          <t>Magazyn Zabrze</t>
        </is>
      </c>
      <c r="X103" t="inlineStr">
        <is>
          <t>Magazyn Pyskowice</t>
        </is>
      </c>
      <c r="Z103" t="inlineStr">
        <is>
          <t>Roesner Mateusz</t>
        </is>
      </c>
      <c r="AA103" s="23" t="n">
        <v>46224.39431712963</v>
      </c>
      <c r="AB103" t="inlineStr">
        <is>
          <t>OP-MIGR-00102</t>
        </is>
      </c>
      <c r="AD103" t="inlineStr">
        <is>
          <t>AKTYWNY</t>
        </is>
      </c>
      <c r="AE103" s="20">
        <f>IF(I103="",0,IF(ISNUMBER(SEARCH("MP",UPPER(J103))),I103,IF(ISNUMBER(SEARCH("TON",UPPER(J103))),I103/Przelicznik_MP_tona,IF(ISNUMBER(SEARCH("M3",UPPER(J103))),I103*Przelicznik_M3_MP,IF(ISNUMBER(SEARCH("GJ",UPPER(J103))),I103/Przelicznik_GJ_tona/Przelicznik_MP_tona,I103)))))</f>
        <v/>
      </c>
      <c r="AF103" s="20">
        <f>IF(I103="",0,IF(ISNUMBER(SEARCH("TON",UPPER(J103))),I103,IF(ISNUMBER(SEARCH("GJ",UPPER(J103))),I103/Przelicznik_GJ_tona,AE103*Przelicznik_MP_tona)))</f>
        <v/>
      </c>
      <c r="AG103" s="20">
        <f>AF103*Przelicznik_GJ_tona</f>
        <v/>
      </c>
      <c r="AH103" s="20">
        <f>IF(UPPER(AD103)="SKORYGOWANY",0,IF(OR(UPPER(E103)="TRANSPORT",UPPER(E103)="MM"),0,IF(UPPER(G103)&lt;&gt;"TAK",0,IF(OR(UPPER(E103)="ZAKUP",UPPER(E103)="PRODUKCJA"),AE103,IF(OR(UPPER(E103)="SPRZEDAŻ",UPPER(E103)="ZUŻYCIE"),-AE103,0)))))</f>
        <v/>
      </c>
      <c r="AI103" s="20">
        <f>IF(UPPER(AD103)="SKORYGOWANY",0,IF(OR(UPPER(E103)="TRANSPORT",UPPER(E103)="MM"),0,IF(UPPER(G103)&lt;&gt;"TAK",0,IF(OR(UPPER(E103)="ZAKUP",UPPER(E103)="PRODUKCJA"),AF103,IF(OR(UPPER(E103)="SPRZEDAŻ",UPPER(E103)="ZUŻYCIE"),-AF103,0)))))</f>
        <v/>
      </c>
      <c r="AJ103" s="21">
        <f>IF(UPPER(AD103)="SKORYGOWANY",0,IF(UPPER(E103)="ZAKUP",IF(L103&lt;&gt;"",L103,I103*K103),0))</f>
        <v/>
      </c>
      <c r="AK103" s="21">
        <f>IF(UPPER(AD103)="SKORYGOWANY",0,IF(UPPER(E103)="SPRZEDAŻ",IF(L103&lt;&gt;"",L103,I103*M103),0))</f>
        <v/>
      </c>
      <c r="AL103" s="21">
        <f>AE103*Q103</f>
        <v/>
      </c>
      <c r="AM103">
        <f>IF(R103="","",IF(LOWER(R103)="brak","Brak",IF(OR(ISNUMBER(SEARCH("własn",LOWER(R103))),ISNUMBER(SEARCH("wlasn",LOWER(R103))),ISNUMBER(SEARCH("wojciechowski",LOWER(R103)))),"Własny","Zewnętrzny")))</f>
        <v/>
      </c>
      <c r="AN103" s="24">
        <f>IF(C103="","",YEAR(C103))</f>
        <v/>
      </c>
      <c r="AO103" s="24">
        <f>IF(C103="","",MONTH(C103))</f>
        <v/>
      </c>
      <c r="AP103">
        <f>IF(C103="","",UPPER(TEXT(C103,"mmmm")))</f>
        <v/>
      </c>
      <c r="AQ103">
        <f>IF(C103="","","Q"&amp;ROUNDUP(MONTH(C103)/3,0))</f>
        <v/>
      </c>
    </row>
    <row r="104">
      <c r="A104" s="19" t="n">
        <v>46224</v>
      </c>
      <c r="B104" t="inlineStr">
        <is>
          <t>Magazyn Pyskowice</t>
        </is>
      </c>
      <c r="C104" s="19" t="n">
        <v>46224</v>
      </c>
      <c r="D104" t="inlineStr">
        <is>
          <t>Magazyn Pyskowice</t>
        </is>
      </c>
      <c r="E104" t="inlineStr">
        <is>
          <t>MM</t>
        </is>
      </c>
      <c r="F104" t="inlineStr">
        <is>
          <t>MM-44</t>
        </is>
      </c>
      <c r="G104" t="inlineStr">
        <is>
          <t>TAK</t>
        </is>
      </c>
      <c r="I104" s="20" t="n">
        <v>55.44</v>
      </c>
      <c r="J104" t="inlineStr">
        <is>
          <t>MP</t>
        </is>
      </c>
      <c r="K104" s="21" t="n">
        <v>0</v>
      </c>
      <c r="L104" s="21" t="n">
        <v>0</v>
      </c>
      <c r="M104" s="21" t="n">
        <v>0</v>
      </c>
      <c r="N104" t="inlineStr">
        <is>
          <t>Zrębka Produkcyjna Leśna</t>
        </is>
      </c>
      <c r="O104" t="inlineStr">
        <is>
          <t>B</t>
        </is>
      </c>
      <c r="Q104" s="21" t="n">
        <v>0</v>
      </c>
      <c r="R104" t="inlineStr">
        <is>
          <t>własny (Wiór)</t>
        </is>
      </c>
      <c r="S104" t="inlineStr">
        <is>
          <t>SK 7H433</t>
        </is>
      </c>
      <c r="T104" s="22" t="n">
        <v>40</v>
      </c>
      <c r="U104" s="21" t="n">
        <v>6</v>
      </c>
      <c r="V104" s="21" t="n">
        <v>240</v>
      </c>
      <c r="W104" t="inlineStr">
        <is>
          <t>Magazyn Zabrze</t>
        </is>
      </c>
      <c r="X104" t="inlineStr">
        <is>
          <t>Magazyn Pyskowice</t>
        </is>
      </c>
      <c r="Z104" t="inlineStr">
        <is>
          <t>Roesner Mateusz</t>
        </is>
      </c>
      <c r="AA104" s="23" t="n">
        <v>46224.39493055556</v>
      </c>
      <c r="AB104" t="inlineStr">
        <is>
          <t>OP-MIGR-00103</t>
        </is>
      </c>
      <c r="AD104" t="inlineStr">
        <is>
          <t>AKTYWNY</t>
        </is>
      </c>
      <c r="AE104" s="20">
        <f>IF(I104="",0,IF(ISNUMBER(SEARCH("MP",UPPER(J104))),I104,IF(ISNUMBER(SEARCH("TON",UPPER(J104))),I104/Przelicznik_MP_tona,IF(ISNUMBER(SEARCH("M3",UPPER(J104))),I104*Przelicznik_M3_MP,IF(ISNUMBER(SEARCH("GJ",UPPER(J104))),I104/Przelicznik_GJ_tona/Przelicznik_MP_tona,I104)))))</f>
        <v/>
      </c>
      <c r="AF104" s="20">
        <f>IF(I104="",0,IF(ISNUMBER(SEARCH("TON",UPPER(J104))),I104,IF(ISNUMBER(SEARCH("GJ",UPPER(J104))),I104/Przelicznik_GJ_tona,AE104*Przelicznik_MP_tona)))</f>
        <v/>
      </c>
      <c r="AG104" s="20">
        <f>AF104*Przelicznik_GJ_tona</f>
        <v/>
      </c>
      <c r="AH104" s="20">
        <f>IF(UPPER(AD104)="SKORYGOWANY",0,IF(OR(UPPER(E104)="TRANSPORT",UPPER(E104)="MM"),0,IF(UPPER(G104)&lt;&gt;"TAK",0,IF(OR(UPPER(E104)="ZAKUP",UPPER(E104)="PRODUKCJA"),AE104,IF(OR(UPPER(E104)="SPRZEDAŻ",UPPER(E104)="ZUŻYCIE"),-AE104,0)))))</f>
        <v/>
      </c>
      <c r="AI104" s="20">
        <f>IF(UPPER(AD104)="SKORYGOWANY",0,IF(OR(UPPER(E104)="TRANSPORT",UPPER(E104)="MM"),0,IF(UPPER(G104)&lt;&gt;"TAK",0,IF(OR(UPPER(E104)="ZAKUP",UPPER(E104)="PRODUKCJA"),AF104,IF(OR(UPPER(E104)="SPRZEDAŻ",UPPER(E104)="ZUŻYCIE"),-AF104,0)))))</f>
        <v/>
      </c>
      <c r="AJ104" s="21">
        <f>IF(UPPER(AD104)="SKORYGOWANY",0,IF(UPPER(E104)="ZAKUP",IF(L104&lt;&gt;"",L104,I104*K104),0))</f>
        <v/>
      </c>
      <c r="AK104" s="21">
        <f>IF(UPPER(AD104)="SKORYGOWANY",0,IF(UPPER(E104)="SPRZEDAŻ",IF(L104&lt;&gt;"",L104,I104*M104),0))</f>
        <v/>
      </c>
      <c r="AL104" s="21">
        <f>AE104*Q104</f>
        <v/>
      </c>
      <c r="AM104">
        <f>IF(R104="","",IF(LOWER(R104)="brak","Brak",IF(OR(ISNUMBER(SEARCH("własn",LOWER(R104))),ISNUMBER(SEARCH("wlasn",LOWER(R104))),ISNUMBER(SEARCH("wojciechowski",LOWER(R104)))),"Własny","Zewnętrzny")))</f>
        <v/>
      </c>
      <c r="AN104" s="24">
        <f>IF(C104="","",YEAR(C104))</f>
        <v/>
      </c>
      <c r="AO104" s="24">
        <f>IF(C104="","",MONTH(C104))</f>
        <v/>
      </c>
      <c r="AP104">
        <f>IF(C104="","",UPPER(TEXT(C104,"mmmm")))</f>
        <v/>
      </c>
      <c r="AQ104">
        <f>IF(C104="","","Q"&amp;ROUNDUP(MONTH(C104)/3,0))</f>
        <v/>
      </c>
    </row>
    <row r="105">
      <c r="A105" s="19" t="n">
        <v>46224</v>
      </c>
      <c r="B105" t="inlineStr">
        <is>
          <t>Magazyn Pyskowice</t>
        </is>
      </c>
      <c r="C105" s="19" t="n">
        <v>46224</v>
      </c>
      <c r="D105" t="inlineStr">
        <is>
          <t>Magazyn Pyskowice</t>
        </is>
      </c>
      <c r="E105" t="inlineStr">
        <is>
          <t>MM</t>
        </is>
      </c>
      <c r="F105" t="inlineStr">
        <is>
          <t>MM-45</t>
        </is>
      </c>
      <c r="G105" t="inlineStr">
        <is>
          <t>TAK</t>
        </is>
      </c>
      <c r="I105" s="20" t="n">
        <v>86</v>
      </c>
      <c r="J105" t="inlineStr">
        <is>
          <t>MP</t>
        </is>
      </c>
      <c r="K105" s="21" t="n">
        <v>0</v>
      </c>
      <c r="L105" s="21" t="n">
        <v>0</v>
      </c>
      <c r="M105" s="21" t="n">
        <v>0</v>
      </c>
      <c r="N105" t="inlineStr">
        <is>
          <t>Zrębka Produkcyjna Leśna</t>
        </is>
      </c>
      <c r="O105" t="inlineStr">
        <is>
          <t>B</t>
        </is>
      </c>
      <c r="Q105" s="21" t="n">
        <v>0</v>
      </c>
      <c r="R105" t="inlineStr">
        <is>
          <t>Nowatrans</t>
        </is>
      </c>
      <c r="S105" t="inlineStr">
        <is>
          <t>WND 3546F</t>
        </is>
      </c>
      <c r="T105" s="22" t="n">
        <v>40</v>
      </c>
      <c r="U105" s="21" t="n">
        <v>15</v>
      </c>
      <c r="V105" s="21" t="n">
        <v>600</v>
      </c>
      <c r="W105" t="inlineStr">
        <is>
          <t>Magazyn Zabrze</t>
        </is>
      </c>
      <c r="X105" t="inlineStr">
        <is>
          <t>Magazyn Pyskowice</t>
        </is>
      </c>
      <c r="Z105" t="inlineStr">
        <is>
          <t>Roesner Mateusz</t>
        </is>
      </c>
      <c r="AA105" s="23" t="n">
        <v>46224.48827546297</v>
      </c>
      <c r="AB105" t="inlineStr">
        <is>
          <t>OP-MIGR-00104</t>
        </is>
      </c>
      <c r="AD105" t="inlineStr">
        <is>
          <t>AKTYWNY</t>
        </is>
      </c>
      <c r="AE105" s="20">
        <f>IF(I105="",0,IF(ISNUMBER(SEARCH("MP",UPPER(J105))),I105,IF(ISNUMBER(SEARCH("TON",UPPER(J105))),I105/Przelicznik_MP_tona,IF(ISNUMBER(SEARCH("M3",UPPER(J105))),I105*Przelicznik_M3_MP,IF(ISNUMBER(SEARCH("GJ",UPPER(J105))),I105/Przelicznik_GJ_tona/Przelicznik_MP_tona,I105)))))</f>
        <v/>
      </c>
      <c r="AF105" s="20">
        <f>IF(I105="",0,IF(ISNUMBER(SEARCH("TON",UPPER(J105))),I105,IF(ISNUMBER(SEARCH("GJ",UPPER(J105))),I105/Przelicznik_GJ_tona,AE105*Przelicznik_MP_tona)))</f>
        <v/>
      </c>
      <c r="AG105" s="20">
        <f>AF105*Przelicznik_GJ_tona</f>
        <v/>
      </c>
      <c r="AH105" s="20">
        <f>IF(UPPER(AD105)="SKORYGOWANY",0,IF(OR(UPPER(E105)="TRANSPORT",UPPER(E105)="MM"),0,IF(UPPER(G105)&lt;&gt;"TAK",0,IF(OR(UPPER(E105)="ZAKUP",UPPER(E105)="PRODUKCJA"),AE105,IF(OR(UPPER(E105)="SPRZEDAŻ",UPPER(E105)="ZUŻYCIE"),-AE105,0)))))</f>
        <v/>
      </c>
      <c r="AI105" s="20">
        <f>IF(UPPER(AD105)="SKORYGOWANY",0,IF(OR(UPPER(E105)="TRANSPORT",UPPER(E105)="MM"),0,IF(UPPER(G105)&lt;&gt;"TAK",0,IF(OR(UPPER(E105)="ZAKUP",UPPER(E105)="PRODUKCJA"),AF105,IF(OR(UPPER(E105)="SPRZEDAŻ",UPPER(E105)="ZUŻYCIE"),-AF105,0)))))</f>
        <v/>
      </c>
      <c r="AJ105" s="21">
        <f>IF(UPPER(AD105)="SKORYGOWANY",0,IF(UPPER(E105)="ZAKUP",IF(L105&lt;&gt;"",L105,I105*K105),0))</f>
        <v/>
      </c>
      <c r="AK105" s="21">
        <f>IF(UPPER(AD105)="SKORYGOWANY",0,IF(UPPER(E105)="SPRZEDAŻ",IF(L105&lt;&gt;"",L105,I105*M105),0))</f>
        <v/>
      </c>
      <c r="AL105" s="21">
        <f>AE105*Q105</f>
        <v/>
      </c>
      <c r="AM105">
        <f>IF(R105="","",IF(LOWER(R105)="brak","Brak",IF(OR(ISNUMBER(SEARCH("własn",LOWER(R105))),ISNUMBER(SEARCH("wlasn",LOWER(R105))),ISNUMBER(SEARCH("wojciechowski",LOWER(R105)))),"Własny","Zewnętrzny")))</f>
        <v/>
      </c>
      <c r="AN105" s="24">
        <f>IF(C105="","",YEAR(C105))</f>
        <v/>
      </c>
      <c r="AO105" s="24">
        <f>IF(C105="","",MONTH(C105))</f>
        <v/>
      </c>
      <c r="AP105">
        <f>IF(C105="","",UPPER(TEXT(C105,"mmmm")))</f>
        <v/>
      </c>
      <c r="AQ105">
        <f>IF(C105="","","Q"&amp;ROUNDUP(MONTH(C105)/3,0))</f>
        <v/>
      </c>
    </row>
    <row r="106">
      <c r="A106" s="19" t="n">
        <v>46224</v>
      </c>
      <c r="B106" t="inlineStr">
        <is>
          <t>Magazyn Pyskowice</t>
        </is>
      </c>
      <c r="C106" s="19" t="n">
        <v>46224</v>
      </c>
      <c r="D106" t="inlineStr">
        <is>
          <t>Magazyn Pyskowice</t>
        </is>
      </c>
      <c r="E106" t="inlineStr">
        <is>
          <t>MM</t>
        </is>
      </c>
      <c r="F106" t="inlineStr">
        <is>
          <t>MM-46</t>
        </is>
      </c>
      <c r="G106" t="inlineStr">
        <is>
          <t>TAK</t>
        </is>
      </c>
      <c r="I106" s="20" t="n">
        <v>58</v>
      </c>
      <c r="J106" t="inlineStr">
        <is>
          <t>MP</t>
        </is>
      </c>
      <c r="K106" s="21" t="n">
        <v>0</v>
      </c>
      <c r="L106" s="21" t="n">
        <v>0</v>
      </c>
      <c r="M106" s="21" t="n">
        <v>0</v>
      </c>
      <c r="N106" t="inlineStr">
        <is>
          <t>Zrębka Produkcyjna Leśna</t>
        </is>
      </c>
      <c r="O106" t="inlineStr">
        <is>
          <t>B</t>
        </is>
      </c>
      <c r="Q106" s="21" t="n">
        <v>0</v>
      </c>
      <c r="R106" t="inlineStr">
        <is>
          <t>własny (Wiór)</t>
        </is>
      </c>
      <c r="S106" t="inlineStr">
        <is>
          <t>SK 7H433</t>
        </is>
      </c>
      <c r="T106" s="22" t="n">
        <v>40</v>
      </c>
      <c r="U106" s="21" t="n">
        <v>6</v>
      </c>
      <c r="V106" s="21" t="n">
        <v>240</v>
      </c>
      <c r="W106" t="inlineStr">
        <is>
          <t>Magazyn Zabrze</t>
        </is>
      </c>
      <c r="X106" t="inlineStr">
        <is>
          <t>Magazyn Pyskowice</t>
        </is>
      </c>
      <c r="Z106" t="inlineStr">
        <is>
          <t>Roesner Mateusz</t>
        </is>
      </c>
      <c r="AA106" s="23" t="n">
        <v>46224.52234953704</v>
      </c>
      <c r="AB106" t="inlineStr">
        <is>
          <t>OP-MIGR-00105</t>
        </is>
      </c>
      <c r="AD106" t="inlineStr">
        <is>
          <t>AKTYWNY</t>
        </is>
      </c>
      <c r="AE106" s="20">
        <f>IF(I106="",0,IF(ISNUMBER(SEARCH("MP",UPPER(J106))),I106,IF(ISNUMBER(SEARCH("TON",UPPER(J106))),I106/Przelicznik_MP_tona,IF(ISNUMBER(SEARCH("M3",UPPER(J106))),I106*Przelicznik_M3_MP,IF(ISNUMBER(SEARCH("GJ",UPPER(J106))),I106/Przelicznik_GJ_tona/Przelicznik_MP_tona,I106)))))</f>
        <v/>
      </c>
      <c r="AF106" s="20">
        <f>IF(I106="",0,IF(ISNUMBER(SEARCH("TON",UPPER(J106))),I106,IF(ISNUMBER(SEARCH("GJ",UPPER(J106))),I106/Przelicznik_GJ_tona,AE106*Przelicznik_MP_tona)))</f>
        <v/>
      </c>
      <c r="AG106" s="20">
        <f>AF106*Przelicznik_GJ_tona</f>
        <v/>
      </c>
      <c r="AH106" s="20">
        <f>IF(UPPER(AD106)="SKORYGOWANY",0,IF(OR(UPPER(E106)="TRANSPORT",UPPER(E106)="MM"),0,IF(UPPER(G106)&lt;&gt;"TAK",0,IF(OR(UPPER(E106)="ZAKUP",UPPER(E106)="PRODUKCJA"),AE106,IF(OR(UPPER(E106)="SPRZEDAŻ",UPPER(E106)="ZUŻYCIE"),-AE106,0)))))</f>
        <v/>
      </c>
      <c r="AI106" s="20">
        <f>IF(UPPER(AD106)="SKORYGOWANY",0,IF(OR(UPPER(E106)="TRANSPORT",UPPER(E106)="MM"),0,IF(UPPER(G106)&lt;&gt;"TAK",0,IF(OR(UPPER(E106)="ZAKUP",UPPER(E106)="PRODUKCJA"),AF106,IF(OR(UPPER(E106)="SPRZEDAŻ",UPPER(E106)="ZUŻYCIE"),-AF106,0)))))</f>
        <v/>
      </c>
      <c r="AJ106" s="21">
        <f>IF(UPPER(AD106)="SKORYGOWANY",0,IF(UPPER(E106)="ZAKUP",IF(L106&lt;&gt;"",L106,I106*K106),0))</f>
        <v/>
      </c>
      <c r="AK106" s="21">
        <f>IF(UPPER(AD106)="SKORYGOWANY",0,IF(UPPER(E106)="SPRZEDAŻ",IF(L106&lt;&gt;"",L106,I106*M106),0))</f>
        <v/>
      </c>
      <c r="AL106" s="21">
        <f>AE106*Q106</f>
        <v/>
      </c>
      <c r="AM106">
        <f>IF(R106="","",IF(LOWER(R106)="brak","Brak",IF(OR(ISNUMBER(SEARCH("własn",LOWER(R106))),ISNUMBER(SEARCH("wlasn",LOWER(R106))),ISNUMBER(SEARCH("wojciechowski",LOWER(R106)))),"Własny","Zewnętrzny")))</f>
        <v/>
      </c>
      <c r="AN106" s="24">
        <f>IF(C106="","",YEAR(C106))</f>
        <v/>
      </c>
      <c r="AO106" s="24">
        <f>IF(C106="","",MONTH(C106))</f>
        <v/>
      </c>
      <c r="AP106">
        <f>IF(C106="","",UPPER(TEXT(C106,"mmmm")))</f>
        <v/>
      </c>
      <c r="AQ106">
        <f>IF(C106="","","Q"&amp;ROUNDUP(MONTH(C106)/3,0))</f>
        <v/>
      </c>
    </row>
    <row r="107">
      <c r="A107" s="19" t="n">
        <v>46224</v>
      </c>
      <c r="C107" s="19" t="n">
        <v>46224</v>
      </c>
      <c r="D107" t="inlineStr">
        <is>
          <t>Drewnex</t>
        </is>
      </c>
      <c r="E107" t="inlineStr">
        <is>
          <t>ZAKUP</t>
        </is>
      </c>
      <c r="F107" t="inlineStr">
        <is>
          <t>PZ/20</t>
        </is>
      </c>
      <c r="G107" t="inlineStr">
        <is>
          <t>TAK</t>
        </is>
      </c>
      <c r="H107" t="inlineStr">
        <is>
          <t>KZR</t>
        </is>
      </c>
      <c r="I107" s="20" t="n">
        <v>27.42</v>
      </c>
      <c r="J107" t="inlineStr">
        <is>
          <t>TON</t>
        </is>
      </c>
      <c r="K107" s="21" t="n">
        <v>265</v>
      </c>
      <c r="L107" s="21" t="n">
        <v>7266.3</v>
      </c>
      <c r="M107" s="21" t="n">
        <v>0</v>
      </c>
      <c r="N107" t="inlineStr">
        <is>
          <t>Zrębka towar</t>
        </is>
      </c>
      <c r="O107" t="inlineStr">
        <is>
          <t>B</t>
        </is>
      </c>
      <c r="Q107" s="21" t="n">
        <v>0</v>
      </c>
      <c r="T107" s="22" t="n">
        <v>0</v>
      </c>
      <c r="U107" s="21" t="n">
        <v>0</v>
      </c>
      <c r="V107" s="21" t="n">
        <v>0</v>
      </c>
      <c r="W107" t="inlineStr">
        <is>
          <t>Magazyn Zabrze</t>
        </is>
      </c>
      <c r="Y107" t="inlineStr">
        <is>
          <t>Tartaczna</t>
        </is>
      </c>
      <c r="Z107" t="inlineStr">
        <is>
          <t>Roesner Mateusz</t>
        </is>
      </c>
      <c r="AA107" s="23" t="n">
        <v>46224.52702546296</v>
      </c>
      <c r="AB107" t="inlineStr">
        <is>
          <t>OP-MIGR-00106</t>
        </is>
      </c>
      <c r="AD107" t="inlineStr">
        <is>
          <t>AKTYWNY</t>
        </is>
      </c>
      <c r="AE107" s="20">
        <f>IF(I107="",0,IF(ISNUMBER(SEARCH("MP",UPPER(J107))),I107,IF(ISNUMBER(SEARCH("TON",UPPER(J107))),I107/Przelicznik_MP_tona,IF(ISNUMBER(SEARCH("M3",UPPER(J107))),I107*Przelicznik_M3_MP,IF(ISNUMBER(SEARCH("GJ",UPPER(J107))),I107/Przelicznik_GJ_tona/Przelicznik_MP_tona,I107)))))</f>
        <v/>
      </c>
      <c r="AF107" s="20">
        <f>IF(I107="",0,IF(ISNUMBER(SEARCH("TON",UPPER(J107))),I107,IF(ISNUMBER(SEARCH("GJ",UPPER(J107))),I107/Przelicznik_GJ_tona,AE107*Przelicznik_MP_tona)))</f>
        <v/>
      </c>
      <c r="AG107" s="20">
        <f>AF107*Przelicznik_GJ_tona</f>
        <v/>
      </c>
      <c r="AH107" s="20">
        <f>IF(UPPER(AD107)="SKORYGOWANY",0,IF(OR(UPPER(E107)="TRANSPORT",UPPER(E107)="MM"),0,IF(UPPER(G107)&lt;&gt;"TAK",0,IF(OR(UPPER(E107)="ZAKUP",UPPER(E107)="PRODUKCJA"),AE107,IF(OR(UPPER(E107)="SPRZEDAŻ",UPPER(E107)="ZUŻYCIE"),-AE107,0)))))</f>
        <v/>
      </c>
      <c r="AI107" s="20">
        <f>IF(UPPER(AD107)="SKORYGOWANY",0,IF(OR(UPPER(E107)="TRANSPORT",UPPER(E107)="MM"),0,IF(UPPER(G107)&lt;&gt;"TAK",0,IF(OR(UPPER(E107)="ZAKUP",UPPER(E107)="PRODUKCJA"),AF107,IF(OR(UPPER(E107)="SPRZEDAŻ",UPPER(E107)="ZUŻYCIE"),-AF107,0)))))</f>
        <v/>
      </c>
      <c r="AJ107" s="21">
        <f>IF(UPPER(AD107)="SKORYGOWANY",0,IF(UPPER(E107)="ZAKUP",IF(L107&lt;&gt;"",L107,I107*K107),0))</f>
        <v/>
      </c>
      <c r="AK107" s="21">
        <f>IF(UPPER(AD107)="SKORYGOWANY",0,IF(UPPER(E107)="SPRZEDAŻ",IF(L107&lt;&gt;"",L107,I107*M107),0))</f>
        <v/>
      </c>
      <c r="AL107" s="21">
        <f>AE107*Q107</f>
        <v/>
      </c>
      <c r="AM107">
        <f>IF(R107="","",IF(LOWER(R107)="brak","Brak",IF(OR(ISNUMBER(SEARCH("własn",LOWER(R107))),ISNUMBER(SEARCH("wlasn",LOWER(R107))),ISNUMBER(SEARCH("wojciechowski",LOWER(R107)))),"Własny","Zewnętrzny")))</f>
        <v/>
      </c>
      <c r="AN107" s="24">
        <f>IF(C107="","",YEAR(C107))</f>
        <v/>
      </c>
      <c r="AO107" s="24">
        <f>IF(C107="","",MONTH(C107))</f>
        <v/>
      </c>
      <c r="AP107">
        <f>IF(C107="","",UPPER(TEXT(C107,"mmmm")))</f>
        <v/>
      </c>
      <c r="AQ107">
        <f>IF(C107="","","Q"&amp;ROUNDUP(MONTH(C107)/3,0))</f>
        <v/>
      </c>
    </row>
    <row r="108">
      <c r="A108" s="19" t="n">
        <v>46224</v>
      </c>
      <c r="C108" s="19" t="n">
        <v>46224</v>
      </c>
      <c r="D108" t="inlineStr">
        <is>
          <t>Fioskip Adam Skipioł</t>
        </is>
      </c>
      <c r="E108" t="inlineStr">
        <is>
          <t>ZAKUP</t>
        </is>
      </c>
      <c r="F108" t="inlineStr">
        <is>
          <t>PZ/21</t>
        </is>
      </c>
      <c r="G108" t="inlineStr">
        <is>
          <t>TAK</t>
        </is>
      </c>
      <c r="H108" t="inlineStr">
        <is>
          <t>KZR</t>
        </is>
      </c>
      <c r="I108" s="20" t="n">
        <v>80</v>
      </c>
      <c r="J108" t="inlineStr">
        <is>
          <t>MP</t>
        </is>
      </c>
      <c r="K108" s="21" t="n">
        <v>40</v>
      </c>
      <c r="L108" s="21" t="n">
        <v>3200</v>
      </c>
      <c r="M108" s="21" t="n">
        <v>0</v>
      </c>
      <c r="N108" t="inlineStr">
        <is>
          <t>Drewno przemysłowe z wycinek inwest.</t>
        </is>
      </c>
      <c r="O108" t="inlineStr">
        <is>
          <t>B</t>
        </is>
      </c>
      <c r="Q108" s="21" t="n">
        <v>0</v>
      </c>
      <c r="T108" s="22" t="n">
        <v>0</v>
      </c>
      <c r="U108" s="21" t="n">
        <v>0</v>
      </c>
      <c r="V108" s="21" t="n">
        <v>0</v>
      </c>
      <c r="W108" t="inlineStr">
        <is>
          <t>Magazyn Zabrze</t>
        </is>
      </c>
      <c r="Z108" t="inlineStr">
        <is>
          <t>Roesner Mateusz</t>
        </is>
      </c>
      <c r="AA108" s="23" t="n">
        <v>46224.94337962963</v>
      </c>
      <c r="AB108" t="inlineStr">
        <is>
          <t>OP-MIGR-00107</t>
        </is>
      </c>
      <c r="AD108" t="inlineStr">
        <is>
          <t>AKTYWNY</t>
        </is>
      </c>
      <c r="AE108" s="20">
        <f>IF(I108="",0,IF(ISNUMBER(SEARCH("MP",UPPER(J108))),I108,IF(ISNUMBER(SEARCH("TON",UPPER(J108))),I108/Przelicznik_MP_tona,IF(ISNUMBER(SEARCH("M3",UPPER(J108))),I108*Przelicznik_M3_MP,IF(ISNUMBER(SEARCH("GJ",UPPER(J108))),I108/Przelicznik_GJ_tona/Przelicznik_MP_tona,I108)))))</f>
        <v/>
      </c>
      <c r="AF108" s="20">
        <f>IF(I108="",0,IF(ISNUMBER(SEARCH("TON",UPPER(J108))),I108,IF(ISNUMBER(SEARCH("GJ",UPPER(J108))),I108/Przelicznik_GJ_tona,AE108*Przelicznik_MP_tona)))</f>
        <v/>
      </c>
      <c r="AG108" s="20">
        <f>AF108*Przelicznik_GJ_tona</f>
        <v/>
      </c>
      <c r="AH108" s="20">
        <f>IF(UPPER(AD108)="SKORYGOWANY",0,IF(OR(UPPER(E108)="TRANSPORT",UPPER(E108)="MM"),0,IF(UPPER(G108)&lt;&gt;"TAK",0,IF(OR(UPPER(E108)="ZAKUP",UPPER(E108)="PRODUKCJA"),AE108,IF(OR(UPPER(E108)="SPRZEDAŻ",UPPER(E108)="ZUŻYCIE"),-AE108,0)))))</f>
        <v/>
      </c>
      <c r="AI108" s="20">
        <f>IF(UPPER(AD108)="SKORYGOWANY",0,IF(OR(UPPER(E108)="TRANSPORT",UPPER(E108)="MM"),0,IF(UPPER(G108)&lt;&gt;"TAK",0,IF(OR(UPPER(E108)="ZAKUP",UPPER(E108)="PRODUKCJA"),AF108,IF(OR(UPPER(E108)="SPRZEDAŻ",UPPER(E108)="ZUŻYCIE"),-AF108,0)))))</f>
        <v/>
      </c>
      <c r="AJ108" s="21">
        <f>IF(UPPER(AD108)="SKORYGOWANY",0,IF(UPPER(E108)="ZAKUP",IF(L108&lt;&gt;"",L108,I108*K108),0))</f>
        <v/>
      </c>
      <c r="AK108" s="21">
        <f>IF(UPPER(AD108)="SKORYGOWANY",0,IF(UPPER(E108)="SPRZEDAŻ",IF(L108&lt;&gt;"",L108,I108*M108),0))</f>
        <v/>
      </c>
      <c r="AL108" s="21">
        <f>AE108*Q108</f>
        <v/>
      </c>
      <c r="AM108">
        <f>IF(R108="","",IF(LOWER(R108)="brak","Brak",IF(OR(ISNUMBER(SEARCH("własn",LOWER(R108))),ISNUMBER(SEARCH("wlasn",LOWER(R108))),ISNUMBER(SEARCH("wojciechowski",LOWER(R108)))),"Własny","Zewnętrzny")))</f>
        <v/>
      </c>
      <c r="AN108" s="24">
        <f>IF(C108="","",YEAR(C108))</f>
        <v/>
      </c>
      <c r="AO108" s="24">
        <f>IF(C108="","",MONTH(C108))</f>
        <v/>
      </c>
      <c r="AP108">
        <f>IF(C108="","",UPPER(TEXT(C108,"mmmm")))</f>
        <v/>
      </c>
      <c r="AQ108">
        <f>IF(C108="","","Q"&amp;ROUNDUP(MONTH(C108)/3,0))</f>
        <v/>
      </c>
    </row>
    <row r="109">
      <c r="A109" s="19" t="n">
        <v>46224</v>
      </c>
      <c r="C109" s="19" t="n">
        <v>46224</v>
      </c>
      <c r="D109" t="inlineStr">
        <is>
          <t>Magazyn Zabrze</t>
        </is>
      </c>
      <c r="E109" t="inlineStr">
        <is>
          <t>PRODUKCJA</t>
        </is>
      </c>
      <c r="F109" t="inlineStr">
        <is>
          <t>PZ/21</t>
        </is>
      </c>
      <c r="G109" t="inlineStr">
        <is>
          <t>TAK</t>
        </is>
      </c>
      <c r="H109" t="inlineStr">
        <is>
          <t>KZR</t>
        </is>
      </c>
      <c r="I109" s="20" t="n">
        <v>80</v>
      </c>
      <c r="J109" t="inlineStr">
        <is>
          <t>MP</t>
        </is>
      </c>
      <c r="K109" s="21" t="n">
        <v>0</v>
      </c>
      <c r="L109" s="21" t="n">
        <v>0</v>
      </c>
      <c r="M109" s="21" t="n">
        <v>0</v>
      </c>
      <c r="N109" t="inlineStr">
        <is>
          <t>Zrębka Produkcyjna Inwestycyjna</t>
        </is>
      </c>
      <c r="O109" t="inlineStr">
        <is>
          <t>B</t>
        </is>
      </c>
      <c r="P109" t="inlineStr">
        <is>
          <t>własne</t>
        </is>
      </c>
      <c r="Q109" s="21" t="n">
        <v>10</v>
      </c>
      <c r="T109" s="22" t="n">
        <v>0</v>
      </c>
      <c r="U109" s="21" t="n">
        <v>0</v>
      </c>
      <c r="V109" s="21" t="n">
        <v>0</v>
      </c>
      <c r="W109" t="inlineStr">
        <is>
          <t>Magazyn Zabrze</t>
        </is>
      </c>
      <c r="Z109" t="inlineStr">
        <is>
          <t>Roesner Mateusz</t>
        </is>
      </c>
      <c r="AA109" s="23" t="n">
        <v>46224.94461805555</v>
      </c>
      <c r="AB109" t="inlineStr">
        <is>
          <t>OP-MIGR-00108</t>
        </is>
      </c>
      <c r="AD109" t="inlineStr">
        <is>
          <t>AKTYWNY</t>
        </is>
      </c>
      <c r="AE109" s="20">
        <f>IF(I109="",0,IF(ISNUMBER(SEARCH("MP",UPPER(J109))),I109,IF(ISNUMBER(SEARCH("TON",UPPER(J109))),I109/Przelicznik_MP_tona,IF(ISNUMBER(SEARCH("M3",UPPER(J109))),I109*Przelicznik_M3_MP,IF(ISNUMBER(SEARCH("GJ",UPPER(J109))),I109/Przelicznik_GJ_tona/Przelicznik_MP_tona,I109)))))</f>
        <v/>
      </c>
      <c r="AF109" s="20">
        <f>IF(I109="",0,IF(ISNUMBER(SEARCH("TON",UPPER(J109))),I109,IF(ISNUMBER(SEARCH("GJ",UPPER(J109))),I109/Przelicznik_GJ_tona,AE109*Przelicznik_MP_tona)))</f>
        <v/>
      </c>
      <c r="AG109" s="20">
        <f>AF109*Przelicznik_GJ_tona</f>
        <v/>
      </c>
      <c r="AH109" s="20">
        <f>IF(UPPER(AD109)="SKORYGOWANY",0,IF(OR(UPPER(E109)="TRANSPORT",UPPER(E109)="MM"),0,IF(UPPER(G109)&lt;&gt;"TAK",0,IF(OR(UPPER(E109)="ZAKUP",UPPER(E109)="PRODUKCJA"),AE109,IF(OR(UPPER(E109)="SPRZEDAŻ",UPPER(E109)="ZUŻYCIE"),-AE109,0)))))</f>
        <v/>
      </c>
      <c r="AI109" s="20">
        <f>IF(UPPER(AD109)="SKORYGOWANY",0,IF(OR(UPPER(E109)="TRANSPORT",UPPER(E109)="MM"),0,IF(UPPER(G109)&lt;&gt;"TAK",0,IF(OR(UPPER(E109)="ZAKUP",UPPER(E109)="PRODUKCJA"),AF109,IF(OR(UPPER(E109)="SPRZEDAŻ",UPPER(E109)="ZUŻYCIE"),-AF109,0)))))</f>
        <v/>
      </c>
      <c r="AJ109" s="21">
        <f>IF(UPPER(AD109)="SKORYGOWANY",0,IF(UPPER(E109)="ZAKUP",IF(L109&lt;&gt;"",L109,I109*K109),0))</f>
        <v/>
      </c>
      <c r="AK109" s="21">
        <f>IF(UPPER(AD109)="SKORYGOWANY",0,IF(UPPER(E109)="SPRZEDAŻ",IF(L109&lt;&gt;"",L109,I109*M109),0))</f>
        <v/>
      </c>
      <c r="AL109" s="21">
        <f>AE109*Q109</f>
        <v/>
      </c>
      <c r="AM109">
        <f>IF(R109="","",IF(LOWER(R109)="brak","Brak",IF(OR(ISNUMBER(SEARCH("własn",LOWER(R109))),ISNUMBER(SEARCH("wlasn",LOWER(R109))),ISNUMBER(SEARCH("wojciechowski",LOWER(R109)))),"Własny","Zewnętrzny")))</f>
        <v/>
      </c>
      <c r="AN109" s="24">
        <f>IF(C109="","",YEAR(C109))</f>
        <v/>
      </c>
      <c r="AO109" s="24">
        <f>IF(C109="","",MONTH(C109))</f>
        <v/>
      </c>
      <c r="AP109">
        <f>IF(C109="","",UPPER(TEXT(C109,"mmmm")))</f>
        <v/>
      </c>
      <c r="AQ109">
        <f>IF(C109="","","Q"&amp;ROUNDUP(MONTH(C109)/3,0))</f>
        <v/>
      </c>
    </row>
    <row r="110">
      <c r="A110" s="19" t="n">
        <v>46224</v>
      </c>
      <c r="C110" s="19" t="n">
        <v>46224</v>
      </c>
      <c r="D110" t="inlineStr">
        <is>
          <t>Magazyn Zabrze</t>
        </is>
      </c>
      <c r="E110" t="inlineStr">
        <is>
          <t>ZUŻYCIE</t>
        </is>
      </c>
      <c r="F110" t="inlineStr">
        <is>
          <t>PZ/21</t>
        </is>
      </c>
      <c r="G110" t="inlineStr">
        <is>
          <t>TAK</t>
        </is>
      </c>
      <c r="H110" t="inlineStr">
        <is>
          <t>KZR</t>
        </is>
      </c>
      <c r="I110" s="20" t="n">
        <v>80</v>
      </c>
      <c r="J110" t="inlineStr">
        <is>
          <t>MP</t>
        </is>
      </c>
      <c r="K110" s="21" t="n">
        <v>0</v>
      </c>
      <c r="L110" s="21" t="n">
        <v>0</v>
      </c>
      <c r="M110" s="21" t="n">
        <v>0</v>
      </c>
      <c r="N110" t="inlineStr">
        <is>
          <t>Zrębka Produkcyjna Inwestycyjna</t>
        </is>
      </c>
      <c r="O110" t="inlineStr">
        <is>
          <t>B</t>
        </is>
      </c>
      <c r="P110" t="inlineStr">
        <is>
          <t>własne</t>
        </is>
      </c>
      <c r="Q110" s="21" t="n">
        <v>10</v>
      </c>
      <c r="T110" s="22" t="n">
        <v>0</v>
      </c>
      <c r="U110" s="21" t="n">
        <v>0</v>
      </c>
      <c r="V110" s="21" t="n">
        <v>0</v>
      </c>
      <c r="W110" t="inlineStr">
        <is>
          <t>Magazyn Zabrze</t>
        </is>
      </c>
      <c r="Y110" t="inlineStr">
        <is>
          <t>Automatyczne zużycie surowca do produkcji</t>
        </is>
      </c>
      <c r="AA110" s="23" t="n">
        <v>46224.94461805555</v>
      </c>
      <c r="AB110" t="inlineStr">
        <is>
          <t>OP-MIGR-00109</t>
        </is>
      </c>
      <c r="AD110" t="inlineStr">
        <is>
          <t>AKTYWNY</t>
        </is>
      </c>
      <c r="AE110" s="20">
        <f>IF(I110="",0,IF(ISNUMBER(SEARCH("MP",UPPER(J110))),I110,IF(ISNUMBER(SEARCH("TON",UPPER(J110))),I110/Przelicznik_MP_tona,IF(ISNUMBER(SEARCH("M3",UPPER(J110))),I110*Przelicznik_M3_MP,IF(ISNUMBER(SEARCH("GJ",UPPER(J110))),I110/Przelicznik_GJ_tona/Przelicznik_MP_tona,I110)))))</f>
        <v/>
      </c>
      <c r="AF110" s="20">
        <f>IF(I110="",0,IF(ISNUMBER(SEARCH("TON",UPPER(J110))),I110,IF(ISNUMBER(SEARCH("GJ",UPPER(J110))),I110/Przelicznik_GJ_tona,AE110*Przelicznik_MP_tona)))</f>
        <v/>
      </c>
      <c r="AG110" s="20">
        <f>AF110*Przelicznik_GJ_tona</f>
        <v/>
      </c>
      <c r="AH110" s="20">
        <f>IF(UPPER(AD110)="SKORYGOWANY",0,IF(OR(UPPER(E110)="TRANSPORT",UPPER(E110)="MM"),0,IF(UPPER(G110)&lt;&gt;"TAK",0,IF(OR(UPPER(E110)="ZAKUP",UPPER(E110)="PRODUKCJA"),AE110,IF(OR(UPPER(E110)="SPRZEDAŻ",UPPER(E110)="ZUŻYCIE"),-AE110,0)))))</f>
        <v/>
      </c>
      <c r="AI110" s="20">
        <f>IF(UPPER(AD110)="SKORYGOWANY",0,IF(OR(UPPER(E110)="TRANSPORT",UPPER(E110)="MM"),0,IF(UPPER(G110)&lt;&gt;"TAK",0,IF(OR(UPPER(E110)="ZAKUP",UPPER(E110)="PRODUKCJA"),AF110,IF(OR(UPPER(E110)="SPRZEDAŻ",UPPER(E110)="ZUŻYCIE"),-AF110,0)))))</f>
        <v/>
      </c>
      <c r="AJ110" s="21">
        <f>IF(UPPER(AD110)="SKORYGOWANY",0,IF(UPPER(E110)="ZAKUP",IF(L110&lt;&gt;"",L110,I110*K110),0))</f>
        <v/>
      </c>
      <c r="AK110" s="21">
        <f>IF(UPPER(AD110)="SKORYGOWANY",0,IF(UPPER(E110)="SPRZEDAŻ",IF(L110&lt;&gt;"",L110,I110*M110),0))</f>
        <v/>
      </c>
      <c r="AL110" s="21">
        <f>AE110*Q110</f>
        <v/>
      </c>
      <c r="AM110">
        <f>IF(R110="","",IF(LOWER(R110)="brak","Brak",IF(OR(ISNUMBER(SEARCH("własn",LOWER(R110))),ISNUMBER(SEARCH("wlasn",LOWER(R110))),ISNUMBER(SEARCH("wojciechowski",LOWER(R110)))),"Własny","Zewnętrzny")))</f>
        <v/>
      </c>
      <c r="AN110" s="24">
        <f>IF(C110="","",YEAR(C110))</f>
        <v/>
      </c>
      <c r="AO110" s="24">
        <f>IF(C110="","",MONTH(C110))</f>
        <v/>
      </c>
      <c r="AP110">
        <f>IF(C110="","",UPPER(TEXT(C110,"mmmm")))</f>
        <v/>
      </c>
      <c r="AQ110">
        <f>IF(C110="","","Q"&amp;ROUNDUP(MONTH(C110)/3,0))</f>
        <v/>
      </c>
    </row>
    <row r="111">
      <c r="A111" s="19" t="n">
        <v>46224</v>
      </c>
      <c r="B111" t="inlineStr">
        <is>
          <t>Pszczyna</t>
        </is>
      </c>
      <c r="C111" s="19" t="n">
        <v>46224</v>
      </c>
      <c r="D111" t="inlineStr">
        <is>
          <t>Magazyn Zabrze</t>
        </is>
      </c>
      <c r="E111" t="inlineStr">
        <is>
          <t>ZAKUP</t>
        </is>
      </c>
      <c r="F111" t="inlineStr">
        <is>
          <t>PZ/21</t>
        </is>
      </c>
      <c r="G111" t="inlineStr">
        <is>
          <t>TAK</t>
        </is>
      </c>
      <c r="H111" t="inlineStr">
        <is>
          <t>KZR</t>
        </is>
      </c>
      <c r="I111" s="20" t="n">
        <v>80</v>
      </c>
      <c r="J111" t="inlineStr">
        <is>
          <t>MP</t>
        </is>
      </c>
      <c r="K111" s="21" t="n">
        <v>0</v>
      </c>
      <c r="L111" s="21" t="n">
        <v>0</v>
      </c>
      <c r="M111" s="21" t="n">
        <v>0</v>
      </c>
      <c r="N111" t="inlineStr">
        <is>
          <t>Zrębka Produkcyjna Inwestycyjna</t>
        </is>
      </c>
      <c r="O111" t="inlineStr">
        <is>
          <t>B</t>
        </is>
      </c>
      <c r="Q111" s="21" t="n">
        <v>0</v>
      </c>
      <c r="R111" t="inlineStr">
        <is>
          <t>własny (Kretek)</t>
        </is>
      </c>
      <c r="S111" t="inlineStr">
        <is>
          <t>SK 7J885</t>
        </is>
      </c>
      <c r="T111" s="22" t="n">
        <v>140</v>
      </c>
      <c r="U111" s="21" t="n">
        <v>5</v>
      </c>
      <c r="V111" s="21" t="n">
        <v>700</v>
      </c>
      <c r="W111" t="inlineStr">
        <is>
          <t>Magazyn Zabrze</t>
        </is>
      </c>
      <c r="Z111" t="inlineStr">
        <is>
          <t>Roesner Mateusz</t>
        </is>
      </c>
      <c r="AA111" s="23" t="n">
        <v>46224.94700231482</v>
      </c>
      <c r="AB111" t="inlineStr">
        <is>
          <t>OP-MIGR-00110</t>
        </is>
      </c>
      <c r="AD111" t="inlineStr">
        <is>
          <t>AKTYWNY</t>
        </is>
      </c>
      <c r="AE111" s="20">
        <f>IF(I111="",0,IF(ISNUMBER(SEARCH("MP",UPPER(J111))),I111,IF(ISNUMBER(SEARCH("TON",UPPER(J111))),I111/Przelicznik_MP_tona,IF(ISNUMBER(SEARCH("M3",UPPER(J111))),I111*Przelicznik_M3_MP,IF(ISNUMBER(SEARCH("GJ",UPPER(J111))),I111/Przelicznik_GJ_tona/Przelicznik_MP_tona,I111)))))</f>
        <v/>
      </c>
      <c r="AF111" s="20">
        <f>IF(I111="",0,IF(ISNUMBER(SEARCH("TON",UPPER(J111))),I111,IF(ISNUMBER(SEARCH("GJ",UPPER(J111))),I111/Przelicznik_GJ_tona,AE111*Przelicznik_MP_tona)))</f>
        <v/>
      </c>
      <c r="AG111" s="20">
        <f>AF111*Przelicznik_GJ_tona</f>
        <v/>
      </c>
      <c r="AH111" s="20">
        <f>IF(UPPER(AD111)="SKORYGOWANY",0,IF(OR(UPPER(E111)="TRANSPORT",UPPER(E111)="MM"),0,IF(UPPER(G111)&lt;&gt;"TAK",0,IF(OR(UPPER(E111)="ZAKUP",UPPER(E111)="PRODUKCJA"),AE111,IF(OR(UPPER(E111)="SPRZEDAŻ",UPPER(E111)="ZUŻYCIE"),-AE111,0)))))</f>
        <v/>
      </c>
      <c r="AI111" s="20">
        <f>IF(UPPER(AD111)="SKORYGOWANY",0,IF(OR(UPPER(E111)="TRANSPORT",UPPER(E111)="MM"),0,IF(UPPER(G111)&lt;&gt;"TAK",0,IF(OR(UPPER(E111)="ZAKUP",UPPER(E111)="PRODUKCJA"),AF111,IF(OR(UPPER(E111)="SPRZEDAŻ",UPPER(E111)="ZUŻYCIE"),-AF111,0)))))</f>
        <v/>
      </c>
      <c r="AJ111" s="21">
        <f>IF(UPPER(AD111)="SKORYGOWANY",0,IF(UPPER(E111)="ZAKUP",IF(L111&lt;&gt;"",L111,I111*K111),0))</f>
        <v/>
      </c>
      <c r="AK111" s="21">
        <f>IF(UPPER(AD111)="SKORYGOWANY",0,IF(UPPER(E111)="SPRZEDAŻ",IF(L111&lt;&gt;"",L111,I111*M111),0))</f>
        <v/>
      </c>
      <c r="AL111" s="21">
        <f>AE111*Q111</f>
        <v/>
      </c>
      <c r="AM111">
        <f>IF(R111="","",IF(LOWER(R111)="brak","Brak",IF(OR(ISNUMBER(SEARCH("własn",LOWER(R111))),ISNUMBER(SEARCH("wlasn",LOWER(R111))),ISNUMBER(SEARCH("wojciechowski",LOWER(R111)))),"Własny","Zewnętrzny")))</f>
        <v/>
      </c>
      <c r="AN111" s="24">
        <f>IF(C111="","",YEAR(C111))</f>
        <v/>
      </c>
      <c r="AO111" s="24">
        <f>IF(C111="","",MONTH(C111))</f>
        <v/>
      </c>
      <c r="AP111">
        <f>IF(C111="","",UPPER(TEXT(C111,"mmmm")))</f>
        <v/>
      </c>
      <c r="AQ111">
        <f>IF(C111="","","Q"&amp;ROUNDUP(MONTH(C111)/3,0))</f>
        <v/>
      </c>
    </row>
    <row r="112">
      <c r="A112" s="19" t="n">
        <v>46224</v>
      </c>
      <c r="B112" t="inlineStr">
        <is>
          <t>Gdańsk</t>
        </is>
      </c>
      <c r="C112" s="19" t="n">
        <v>46224</v>
      </c>
      <c r="D112" t="inlineStr">
        <is>
          <t>Port Północny Gdańsk</t>
        </is>
      </c>
      <c r="E112" t="inlineStr">
        <is>
          <t>ZAKUP</t>
        </is>
      </c>
      <c r="F112" t="inlineStr">
        <is>
          <t>PZ/2/ŁN</t>
        </is>
      </c>
      <c r="G112" t="inlineStr">
        <is>
          <t>TAK</t>
        </is>
      </c>
      <c r="H112" t="inlineStr">
        <is>
          <t>KZR</t>
        </is>
      </c>
      <c r="I112" s="20" t="n">
        <v>1095.5</v>
      </c>
      <c r="J112" t="inlineStr">
        <is>
          <t>TON</t>
        </is>
      </c>
      <c r="K112" s="21" t="n">
        <v>0</v>
      </c>
      <c r="L112" s="21" t="n">
        <v>0</v>
      </c>
      <c r="M112" s="21" t="n">
        <v>0</v>
      </c>
      <c r="N112" t="inlineStr">
        <is>
          <t>Łupiny nerkowca</t>
        </is>
      </c>
      <c r="Q112" s="21" t="n">
        <v>0</v>
      </c>
      <c r="R112" t="inlineStr">
        <is>
          <t>DB Cargo</t>
        </is>
      </c>
      <c r="T112" s="22" t="n">
        <v>0</v>
      </c>
      <c r="U112" s="21" t="n">
        <v>0</v>
      </c>
      <c r="V112" s="21" t="n">
        <v>0</v>
      </c>
      <c r="W112" t="inlineStr">
        <is>
          <t>Magazyn Zabrze</t>
        </is>
      </c>
      <c r="Y112" t="inlineStr">
        <is>
          <t>42 Wagony</t>
        </is>
      </c>
      <c r="Z112" t="inlineStr">
        <is>
          <t>Roesner Mateusz</t>
        </is>
      </c>
      <c r="AA112" s="23" t="n">
        <v>46231.30414351852</v>
      </c>
      <c r="AB112" t="inlineStr">
        <is>
          <t>OP-MIGR-00111</t>
        </is>
      </c>
      <c r="AD112" t="inlineStr">
        <is>
          <t>AKTYWNY</t>
        </is>
      </c>
      <c r="AE112" s="20">
        <f>IF(I112="",0,IF(ISNUMBER(SEARCH("MP",UPPER(J112))),I112,IF(ISNUMBER(SEARCH("TON",UPPER(J112))),I112/Przelicznik_MP_tona,IF(ISNUMBER(SEARCH("M3",UPPER(J112))),I112*Przelicznik_M3_MP,IF(ISNUMBER(SEARCH("GJ",UPPER(J112))),I112/Przelicznik_GJ_tona/Przelicznik_MP_tona,I112)))))</f>
        <v/>
      </c>
      <c r="AF112" s="20">
        <f>IF(I112="",0,IF(ISNUMBER(SEARCH("TON",UPPER(J112))),I112,IF(ISNUMBER(SEARCH("GJ",UPPER(J112))),I112/Przelicznik_GJ_tona,AE112*Przelicznik_MP_tona)))</f>
        <v/>
      </c>
      <c r="AG112" s="20">
        <f>AF112*Przelicznik_GJ_tona</f>
        <v/>
      </c>
      <c r="AH112" s="20">
        <f>IF(UPPER(AD112)="SKORYGOWANY",0,IF(OR(UPPER(E112)="TRANSPORT",UPPER(E112)="MM"),0,IF(UPPER(G112)&lt;&gt;"TAK",0,IF(OR(UPPER(E112)="ZAKUP",UPPER(E112)="PRODUKCJA"),AE112,IF(OR(UPPER(E112)="SPRZEDAŻ",UPPER(E112)="ZUŻYCIE"),-AE112,0)))))</f>
        <v/>
      </c>
      <c r="AI112" s="20">
        <f>IF(UPPER(AD112)="SKORYGOWANY",0,IF(OR(UPPER(E112)="TRANSPORT",UPPER(E112)="MM"),0,IF(UPPER(G112)&lt;&gt;"TAK",0,IF(OR(UPPER(E112)="ZAKUP",UPPER(E112)="PRODUKCJA"),AF112,IF(OR(UPPER(E112)="SPRZEDAŻ",UPPER(E112)="ZUŻYCIE"),-AF112,0)))))</f>
        <v/>
      </c>
      <c r="AJ112" s="21">
        <f>IF(UPPER(AD112)="SKORYGOWANY",0,IF(UPPER(E112)="ZAKUP",IF(L112&lt;&gt;"",L112,I112*K112),0))</f>
        <v/>
      </c>
      <c r="AK112" s="21">
        <f>IF(UPPER(AD112)="SKORYGOWANY",0,IF(UPPER(E112)="SPRZEDAŻ",IF(L112&lt;&gt;"",L112,I112*M112),0))</f>
        <v/>
      </c>
      <c r="AL112" s="21">
        <f>AE112*Q112</f>
        <v/>
      </c>
      <c r="AM112">
        <f>IF(R112="","",IF(LOWER(R112)="brak","Brak",IF(OR(ISNUMBER(SEARCH("własn",LOWER(R112))),ISNUMBER(SEARCH("wlasn",LOWER(R112))),ISNUMBER(SEARCH("wojciechowski",LOWER(R112)))),"Własny","Zewnętrzny")))</f>
        <v/>
      </c>
      <c r="AN112" s="24">
        <f>IF(C112="","",YEAR(C112))</f>
        <v/>
      </c>
      <c r="AO112" s="24">
        <f>IF(C112="","",MONTH(C112))</f>
        <v/>
      </c>
      <c r="AP112">
        <f>IF(C112="","",UPPER(TEXT(C112,"mmmm")))</f>
        <v/>
      </c>
      <c r="AQ112">
        <f>IF(C112="","","Q"&amp;ROUNDUP(MONTH(C112)/3,0))</f>
        <v/>
      </c>
    </row>
    <row r="113">
      <c r="A113" s="19" t="n">
        <v>46224</v>
      </c>
      <c r="C113" s="19" t="n">
        <v>46224</v>
      </c>
      <c r="D113" t="inlineStr">
        <is>
          <t>Fioskip Adam Skipioł</t>
        </is>
      </c>
      <c r="E113" t="inlineStr">
        <is>
          <t>ZAKUP</t>
        </is>
      </c>
      <c r="F113" t="inlineStr">
        <is>
          <t>PZ/22</t>
        </is>
      </c>
      <c r="G113" t="inlineStr">
        <is>
          <t>TAK</t>
        </is>
      </c>
      <c r="H113" t="inlineStr">
        <is>
          <t>KZR</t>
        </is>
      </c>
      <c r="I113" s="20" t="n">
        <v>80</v>
      </c>
      <c r="J113" t="inlineStr">
        <is>
          <t>MP</t>
        </is>
      </c>
      <c r="K113" s="21" t="n">
        <v>40</v>
      </c>
      <c r="L113" s="21" t="n">
        <v>3200</v>
      </c>
      <c r="M113" s="21" t="n">
        <v>0</v>
      </c>
      <c r="N113" t="inlineStr">
        <is>
          <t>Drewno przemysłowe z wycinek inwest.</t>
        </is>
      </c>
      <c r="O113" t="inlineStr">
        <is>
          <t>B</t>
        </is>
      </c>
      <c r="Q113" s="21" t="n">
        <v>0</v>
      </c>
      <c r="T113" s="22" t="n">
        <v>0</v>
      </c>
      <c r="U113" s="21" t="n">
        <v>0</v>
      </c>
      <c r="V113" s="21" t="n">
        <v>0</v>
      </c>
      <c r="W113" t="inlineStr">
        <is>
          <t>Magazyn Zabrze</t>
        </is>
      </c>
      <c r="Z113" t="inlineStr">
        <is>
          <t>Roesner Mateusz</t>
        </is>
      </c>
      <c r="AA113" s="23" t="n">
        <v>46233.61417824074</v>
      </c>
      <c r="AB113" t="inlineStr">
        <is>
          <t>OP-MIGR-00112</t>
        </is>
      </c>
      <c r="AD113" t="inlineStr">
        <is>
          <t>AKTYWNY</t>
        </is>
      </c>
      <c r="AE113" s="20">
        <f>IF(I113="",0,IF(ISNUMBER(SEARCH("MP",UPPER(J113))),I113,IF(ISNUMBER(SEARCH("TON",UPPER(J113))),I113/Przelicznik_MP_tona,IF(ISNUMBER(SEARCH("M3",UPPER(J113))),I113*Przelicznik_M3_MP,IF(ISNUMBER(SEARCH("GJ",UPPER(J113))),I113/Przelicznik_GJ_tona/Przelicznik_MP_tona,I113)))))</f>
        <v/>
      </c>
      <c r="AF113" s="20">
        <f>IF(I113="",0,IF(ISNUMBER(SEARCH("TON",UPPER(J113))),I113,IF(ISNUMBER(SEARCH("GJ",UPPER(J113))),I113/Przelicznik_GJ_tona,AE113*Przelicznik_MP_tona)))</f>
        <v/>
      </c>
      <c r="AG113" s="20">
        <f>AF113*Przelicznik_GJ_tona</f>
        <v/>
      </c>
      <c r="AH113" s="20">
        <f>IF(UPPER(AD113)="SKORYGOWANY",0,IF(OR(UPPER(E113)="TRANSPORT",UPPER(E113)="MM"),0,IF(UPPER(G113)&lt;&gt;"TAK",0,IF(OR(UPPER(E113)="ZAKUP",UPPER(E113)="PRODUKCJA"),AE113,IF(OR(UPPER(E113)="SPRZEDAŻ",UPPER(E113)="ZUŻYCIE"),-AE113,0)))))</f>
        <v/>
      </c>
      <c r="AI113" s="20">
        <f>IF(UPPER(AD113)="SKORYGOWANY",0,IF(OR(UPPER(E113)="TRANSPORT",UPPER(E113)="MM"),0,IF(UPPER(G113)&lt;&gt;"TAK",0,IF(OR(UPPER(E113)="ZAKUP",UPPER(E113)="PRODUKCJA"),AF113,IF(OR(UPPER(E113)="SPRZEDAŻ",UPPER(E113)="ZUŻYCIE"),-AF113,0)))))</f>
        <v/>
      </c>
      <c r="AJ113" s="21">
        <f>IF(UPPER(AD113)="SKORYGOWANY",0,IF(UPPER(E113)="ZAKUP",IF(L113&lt;&gt;"",L113,I113*K113),0))</f>
        <v/>
      </c>
      <c r="AK113" s="21">
        <f>IF(UPPER(AD113)="SKORYGOWANY",0,IF(UPPER(E113)="SPRZEDAŻ",IF(L113&lt;&gt;"",L113,I113*M113),0))</f>
        <v/>
      </c>
      <c r="AL113" s="21">
        <f>AE113*Q113</f>
        <v/>
      </c>
      <c r="AM113">
        <f>IF(R113="","",IF(LOWER(R113)="brak","Brak",IF(OR(ISNUMBER(SEARCH("własn",LOWER(R113))),ISNUMBER(SEARCH("wlasn",LOWER(R113))),ISNUMBER(SEARCH("wojciechowski",LOWER(R113)))),"Własny","Zewnętrzny")))</f>
        <v/>
      </c>
      <c r="AN113" s="24">
        <f>IF(C113="","",YEAR(C113))</f>
        <v/>
      </c>
      <c r="AO113" s="24">
        <f>IF(C113="","",MONTH(C113))</f>
        <v/>
      </c>
      <c r="AP113">
        <f>IF(C113="","",UPPER(TEXT(C113,"mmmm")))</f>
        <v/>
      </c>
      <c r="AQ113">
        <f>IF(C113="","","Q"&amp;ROUNDUP(MONTH(C113)/3,0))</f>
        <v/>
      </c>
    </row>
    <row r="114">
      <c r="A114" s="19" t="n">
        <v>46224</v>
      </c>
      <c r="C114" s="19" t="n">
        <v>46224</v>
      </c>
      <c r="D114" t="inlineStr">
        <is>
          <t>Magazyn Zabrze</t>
        </is>
      </c>
      <c r="E114" t="inlineStr">
        <is>
          <t>PRODUKCJA</t>
        </is>
      </c>
      <c r="F114" t="inlineStr">
        <is>
          <t>PZ/22</t>
        </is>
      </c>
      <c r="G114" t="inlineStr">
        <is>
          <t>TAK</t>
        </is>
      </c>
      <c r="H114" t="inlineStr">
        <is>
          <t>KZR</t>
        </is>
      </c>
      <c r="I114" s="20" t="n">
        <v>80</v>
      </c>
      <c r="J114" t="inlineStr">
        <is>
          <t>MP</t>
        </is>
      </c>
      <c r="K114" s="21" t="n">
        <v>0</v>
      </c>
      <c r="L114" s="21" t="n">
        <v>0</v>
      </c>
      <c r="M114" s="21" t="n">
        <v>0</v>
      </c>
      <c r="N114" t="inlineStr">
        <is>
          <t>Zrębka Produkcyjna Inwestycyjna</t>
        </is>
      </c>
      <c r="O114" t="inlineStr">
        <is>
          <t>B</t>
        </is>
      </c>
      <c r="P114" t="inlineStr">
        <is>
          <t>własne</t>
        </is>
      </c>
      <c r="Q114" s="21" t="n">
        <v>10</v>
      </c>
      <c r="T114" s="22" t="n">
        <v>0</v>
      </c>
      <c r="U114" s="21" t="n">
        <v>0</v>
      </c>
      <c r="V114" s="21" t="n">
        <v>0</v>
      </c>
      <c r="W114" t="inlineStr">
        <is>
          <t>Magazyn Zabrze</t>
        </is>
      </c>
      <c r="Z114" t="inlineStr">
        <is>
          <t>Roesner Mateusz</t>
        </is>
      </c>
      <c r="AA114" s="23" t="n">
        <v>46233.61767361111</v>
      </c>
      <c r="AB114" t="inlineStr">
        <is>
          <t>OP-MIGR-00113</t>
        </is>
      </c>
      <c r="AD114" t="inlineStr">
        <is>
          <t>AKTYWNY</t>
        </is>
      </c>
      <c r="AE114" s="20">
        <f>IF(I114="",0,IF(ISNUMBER(SEARCH("MP",UPPER(J114))),I114,IF(ISNUMBER(SEARCH("TON",UPPER(J114))),I114/Przelicznik_MP_tona,IF(ISNUMBER(SEARCH("M3",UPPER(J114))),I114*Przelicznik_M3_MP,IF(ISNUMBER(SEARCH("GJ",UPPER(J114))),I114/Przelicznik_GJ_tona/Przelicznik_MP_tona,I114)))))</f>
        <v/>
      </c>
      <c r="AF114" s="20">
        <f>IF(I114="",0,IF(ISNUMBER(SEARCH("TON",UPPER(J114))),I114,IF(ISNUMBER(SEARCH("GJ",UPPER(J114))),I114/Przelicznik_GJ_tona,AE114*Przelicznik_MP_tona)))</f>
        <v/>
      </c>
      <c r="AG114" s="20">
        <f>AF114*Przelicznik_GJ_tona</f>
        <v/>
      </c>
      <c r="AH114" s="20">
        <f>IF(UPPER(AD114)="SKORYGOWANY",0,IF(OR(UPPER(E114)="TRANSPORT",UPPER(E114)="MM"),0,IF(UPPER(G114)&lt;&gt;"TAK",0,IF(OR(UPPER(E114)="ZAKUP",UPPER(E114)="PRODUKCJA"),AE114,IF(OR(UPPER(E114)="SPRZEDAŻ",UPPER(E114)="ZUŻYCIE"),-AE114,0)))))</f>
        <v/>
      </c>
      <c r="AI114" s="20">
        <f>IF(UPPER(AD114)="SKORYGOWANY",0,IF(OR(UPPER(E114)="TRANSPORT",UPPER(E114)="MM"),0,IF(UPPER(G114)&lt;&gt;"TAK",0,IF(OR(UPPER(E114)="ZAKUP",UPPER(E114)="PRODUKCJA"),AF114,IF(OR(UPPER(E114)="SPRZEDAŻ",UPPER(E114)="ZUŻYCIE"),-AF114,0)))))</f>
        <v/>
      </c>
      <c r="AJ114" s="21">
        <f>IF(UPPER(AD114)="SKORYGOWANY",0,IF(UPPER(E114)="ZAKUP",IF(L114&lt;&gt;"",L114,I114*K114),0))</f>
        <v/>
      </c>
      <c r="AK114" s="21">
        <f>IF(UPPER(AD114)="SKORYGOWANY",0,IF(UPPER(E114)="SPRZEDAŻ",IF(L114&lt;&gt;"",L114,I114*M114),0))</f>
        <v/>
      </c>
      <c r="AL114" s="21">
        <f>AE114*Q114</f>
        <v/>
      </c>
      <c r="AM114">
        <f>IF(R114="","",IF(LOWER(R114)="brak","Brak",IF(OR(ISNUMBER(SEARCH("własn",LOWER(R114))),ISNUMBER(SEARCH("wlasn",LOWER(R114))),ISNUMBER(SEARCH("wojciechowski",LOWER(R114)))),"Własny","Zewnętrzny")))</f>
        <v/>
      </c>
      <c r="AN114" s="24">
        <f>IF(C114="","",YEAR(C114))</f>
        <v/>
      </c>
      <c r="AO114" s="24">
        <f>IF(C114="","",MONTH(C114))</f>
        <v/>
      </c>
      <c r="AP114">
        <f>IF(C114="","",UPPER(TEXT(C114,"mmmm")))</f>
        <v/>
      </c>
      <c r="AQ114">
        <f>IF(C114="","","Q"&amp;ROUNDUP(MONTH(C114)/3,0))</f>
        <v/>
      </c>
    </row>
    <row r="115">
      <c r="A115" s="19" t="n">
        <v>46224</v>
      </c>
      <c r="C115" s="19" t="n">
        <v>46224</v>
      </c>
      <c r="D115" t="inlineStr">
        <is>
          <t>Magazyn Zabrze</t>
        </is>
      </c>
      <c r="E115" t="inlineStr">
        <is>
          <t>ZUŻYCIE</t>
        </is>
      </c>
      <c r="F115" t="inlineStr">
        <is>
          <t>PZ/22</t>
        </is>
      </c>
      <c r="G115" t="inlineStr">
        <is>
          <t>TAK</t>
        </is>
      </c>
      <c r="H115" t="inlineStr">
        <is>
          <t>KZR</t>
        </is>
      </c>
      <c r="I115" s="20" t="n">
        <v>80</v>
      </c>
      <c r="J115" t="inlineStr">
        <is>
          <t>MP</t>
        </is>
      </c>
      <c r="K115" s="21" t="n">
        <v>0</v>
      </c>
      <c r="L115" s="21" t="n">
        <v>0</v>
      </c>
      <c r="M115" s="21" t="n">
        <v>0</v>
      </c>
      <c r="N115" t="inlineStr">
        <is>
          <t>Zrębka Produkcyjna Inwestycyjna</t>
        </is>
      </c>
      <c r="O115" t="inlineStr">
        <is>
          <t>B</t>
        </is>
      </c>
      <c r="P115" t="inlineStr">
        <is>
          <t>własne</t>
        </is>
      </c>
      <c r="Q115" s="21" t="n">
        <v>10</v>
      </c>
      <c r="T115" s="22" t="n">
        <v>0</v>
      </c>
      <c r="U115" s="21" t="n">
        <v>0</v>
      </c>
      <c r="V115" s="21" t="n">
        <v>0</v>
      </c>
      <c r="W115" t="inlineStr">
        <is>
          <t>Magazyn Zabrze</t>
        </is>
      </c>
      <c r="Y115" t="inlineStr">
        <is>
          <t>Automatyczne zużycie surowca do produkcji</t>
        </is>
      </c>
      <c r="AA115" s="23" t="n">
        <v>46233.61767361111</v>
      </c>
      <c r="AB115" t="inlineStr">
        <is>
          <t>OP-MIGR-00114</t>
        </is>
      </c>
      <c r="AD115" t="inlineStr">
        <is>
          <t>AKTYWNY</t>
        </is>
      </c>
      <c r="AE115" s="20">
        <f>IF(I115="",0,IF(ISNUMBER(SEARCH("MP",UPPER(J115))),I115,IF(ISNUMBER(SEARCH("TON",UPPER(J115))),I115/Przelicznik_MP_tona,IF(ISNUMBER(SEARCH("M3",UPPER(J115))),I115*Przelicznik_M3_MP,IF(ISNUMBER(SEARCH("GJ",UPPER(J115))),I115/Przelicznik_GJ_tona/Przelicznik_MP_tona,I115)))))</f>
        <v/>
      </c>
      <c r="AF115" s="20">
        <f>IF(I115="",0,IF(ISNUMBER(SEARCH("TON",UPPER(J115))),I115,IF(ISNUMBER(SEARCH("GJ",UPPER(J115))),I115/Przelicznik_GJ_tona,AE115*Przelicznik_MP_tona)))</f>
        <v/>
      </c>
      <c r="AG115" s="20">
        <f>AF115*Przelicznik_GJ_tona</f>
        <v/>
      </c>
      <c r="AH115" s="20">
        <f>IF(UPPER(AD115)="SKORYGOWANY",0,IF(OR(UPPER(E115)="TRANSPORT",UPPER(E115)="MM"),0,IF(UPPER(G115)&lt;&gt;"TAK",0,IF(OR(UPPER(E115)="ZAKUP",UPPER(E115)="PRODUKCJA"),AE115,IF(OR(UPPER(E115)="SPRZEDAŻ",UPPER(E115)="ZUŻYCIE"),-AE115,0)))))</f>
        <v/>
      </c>
      <c r="AI115" s="20">
        <f>IF(UPPER(AD115)="SKORYGOWANY",0,IF(OR(UPPER(E115)="TRANSPORT",UPPER(E115)="MM"),0,IF(UPPER(G115)&lt;&gt;"TAK",0,IF(OR(UPPER(E115)="ZAKUP",UPPER(E115)="PRODUKCJA"),AF115,IF(OR(UPPER(E115)="SPRZEDAŻ",UPPER(E115)="ZUŻYCIE"),-AF115,0)))))</f>
        <v/>
      </c>
      <c r="AJ115" s="21">
        <f>IF(UPPER(AD115)="SKORYGOWANY",0,IF(UPPER(E115)="ZAKUP",IF(L115&lt;&gt;"",L115,I115*K115),0))</f>
        <v/>
      </c>
      <c r="AK115" s="21">
        <f>IF(UPPER(AD115)="SKORYGOWANY",0,IF(UPPER(E115)="SPRZEDAŻ",IF(L115&lt;&gt;"",L115,I115*M115),0))</f>
        <v/>
      </c>
      <c r="AL115" s="21">
        <f>AE115*Q115</f>
        <v/>
      </c>
      <c r="AM115">
        <f>IF(R115="","",IF(LOWER(R115)="brak","Brak",IF(OR(ISNUMBER(SEARCH("własn",LOWER(R115))),ISNUMBER(SEARCH("wlasn",LOWER(R115))),ISNUMBER(SEARCH("wojciechowski",LOWER(R115)))),"Własny","Zewnętrzny")))</f>
        <v/>
      </c>
      <c r="AN115" s="24">
        <f>IF(C115="","",YEAR(C115))</f>
        <v/>
      </c>
      <c r="AO115" s="24">
        <f>IF(C115="","",MONTH(C115))</f>
        <v/>
      </c>
      <c r="AP115">
        <f>IF(C115="","",UPPER(TEXT(C115,"mmmm")))</f>
        <v/>
      </c>
      <c r="AQ115">
        <f>IF(C115="","","Q"&amp;ROUNDUP(MONTH(C115)/3,0))</f>
        <v/>
      </c>
    </row>
    <row r="116">
      <c r="A116" s="19" t="n">
        <v>46224</v>
      </c>
      <c r="B116" t="inlineStr">
        <is>
          <t>Pszczyna</t>
        </is>
      </c>
      <c r="C116" s="19" t="n">
        <v>46224</v>
      </c>
      <c r="D116" t="inlineStr">
        <is>
          <t>Magazyn Zabrze</t>
        </is>
      </c>
      <c r="E116" t="inlineStr">
        <is>
          <t>ZAKUP</t>
        </is>
      </c>
      <c r="F116" t="inlineStr">
        <is>
          <t>PZ/22</t>
        </is>
      </c>
      <c r="G116" t="inlineStr">
        <is>
          <t>TAK</t>
        </is>
      </c>
      <c r="H116" t="inlineStr">
        <is>
          <t>KZR</t>
        </is>
      </c>
      <c r="I116" s="20" t="n">
        <v>80</v>
      </c>
      <c r="J116" t="inlineStr">
        <is>
          <t>MP</t>
        </is>
      </c>
      <c r="K116" s="21" t="n">
        <v>0</v>
      </c>
      <c r="L116" s="21" t="n">
        <v>0</v>
      </c>
      <c r="M116" s="21" t="n">
        <v>0</v>
      </c>
      <c r="N116" t="inlineStr">
        <is>
          <t>Zrębka Produkcyjna Inwestycyjna</t>
        </is>
      </c>
      <c r="O116" t="inlineStr">
        <is>
          <t>B</t>
        </is>
      </c>
      <c r="Q116" s="21" t="n">
        <v>0</v>
      </c>
      <c r="R116" t="inlineStr">
        <is>
          <t>własny (Kretek)</t>
        </is>
      </c>
      <c r="S116" t="inlineStr">
        <is>
          <t>SK 7J885</t>
        </is>
      </c>
      <c r="T116" s="22" t="n">
        <v>140</v>
      </c>
      <c r="U116" s="21" t="n">
        <v>5</v>
      </c>
      <c r="V116" s="21" t="n">
        <v>700</v>
      </c>
      <c r="W116" t="inlineStr">
        <is>
          <t>Magazyn Zabrze</t>
        </is>
      </c>
      <c r="Z116" t="inlineStr">
        <is>
          <t>Roesner Mateusz</t>
        </is>
      </c>
      <c r="AA116" s="23" t="n">
        <v>46233.62138888889</v>
      </c>
      <c r="AB116" t="inlineStr">
        <is>
          <t>OP-MIGR-00115</t>
        </is>
      </c>
      <c r="AD116" t="inlineStr">
        <is>
          <t>AKTYWNY</t>
        </is>
      </c>
      <c r="AE116" s="20">
        <f>IF(I116="",0,IF(ISNUMBER(SEARCH("MP",UPPER(J116))),I116,IF(ISNUMBER(SEARCH("TON",UPPER(J116))),I116/Przelicznik_MP_tona,IF(ISNUMBER(SEARCH("M3",UPPER(J116))),I116*Przelicznik_M3_MP,IF(ISNUMBER(SEARCH("GJ",UPPER(J116))),I116/Przelicznik_GJ_tona/Przelicznik_MP_tona,I116)))))</f>
        <v/>
      </c>
      <c r="AF116" s="20">
        <f>IF(I116="",0,IF(ISNUMBER(SEARCH("TON",UPPER(J116))),I116,IF(ISNUMBER(SEARCH("GJ",UPPER(J116))),I116/Przelicznik_GJ_tona,AE116*Przelicznik_MP_tona)))</f>
        <v/>
      </c>
      <c r="AG116" s="20">
        <f>AF116*Przelicznik_GJ_tona</f>
        <v/>
      </c>
      <c r="AH116" s="20">
        <f>IF(UPPER(AD116)="SKORYGOWANY",0,IF(OR(UPPER(E116)="TRANSPORT",UPPER(E116)="MM"),0,IF(UPPER(G116)&lt;&gt;"TAK",0,IF(OR(UPPER(E116)="ZAKUP",UPPER(E116)="PRODUKCJA"),AE116,IF(OR(UPPER(E116)="SPRZEDAŻ",UPPER(E116)="ZUŻYCIE"),-AE116,0)))))</f>
        <v/>
      </c>
      <c r="AI116" s="20">
        <f>IF(UPPER(AD116)="SKORYGOWANY",0,IF(OR(UPPER(E116)="TRANSPORT",UPPER(E116)="MM"),0,IF(UPPER(G116)&lt;&gt;"TAK",0,IF(OR(UPPER(E116)="ZAKUP",UPPER(E116)="PRODUKCJA"),AF116,IF(OR(UPPER(E116)="SPRZEDAŻ",UPPER(E116)="ZUŻYCIE"),-AF116,0)))))</f>
        <v/>
      </c>
      <c r="AJ116" s="21">
        <f>IF(UPPER(AD116)="SKORYGOWANY",0,IF(UPPER(E116)="ZAKUP",IF(L116&lt;&gt;"",L116,I116*K116),0))</f>
        <v/>
      </c>
      <c r="AK116" s="21">
        <f>IF(UPPER(AD116)="SKORYGOWANY",0,IF(UPPER(E116)="SPRZEDAŻ",IF(L116&lt;&gt;"",L116,I116*M116),0))</f>
        <v/>
      </c>
      <c r="AL116" s="21">
        <f>AE116*Q116</f>
        <v/>
      </c>
      <c r="AM116">
        <f>IF(R116="","",IF(LOWER(R116)="brak","Brak",IF(OR(ISNUMBER(SEARCH("własn",LOWER(R116))),ISNUMBER(SEARCH("wlasn",LOWER(R116))),ISNUMBER(SEARCH("wojciechowski",LOWER(R116)))),"Własny","Zewnętrzny")))</f>
        <v/>
      </c>
      <c r="AN116" s="24">
        <f>IF(C116="","",YEAR(C116))</f>
        <v/>
      </c>
      <c r="AO116" s="24">
        <f>IF(C116="","",MONTH(C116))</f>
        <v/>
      </c>
      <c r="AP116">
        <f>IF(C116="","",UPPER(TEXT(C116,"mmmm")))</f>
        <v/>
      </c>
      <c r="AQ116">
        <f>IF(C116="","","Q"&amp;ROUNDUP(MONTH(C116)/3,0))</f>
        <v/>
      </c>
    </row>
    <row r="117">
      <c r="A117" s="19" t="n">
        <v>46224</v>
      </c>
      <c r="C117" s="19" t="n">
        <v>46224</v>
      </c>
      <c r="D117" t="inlineStr">
        <is>
          <t>Fioskip Adam Skipioł</t>
        </is>
      </c>
      <c r="E117" t="inlineStr">
        <is>
          <t>ZAKUP</t>
        </is>
      </c>
      <c r="F117" t="inlineStr">
        <is>
          <t>PZ/23</t>
        </is>
      </c>
      <c r="G117" t="inlineStr">
        <is>
          <t>TAK</t>
        </is>
      </c>
      <c r="H117" t="inlineStr">
        <is>
          <t>KZR</t>
        </is>
      </c>
      <c r="I117" s="20" t="n">
        <v>80</v>
      </c>
      <c r="J117" t="inlineStr">
        <is>
          <t>MP</t>
        </is>
      </c>
      <c r="K117" s="21" t="n">
        <v>40</v>
      </c>
      <c r="L117" s="21" t="n">
        <v>3200</v>
      </c>
      <c r="M117" s="21" t="n">
        <v>0</v>
      </c>
      <c r="N117" t="inlineStr">
        <is>
          <t>Drewno przemysłowe z wycinek inwest.</t>
        </is>
      </c>
      <c r="O117" t="inlineStr">
        <is>
          <t>B</t>
        </is>
      </c>
      <c r="Q117" s="21" t="n">
        <v>0</v>
      </c>
      <c r="T117" s="22" t="n">
        <v>0</v>
      </c>
      <c r="U117" s="21" t="n">
        <v>0</v>
      </c>
      <c r="V117" s="21" t="n">
        <v>0</v>
      </c>
      <c r="W117" t="inlineStr">
        <is>
          <t>Magazyn Zabrze</t>
        </is>
      </c>
      <c r="Z117" t="inlineStr">
        <is>
          <t>Roesner Mateusz</t>
        </is>
      </c>
      <c r="AA117" s="23" t="n">
        <v>46233.62255787037</v>
      </c>
      <c r="AB117" t="inlineStr">
        <is>
          <t>OP-MIGR-00116</t>
        </is>
      </c>
      <c r="AD117" t="inlineStr">
        <is>
          <t>AKTYWNY</t>
        </is>
      </c>
      <c r="AE117" s="20">
        <f>IF(I117="",0,IF(ISNUMBER(SEARCH("MP",UPPER(J117))),I117,IF(ISNUMBER(SEARCH("TON",UPPER(J117))),I117/Przelicznik_MP_tona,IF(ISNUMBER(SEARCH("M3",UPPER(J117))),I117*Przelicznik_M3_MP,IF(ISNUMBER(SEARCH("GJ",UPPER(J117))),I117/Przelicznik_GJ_tona/Przelicznik_MP_tona,I117)))))</f>
        <v/>
      </c>
      <c r="AF117" s="20">
        <f>IF(I117="",0,IF(ISNUMBER(SEARCH("TON",UPPER(J117))),I117,IF(ISNUMBER(SEARCH("GJ",UPPER(J117))),I117/Przelicznik_GJ_tona,AE117*Przelicznik_MP_tona)))</f>
        <v/>
      </c>
      <c r="AG117" s="20">
        <f>AF117*Przelicznik_GJ_tona</f>
        <v/>
      </c>
      <c r="AH117" s="20">
        <f>IF(UPPER(AD117)="SKORYGOWANY",0,IF(OR(UPPER(E117)="TRANSPORT",UPPER(E117)="MM"),0,IF(UPPER(G117)&lt;&gt;"TAK",0,IF(OR(UPPER(E117)="ZAKUP",UPPER(E117)="PRODUKCJA"),AE117,IF(OR(UPPER(E117)="SPRZEDAŻ",UPPER(E117)="ZUŻYCIE"),-AE117,0)))))</f>
        <v/>
      </c>
      <c r="AI117" s="20">
        <f>IF(UPPER(AD117)="SKORYGOWANY",0,IF(OR(UPPER(E117)="TRANSPORT",UPPER(E117)="MM"),0,IF(UPPER(G117)&lt;&gt;"TAK",0,IF(OR(UPPER(E117)="ZAKUP",UPPER(E117)="PRODUKCJA"),AF117,IF(OR(UPPER(E117)="SPRZEDAŻ",UPPER(E117)="ZUŻYCIE"),-AF117,0)))))</f>
        <v/>
      </c>
      <c r="AJ117" s="21">
        <f>IF(UPPER(AD117)="SKORYGOWANY",0,IF(UPPER(E117)="ZAKUP",IF(L117&lt;&gt;"",L117,I117*K117),0))</f>
        <v/>
      </c>
      <c r="AK117" s="21">
        <f>IF(UPPER(AD117)="SKORYGOWANY",0,IF(UPPER(E117)="SPRZEDAŻ",IF(L117&lt;&gt;"",L117,I117*M117),0))</f>
        <v/>
      </c>
      <c r="AL117" s="21">
        <f>AE117*Q117</f>
        <v/>
      </c>
      <c r="AM117">
        <f>IF(R117="","",IF(LOWER(R117)="brak","Brak",IF(OR(ISNUMBER(SEARCH("własn",LOWER(R117))),ISNUMBER(SEARCH("wlasn",LOWER(R117))),ISNUMBER(SEARCH("wojciechowski",LOWER(R117)))),"Własny","Zewnętrzny")))</f>
        <v/>
      </c>
      <c r="AN117" s="24">
        <f>IF(C117="","",YEAR(C117))</f>
        <v/>
      </c>
      <c r="AO117" s="24">
        <f>IF(C117="","",MONTH(C117))</f>
        <v/>
      </c>
      <c r="AP117">
        <f>IF(C117="","",UPPER(TEXT(C117,"mmmm")))</f>
        <v/>
      </c>
      <c r="AQ117">
        <f>IF(C117="","","Q"&amp;ROUNDUP(MONTH(C117)/3,0))</f>
        <v/>
      </c>
    </row>
    <row r="118">
      <c r="A118" s="19" t="n">
        <v>46224</v>
      </c>
      <c r="C118" s="19" t="n">
        <v>46224</v>
      </c>
      <c r="D118" t="inlineStr">
        <is>
          <t>Magazyn Zabrze</t>
        </is>
      </c>
      <c r="E118" t="inlineStr">
        <is>
          <t>PRODUKCJA</t>
        </is>
      </c>
      <c r="F118" t="inlineStr">
        <is>
          <t>PZ/23</t>
        </is>
      </c>
      <c r="G118" t="inlineStr">
        <is>
          <t>TAK</t>
        </is>
      </c>
      <c r="H118" t="inlineStr">
        <is>
          <t>KZR</t>
        </is>
      </c>
      <c r="I118" s="20" t="n">
        <v>80</v>
      </c>
      <c r="J118" t="inlineStr">
        <is>
          <t>MP</t>
        </is>
      </c>
      <c r="K118" s="21" t="n">
        <v>0</v>
      </c>
      <c r="L118" s="21" t="n">
        <v>0</v>
      </c>
      <c r="M118" s="21" t="n">
        <v>0</v>
      </c>
      <c r="N118" t="inlineStr">
        <is>
          <t>Zrębka Produkcyjna Inwestycyjna</t>
        </is>
      </c>
      <c r="O118" t="inlineStr">
        <is>
          <t>B</t>
        </is>
      </c>
      <c r="P118" t="inlineStr">
        <is>
          <t>własne</t>
        </is>
      </c>
      <c r="Q118" s="21" t="n">
        <v>10</v>
      </c>
      <c r="T118" s="22" t="n">
        <v>0</v>
      </c>
      <c r="U118" s="21" t="n">
        <v>0</v>
      </c>
      <c r="V118" s="21" t="n">
        <v>0</v>
      </c>
      <c r="W118" t="inlineStr">
        <is>
          <t>Magazyn Zabrze</t>
        </is>
      </c>
      <c r="Z118" t="inlineStr">
        <is>
          <t>Roesner Mateusz</t>
        </is>
      </c>
      <c r="AA118" s="23" t="n">
        <v>46233.62298611111</v>
      </c>
      <c r="AB118" t="inlineStr">
        <is>
          <t>OP-MIGR-00117</t>
        </is>
      </c>
      <c r="AD118" t="inlineStr">
        <is>
          <t>AKTYWNY</t>
        </is>
      </c>
      <c r="AE118" s="20">
        <f>IF(I118="",0,IF(ISNUMBER(SEARCH("MP",UPPER(J118))),I118,IF(ISNUMBER(SEARCH("TON",UPPER(J118))),I118/Przelicznik_MP_tona,IF(ISNUMBER(SEARCH("M3",UPPER(J118))),I118*Przelicznik_M3_MP,IF(ISNUMBER(SEARCH("GJ",UPPER(J118))),I118/Przelicznik_GJ_tona/Przelicznik_MP_tona,I118)))))</f>
        <v/>
      </c>
      <c r="AF118" s="20">
        <f>IF(I118="",0,IF(ISNUMBER(SEARCH("TON",UPPER(J118))),I118,IF(ISNUMBER(SEARCH("GJ",UPPER(J118))),I118/Przelicznik_GJ_tona,AE118*Przelicznik_MP_tona)))</f>
        <v/>
      </c>
      <c r="AG118" s="20">
        <f>AF118*Przelicznik_GJ_tona</f>
        <v/>
      </c>
      <c r="AH118" s="20">
        <f>IF(UPPER(AD118)="SKORYGOWANY",0,IF(OR(UPPER(E118)="TRANSPORT",UPPER(E118)="MM"),0,IF(UPPER(G118)&lt;&gt;"TAK",0,IF(OR(UPPER(E118)="ZAKUP",UPPER(E118)="PRODUKCJA"),AE118,IF(OR(UPPER(E118)="SPRZEDAŻ",UPPER(E118)="ZUŻYCIE"),-AE118,0)))))</f>
        <v/>
      </c>
      <c r="AI118" s="20">
        <f>IF(UPPER(AD118)="SKORYGOWANY",0,IF(OR(UPPER(E118)="TRANSPORT",UPPER(E118)="MM"),0,IF(UPPER(G118)&lt;&gt;"TAK",0,IF(OR(UPPER(E118)="ZAKUP",UPPER(E118)="PRODUKCJA"),AF118,IF(OR(UPPER(E118)="SPRZEDAŻ",UPPER(E118)="ZUŻYCIE"),-AF118,0)))))</f>
        <v/>
      </c>
      <c r="AJ118" s="21">
        <f>IF(UPPER(AD118)="SKORYGOWANY",0,IF(UPPER(E118)="ZAKUP",IF(L118&lt;&gt;"",L118,I118*K118),0))</f>
        <v/>
      </c>
      <c r="AK118" s="21">
        <f>IF(UPPER(AD118)="SKORYGOWANY",0,IF(UPPER(E118)="SPRZEDAŻ",IF(L118&lt;&gt;"",L118,I118*M118),0))</f>
        <v/>
      </c>
      <c r="AL118" s="21">
        <f>AE118*Q118</f>
        <v/>
      </c>
      <c r="AM118">
        <f>IF(R118="","",IF(LOWER(R118)="brak","Brak",IF(OR(ISNUMBER(SEARCH("własn",LOWER(R118))),ISNUMBER(SEARCH("wlasn",LOWER(R118))),ISNUMBER(SEARCH("wojciechowski",LOWER(R118)))),"Własny","Zewnętrzny")))</f>
        <v/>
      </c>
      <c r="AN118" s="24">
        <f>IF(C118="","",YEAR(C118))</f>
        <v/>
      </c>
      <c r="AO118" s="24">
        <f>IF(C118="","",MONTH(C118))</f>
        <v/>
      </c>
      <c r="AP118">
        <f>IF(C118="","",UPPER(TEXT(C118,"mmmm")))</f>
        <v/>
      </c>
      <c r="AQ118">
        <f>IF(C118="","","Q"&amp;ROUNDUP(MONTH(C118)/3,0))</f>
        <v/>
      </c>
    </row>
    <row r="119">
      <c r="A119" s="19" t="n">
        <v>46224</v>
      </c>
      <c r="C119" s="19" t="n">
        <v>46224</v>
      </c>
      <c r="D119" t="inlineStr">
        <is>
          <t>Magazyn Zabrze</t>
        </is>
      </c>
      <c r="E119" t="inlineStr">
        <is>
          <t>ZUŻYCIE</t>
        </is>
      </c>
      <c r="F119" t="inlineStr">
        <is>
          <t>PZ/23</t>
        </is>
      </c>
      <c r="G119" t="inlineStr">
        <is>
          <t>TAK</t>
        </is>
      </c>
      <c r="H119" t="inlineStr">
        <is>
          <t>KZR</t>
        </is>
      </c>
      <c r="I119" s="20" t="n">
        <v>80</v>
      </c>
      <c r="J119" t="inlineStr">
        <is>
          <t>MP</t>
        </is>
      </c>
      <c r="K119" s="21" t="n">
        <v>0</v>
      </c>
      <c r="L119" s="21" t="n">
        <v>0</v>
      </c>
      <c r="M119" s="21" t="n">
        <v>0</v>
      </c>
      <c r="N119" t="inlineStr">
        <is>
          <t>Zrębka Produkcyjna Inwestycyjna</t>
        </is>
      </c>
      <c r="O119" t="inlineStr">
        <is>
          <t>B</t>
        </is>
      </c>
      <c r="P119" t="inlineStr">
        <is>
          <t>własne</t>
        </is>
      </c>
      <c r="Q119" s="21" t="n">
        <v>10</v>
      </c>
      <c r="T119" s="22" t="n">
        <v>0</v>
      </c>
      <c r="U119" s="21" t="n">
        <v>0</v>
      </c>
      <c r="V119" s="21" t="n">
        <v>0</v>
      </c>
      <c r="W119" t="inlineStr">
        <is>
          <t>Magazyn Zabrze</t>
        </is>
      </c>
      <c r="Y119" t="inlineStr">
        <is>
          <t>Automatyczne zużycie surowca do produkcji</t>
        </is>
      </c>
      <c r="AA119" s="23" t="n">
        <v>46233.62298611111</v>
      </c>
      <c r="AB119" t="inlineStr">
        <is>
          <t>OP-MIGR-00118</t>
        </is>
      </c>
      <c r="AD119" t="inlineStr">
        <is>
          <t>AKTYWNY</t>
        </is>
      </c>
      <c r="AE119" s="20">
        <f>IF(I119="",0,IF(ISNUMBER(SEARCH("MP",UPPER(J119))),I119,IF(ISNUMBER(SEARCH("TON",UPPER(J119))),I119/Przelicznik_MP_tona,IF(ISNUMBER(SEARCH("M3",UPPER(J119))),I119*Przelicznik_M3_MP,IF(ISNUMBER(SEARCH("GJ",UPPER(J119))),I119/Przelicznik_GJ_tona/Przelicznik_MP_tona,I119)))))</f>
        <v/>
      </c>
      <c r="AF119" s="20">
        <f>IF(I119="",0,IF(ISNUMBER(SEARCH("TON",UPPER(J119))),I119,IF(ISNUMBER(SEARCH("GJ",UPPER(J119))),I119/Przelicznik_GJ_tona,AE119*Przelicznik_MP_tona)))</f>
        <v/>
      </c>
      <c r="AG119" s="20">
        <f>AF119*Przelicznik_GJ_tona</f>
        <v/>
      </c>
      <c r="AH119" s="20">
        <f>IF(UPPER(AD119)="SKORYGOWANY",0,IF(OR(UPPER(E119)="TRANSPORT",UPPER(E119)="MM"),0,IF(UPPER(G119)&lt;&gt;"TAK",0,IF(OR(UPPER(E119)="ZAKUP",UPPER(E119)="PRODUKCJA"),AE119,IF(OR(UPPER(E119)="SPRZEDAŻ",UPPER(E119)="ZUŻYCIE"),-AE119,0)))))</f>
        <v/>
      </c>
      <c r="AI119" s="20">
        <f>IF(UPPER(AD119)="SKORYGOWANY",0,IF(OR(UPPER(E119)="TRANSPORT",UPPER(E119)="MM"),0,IF(UPPER(G119)&lt;&gt;"TAK",0,IF(OR(UPPER(E119)="ZAKUP",UPPER(E119)="PRODUKCJA"),AF119,IF(OR(UPPER(E119)="SPRZEDAŻ",UPPER(E119)="ZUŻYCIE"),-AF119,0)))))</f>
        <v/>
      </c>
      <c r="AJ119" s="21">
        <f>IF(UPPER(AD119)="SKORYGOWANY",0,IF(UPPER(E119)="ZAKUP",IF(L119&lt;&gt;"",L119,I119*K119),0))</f>
        <v/>
      </c>
      <c r="AK119" s="21">
        <f>IF(UPPER(AD119)="SKORYGOWANY",0,IF(UPPER(E119)="SPRZEDAŻ",IF(L119&lt;&gt;"",L119,I119*M119),0))</f>
        <v/>
      </c>
      <c r="AL119" s="21">
        <f>AE119*Q119</f>
        <v/>
      </c>
      <c r="AM119">
        <f>IF(R119="","",IF(LOWER(R119)="brak","Brak",IF(OR(ISNUMBER(SEARCH("własn",LOWER(R119))),ISNUMBER(SEARCH("wlasn",LOWER(R119))),ISNUMBER(SEARCH("wojciechowski",LOWER(R119)))),"Własny","Zewnętrzny")))</f>
        <v/>
      </c>
      <c r="AN119" s="24">
        <f>IF(C119="","",YEAR(C119))</f>
        <v/>
      </c>
      <c r="AO119" s="24">
        <f>IF(C119="","",MONTH(C119))</f>
        <v/>
      </c>
      <c r="AP119">
        <f>IF(C119="","",UPPER(TEXT(C119,"mmmm")))</f>
        <v/>
      </c>
      <c r="AQ119">
        <f>IF(C119="","","Q"&amp;ROUNDUP(MONTH(C119)/3,0))</f>
        <v/>
      </c>
    </row>
    <row r="120">
      <c r="A120" s="19" t="n">
        <v>46224</v>
      </c>
      <c r="B120" t="inlineStr">
        <is>
          <t>Pszczyna</t>
        </is>
      </c>
      <c r="C120" s="19" t="n">
        <v>46224</v>
      </c>
      <c r="D120" t="inlineStr">
        <is>
          <t>Magazyn Zabrze</t>
        </is>
      </c>
      <c r="E120" t="inlineStr">
        <is>
          <t>ZAKUP</t>
        </is>
      </c>
      <c r="F120" t="inlineStr">
        <is>
          <t>PZ/23</t>
        </is>
      </c>
      <c r="G120" t="inlineStr">
        <is>
          <t>TAK</t>
        </is>
      </c>
      <c r="H120" t="inlineStr">
        <is>
          <t>KZR</t>
        </is>
      </c>
      <c r="I120" s="20" t="n">
        <v>80</v>
      </c>
      <c r="J120" t="inlineStr">
        <is>
          <t>MP</t>
        </is>
      </c>
      <c r="K120" s="21" t="n">
        <v>0</v>
      </c>
      <c r="L120" s="21" t="n">
        <v>0</v>
      </c>
      <c r="M120" s="21" t="n">
        <v>0</v>
      </c>
      <c r="N120" t="inlineStr">
        <is>
          <t>Zrębka Produkcyjna Inwestycyjna</t>
        </is>
      </c>
      <c r="Q120" s="21" t="n">
        <v>0</v>
      </c>
      <c r="R120" t="inlineStr">
        <is>
          <t>własny (Wilczak)</t>
        </is>
      </c>
      <c r="S120" t="inlineStr">
        <is>
          <t>SK 7J884</t>
        </is>
      </c>
      <c r="T120" s="22" t="n">
        <v>140</v>
      </c>
      <c r="U120" s="21" t="n">
        <v>5</v>
      </c>
      <c r="V120" s="21" t="n">
        <v>700</v>
      </c>
      <c r="W120" t="inlineStr">
        <is>
          <t>Magazyn Zabrze</t>
        </is>
      </c>
      <c r="Z120" t="inlineStr">
        <is>
          <t>Roesner Mateusz</t>
        </is>
      </c>
      <c r="AA120" s="23" t="n">
        <v>46233.62422453704</v>
      </c>
      <c r="AB120" t="inlineStr">
        <is>
          <t>OP-MIGR-00119</t>
        </is>
      </c>
      <c r="AD120" t="inlineStr">
        <is>
          <t>AKTYWNY</t>
        </is>
      </c>
      <c r="AE120" s="20">
        <f>IF(I120="",0,IF(ISNUMBER(SEARCH("MP",UPPER(J120))),I120,IF(ISNUMBER(SEARCH("TON",UPPER(J120))),I120/Przelicznik_MP_tona,IF(ISNUMBER(SEARCH("M3",UPPER(J120))),I120*Przelicznik_M3_MP,IF(ISNUMBER(SEARCH("GJ",UPPER(J120))),I120/Przelicznik_GJ_tona/Przelicznik_MP_tona,I120)))))</f>
        <v/>
      </c>
      <c r="AF120" s="20">
        <f>IF(I120="",0,IF(ISNUMBER(SEARCH("TON",UPPER(J120))),I120,IF(ISNUMBER(SEARCH("GJ",UPPER(J120))),I120/Przelicznik_GJ_tona,AE120*Przelicznik_MP_tona)))</f>
        <v/>
      </c>
      <c r="AG120" s="20">
        <f>AF120*Przelicznik_GJ_tona</f>
        <v/>
      </c>
      <c r="AH120" s="20">
        <f>IF(UPPER(AD120)="SKORYGOWANY",0,IF(OR(UPPER(E120)="TRANSPORT",UPPER(E120)="MM"),0,IF(UPPER(G120)&lt;&gt;"TAK",0,IF(OR(UPPER(E120)="ZAKUP",UPPER(E120)="PRODUKCJA"),AE120,IF(OR(UPPER(E120)="SPRZEDAŻ",UPPER(E120)="ZUŻYCIE"),-AE120,0)))))</f>
        <v/>
      </c>
      <c r="AI120" s="20">
        <f>IF(UPPER(AD120)="SKORYGOWANY",0,IF(OR(UPPER(E120)="TRANSPORT",UPPER(E120)="MM"),0,IF(UPPER(G120)&lt;&gt;"TAK",0,IF(OR(UPPER(E120)="ZAKUP",UPPER(E120)="PRODUKCJA"),AF120,IF(OR(UPPER(E120)="SPRZEDAŻ",UPPER(E120)="ZUŻYCIE"),-AF120,0)))))</f>
        <v/>
      </c>
      <c r="AJ120" s="21">
        <f>IF(UPPER(AD120)="SKORYGOWANY",0,IF(UPPER(E120)="ZAKUP",IF(L120&lt;&gt;"",L120,I120*K120),0))</f>
        <v/>
      </c>
      <c r="AK120" s="21">
        <f>IF(UPPER(AD120)="SKORYGOWANY",0,IF(UPPER(E120)="SPRZEDAŻ",IF(L120&lt;&gt;"",L120,I120*M120),0))</f>
        <v/>
      </c>
      <c r="AL120" s="21">
        <f>AE120*Q120</f>
        <v/>
      </c>
      <c r="AM120">
        <f>IF(R120="","",IF(LOWER(R120)="brak","Brak",IF(OR(ISNUMBER(SEARCH("własn",LOWER(R120))),ISNUMBER(SEARCH("wlasn",LOWER(R120))),ISNUMBER(SEARCH("wojciechowski",LOWER(R120)))),"Własny","Zewnętrzny")))</f>
        <v/>
      </c>
      <c r="AN120" s="24">
        <f>IF(C120="","",YEAR(C120))</f>
        <v/>
      </c>
      <c r="AO120" s="24">
        <f>IF(C120="","",MONTH(C120))</f>
        <v/>
      </c>
      <c r="AP120">
        <f>IF(C120="","",UPPER(TEXT(C120,"mmmm")))</f>
        <v/>
      </c>
      <c r="AQ120">
        <f>IF(C120="","","Q"&amp;ROUNDUP(MONTH(C120)/3,0))</f>
        <v/>
      </c>
    </row>
    <row r="121">
      <c r="A121" s="19" t="n">
        <v>46225</v>
      </c>
      <c r="B121" t="inlineStr">
        <is>
          <t>Magazyn Pyskowice</t>
        </is>
      </c>
      <c r="C121" s="19" t="n">
        <v>46225</v>
      </c>
      <c r="D121" t="inlineStr">
        <is>
          <t>Magazyn Pyskowice</t>
        </is>
      </c>
      <c r="E121" t="inlineStr">
        <is>
          <t>MM</t>
        </is>
      </c>
      <c r="F121" t="inlineStr">
        <is>
          <t>MM-47</t>
        </is>
      </c>
      <c r="G121" t="inlineStr">
        <is>
          <t>TAK</t>
        </is>
      </c>
      <c r="I121" s="20" t="n">
        <v>69.72</v>
      </c>
      <c r="J121" t="inlineStr">
        <is>
          <t>MP</t>
        </is>
      </c>
      <c r="K121" s="21" t="n">
        <v>0</v>
      </c>
      <c r="L121" s="21" t="n">
        <v>0</v>
      </c>
      <c r="M121" s="21" t="n">
        <v>0</v>
      </c>
      <c r="N121" t="inlineStr">
        <is>
          <t>Zrębka Produkcyjna Leśna</t>
        </is>
      </c>
      <c r="O121" t="inlineStr">
        <is>
          <t>B</t>
        </is>
      </c>
      <c r="Q121" s="21" t="n">
        <v>0</v>
      </c>
      <c r="R121" t="inlineStr">
        <is>
          <t>własny (Wiór)</t>
        </is>
      </c>
      <c r="S121" t="inlineStr">
        <is>
          <t>SK 7H433</t>
        </is>
      </c>
      <c r="T121" s="22" t="n">
        <v>40</v>
      </c>
      <c r="U121" s="21" t="n">
        <v>6</v>
      </c>
      <c r="V121" s="21" t="n">
        <v>240</v>
      </c>
      <c r="W121" t="inlineStr">
        <is>
          <t>Magazyn Zabrze</t>
        </is>
      </c>
      <c r="X121" t="inlineStr">
        <is>
          <t>Magazyn Pyskowice</t>
        </is>
      </c>
      <c r="Z121" t="inlineStr">
        <is>
          <t>Roesner Mateusz</t>
        </is>
      </c>
      <c r="AA121" s="23" t="n">
        <v>46225.45489583333</v>
      </c>
      <c r="AB121" t="inlineStr">
        <is>
          <t>OP-MIGR-00120</t>
        </is>
      </c>
      <c r="AD121" t="inlineStr">
        <is>
          <t>AKTYWNY</t>
        </is>
      </c>
      <c r="AE121" s="20">
        <f>IF(I121="",0,IF(ISNUMBER(SEARCH("MP",UPPER(J121))),I121,IF(ISNUMBER(SEARCH("TON",UPPER(J121))),I121/Przelicznik_MP_tona,IF(ISNUMBER(SEARCH("M3",UPPER(J121))),I121*Przelicznik_M3_MP,IF(ISNUMBER(SEARCH("GJ",UPPER(J121))),I121/Przelicznik_GJ_tona/Przelicznik_MP_tona,I121)))))</f>
        <v/>
      </c>
      <c r="AF121" s="20">
        <f>IF(I121="",0,IF(ISNUMBER(SEARCH("TON",UPPER(J121))),I121,IF(ISNUMBER(SEARCH("GJ",UPPER(J121))),I121/Przelicznik_GJ_tona,AE121*Przelicznik_MP_tona)))</f>
        <v/>
      </c>
      <c r="AG121" s="20">
        <f>AF121*Przelicznik_GJ_tona</f>
        <v/>
      </c>
      <c r="AH121" s="20">
        <f>IF(UPPER(AD121)="SKORYGOWANY",0,IF(OR(UPPER(E121)="TRANSPORT",UPPER(E121)="MM"),0,IF(UPPER(G121)&lt;&gt;"TAK",0,IF(OR(UPPER(E121)="ZAKUP",UPPER(E121)="PRODUKCJA"),AE121,IF(OR(UPPER(E121)="SPRZEDAŻ",UPPER(E121)="ZUŻYCIE"),-AE121,0)))))</f>
        <v/>
      </c>
      <c r="AI121" s="20">
        <f>IF(UPPER(AD121)="SKORYGOWANY",0,IF(OR(UPPER(E121)="TRANSPORT",UPPER(E121)="MM"),0,IF(UPPER(G121)&lt;&gt;"TAK",0,IF(OR(UPPER(E121)="ZAKUP",UPPER(E121)="PRODUKCJA"),AF121,IF(OR(UPPER(E121)="SPRZEDAŻ",UPPER(E121)="ZUŻYCIE"),-AF121,0)))))</f>
        <v/>
      </c>
      <c r="AJ121" s="21">
        <f>IF(UPPER(AD121)="SKORYGOWANY",0,IF(UPPER(E121)="ZAKUP",IF(L121&lt;&gt;"",L121,I121*K121),0))</f>
        <v/>
      </c>
      <c r="AK121" s="21">
        <f>IF(UPPER(AD121)="SKORYGOWANY",0,IF(UPPER(E121)="SPRZEDAŻ",IF(L121&lt;&gt;"",L121,I121*M121),0))</f>
        <v/>
      </c>
      <c r="AL121" s="21">
        <f>AE121*Q121</f>
        <v/>
      </c>
      <c r="AM121">
        <f>IF(R121="","",IF(LOWER(R121)="brak","Brak",IF(OR(ISNUMBER(SEARCH("własn",LOWER(R121))),ISNUMBER(SEARCH("wlasn",LOWER(R121))),ISNUMBER(SEARCH("wojciechowski",LOWER(R121)))),"Własny","Zewnętrzny")))</f>
        <v/>
      </c>
      <c r="AN121" s="24">
        <f>IF(C121="","",YEAR(C121))</f>
        <v/>
      </c>
      <c r="AO121" s="24">
        <f>IF(C121="","",MONTH(C121))</f>
        <v/>
      </c>
      <c r="AP121">
        <f>IF(C121="","",UPPER(TEXT(C121,"mmmm")))</f>
        <v/>
      </c>
      <c r="AQ121">
        <f>IF(C121="","","Q"&amp;ROUNDUP(MONTH(C121)/3,0))</f>
        <v/>
      </c>
    </row>
    <row r="122">
      <c r="A122" s="19" t="n">
        <v>46225</v>
      </c>
      <c r="B122" t="inlineStr">
        <is>
          <t>Magazyn Pyskowice</t>
        </is>
      </c>
      <c r="C122" s="19" t="n">
        <v>46225</v>
      </c>
      <c r="D122" t="inlineStr">
        <is>
          <t>Magazyn Pyskowice</t>
        </is>
      </c>
      <c r="E122" t="inlineStr">
        <is>
          <t>MM</t>
        </is>
      </c>
      <c r="F122" t="inlineStr">
        <is>
          <t>MM-48</t>
        </is>
      </c>
      <c r="G122" t="inlineStr">
        <is>
          <t>TAK</t>
        </is>
      </c>
      <c r="I122" s="20" t="n">
        <v>88</v>
      </c>
      <c r="J122" t="inlineStr">
        <is>
          <t>MP</t>
        </is>
      </c>
      <c r="K122" s="21" t="n">
        <v>0</v>
      </c>
      <c r="L122" s="21" t="n">
        <v>0</v>
      </c>
      <c r="M122" s="21" t="n">
        <v>0</v>
      </c>
      <c r="N122" t="inlineStr">
        <is>
          <t>Zrębka Produkcyjna Leśna</t>
        </is>
      </c>
      <c r="O122" t="inlineStr">
        <is>
          <t>B</t>
        </is>
      </c>
      <c r="Q122" s="21" t="n">
        <v>0</v>
      </c>
      <c r="R122" t="inlineStr">
        <is>
          <t>Nowatrans</t>
        </is>
      </c>
      <c r="S122" t="inlineStr">
        <is>
          <t>WND 3546F</t>
        </is>
      </c>
      <c r="T122" s="22" t="n">
        <v>40</v>
      </c>
      <c r="U122" s="21" t="n">
        <v>15</v>
      </c>
      <c r="V122" s="21" t="n">
        <v>600</v>
      </c>
      <c r="W122" t="inlineStr">
        <is>
          <t>Magazyn Zabrze</t>
        </is>
      </c>
      <c r="X122" t="inlineStr">
        <is>
          <t>Magazyn Pyskowice</t>
        </is>
      </c>
      <c r="Z122" t="inlineStr">
        <is>
          <t>Roesner Mateusz</t>
        </is>
      </c>
      <c r="AA122" s="23" t="n">
        <v>46225.45577546296</v>
      </c>
      <c r="AB122" t="inlineStr">
        <is>
          <t>OP-MIGR-00121</t>
        </is>
      </c>
      <c r="AD122" t="inlineStr">
        <is>
          <t>AKTYWNY</t>
        </is>
      </c>
      <c r="AE122" s="20">
        <f>IF(I122="",0,IF(ISNUMBER(SEARCH("MP",UPPER(J122))),I122,IF(ISNUMBER(SEARCH("TON",UPPER(J122))),I122/Przelicznik_MP_tona,IF(ISNUMBER(SEARCH("M3",UPPER(J122))),I122*Przelicznik_M3_MP,IF(ISNUMBER(SEARCH("GJ",UPPER(J122))),I122/Przelicznik_GJ_tona/Przelicznik_MP_tona,I122)))))</f>
        <v/>
      </c>
      <c r="AF122" s="20">
        <f>IF(I122="",0,IF(ISNUMBER(SEARCH("TON",UPPER(J122))),I122,IF(ISNUMBER(SEARCH("GJ",UPPER(J122))),I122/Przelicznik_GJ_tona,AE122*Przelicznik_MP_tona)))</f>
        <v/>
      </c>
      <c r="AG122" s="20">
        <f>AF122*Przelicznik_GJ_tona</f>
        <v/>
      </c>
      <c r="AH122" s="20">
        <f>IF(UPPER(AD122)="SKORYGOWANY",0,IF(OR(UPPER(E122)="TRANSPORT",UPPER(E122)="MM"),0,IF(UPPER(G122)&lt;&gt;"TAK",0,IF(OR(UPPER(E122)="ZAKUP",UPPER(E122)="PRODUKCJA"),AE122,IF(OR(UPPER(E122)="SPRZEDAŻ",UPPER(E122)="ZUŻYCIE"),-AE122,0)))))</f>
        <v/>
      </c>
      <c r="AI122" s="20">
        <f>IF(UPPER(AD122)="SKORYGOWANY",0,IF(OR(UPPER(E122)="TRANSPORT",UPPER(E122)="MM"),0,IF(UPPER(G122)&lt;&gt;"TAK",0,IF(OR(UPPER(E122)="ZAKUP",UPPER(E122)="PRODUKCJA"),AF122,IF(OR(UPPER(E122)="SPRZEDAŻ",UPPER(E122)="ZUŻYCIE"),-AF122,0)))))</f>
        <v/>
      </c>
      <c r="AJ122" s="21">
        <f>IF(UPPER(AD122)="SKORYGOWANY",0,IF(UPPER(E122)="ZAKUP",IF(L122&lt;&gt;"",L122,I122*K122),0))</f>
        <v/>
      </c>
      <c r="AK122" s="21">
        <f>IF(UPPER(AD122)="SKORYGOWANY",0,IF(UPPER(E122)="SPRZEDAŻ",IF(L122&lt;&gt;"",L122,I122*M122),0))</f>
        <v/>
      </c>
      <c r="AL122" s="21">
        <f>AE122*Q122</f>
        <v/>
      </c>
      <c r="AM122">
        <f>IF(R122="","",IF(LOWER(R122)="brak","Brak",IF(OR(ISNUMBER(SEARCH("własn",LOWER(R122))),ISNUMBER(SEARCH("wlasn",LOWER(R122))),ISNUMBER(SEARCH("wojciechowski",LOWER(R122)))),"Własny","Zewnętrzny")))</f>
        <v/>
      </c>
      <c r="AN122" s="24">
        <f>IF(C122="","",YEAR(C122))</f>
        <v/>
      </c>
      <c r="AO122" s="24">
        <f>IF(C122="","",MONTH(C122))</f>
        <v/>
      </c>
      <c r="AP122">
        <f>IF(C122="","",UPPER(TEXT(C122,"mmmm")))</f>
        <v/>
      </c>
      <c r="AQ122">
        <f>IF(C122="","","Q"&amp;ROUNDUP(MONTH(C122)/3,0))</f>
        <v/>
      </c>
    </row>
    <row r="123">
      <c r="A123" s="19" t="n">
        <v>46225</v>
      </c>
      <c r="C123" s="19" t="n">
        <v>46225</v>
      </c>
      <c r="D123" t="inlineStr">
        <is>
          <t>Lander Agro</t>
        </is>
      </c>
      <c r="E123" t="inlineStr">
        <is>
          <t>ZAKUP</t>
        </is>
      </c>
      <c r="F123" t="inlineStr">
        <is>
          <t>PZ/14/D</t>
        </is>
      </c>
      <c r="G123" t="inlineStr">
        <is>
          <t>TAK</t>
        </is>
      </c>
      <c r="H123" t="inlineStr">
        <is>
          <t>KZR</t>
        </is>
      </c>
      <c r="I123" s="20" t="n">
        <v>29.02</v>
      </c>
      <c r="J123" t="inlineStr">
        <is>
          <t>M3</t>
        </is>
      </c>
      <c r="K123" s="21" t="n">
        <v>230</v>
      </c>
      <c r="L123" s="21" t="n">
        <v>6674.6</v>
      </c>
      <c r="M123" s="21" t="n">
        <v>0</v>
      </c>
      <c r="N123" t="inlineStr">
        <is>
          <t>Drewno opałowe z lasu</t>
        </is>
      </c>
      <c r="Q123" s="21" t="n">
        <v>0</v>
      </c>
      <c r="T123" s="22" t="n">
        <v>0</v>
      </c>
      <c r="U123" s="21" t="n">
        <v>0</v>
      </c>
      <c r="V123" s="21" t="n">
        <v>0</v>
      </c>
      <c r="W123" t="inlineStr">
        <is>
          <t>Magazyn Zabrze</t>
        </is>
      </c>
      <c r="Y123" t="inlineStr">
        <is>
          <t>Waga 23,560t</t>
        </is>
      </c>
      <c r="Z123" t="inlineStr">
        <is>
          <t>Roesner Mateusz</t>
        </is>
      </c>
      <c r="AA123" s="23" t="n">
        <v>46225.45862268518</v>
      </c>
      <c r="AB123" t="inlineStr">
        <is>
          <t>OP-MIGR-00122</t>
        </is>
      </c>
      <c r="AD123" t="inlineStr">
        <is>
          <t>AKTYWNY</t>
        </is>
      </c>
      <c r="AE123" s="20">
        <f>IF(I123="",0,IF(ISNUMBER(SEARCH("MP",UPPER(J123))),I123,IF(ISNUMBER(SEARCH("TON",UPPER(J123))),I123/Przelicznik_MP_tona,IF(ISNUMBER(SEARCH("M3",UPPER(J123))),I123*Przelicznik_M3_MP,IF(ISNUMBER(SEARCH("GJ",UPPER(J123))),I123/Przelicznik_GJ_tona/Przelicznik_MP_tona,I123)))))</f>
        <v/>
      </c>
      <c r="AF123" s="20">
        <f>IF(I123="",0,IF(ISNUMBER(SEARCH("TON",UPPER(J123))),I123,IF(ISNUMBER(SEARCH("GJ",UPPER(J123))),I123/Przelicznik_GJ_tona,AE123*Przelicznik_MP_tona)))</f>
        <v/>
      </c>
      <c r="AG123" s="20">
        <f>AF123*Przelicznik_GJ_tona</f>
        <v/>
      </c>
      <c r="AH123" s="20">
        <f>IF(UPPER(AD123)="SKORYGOWANY",0,IF(OR(UPPER(E123)="TRANSPORT",UPPER(E123)="MM"),0,IF(UPPER(G123)&lt;&gt;"TAK",0,IF(OR(UPPER(E123)="ZAKUP",UPPER(E123)="PRODUKCJA"),AE123,IF(OR(UPPER(E123)="SPRZEDAŻ",UPPER(E123)="ZUŻYCIE"),-AE123,0)))))</f>
        <v/>
      </c>
      <c r="AI123" s="20">
        <f>IF(UPPER(AD123)="SKORYGOWANY",0,IF(OR(UPPER(E123)="TRANSPORT",UPPER(E123)="MM"),0,IF(UPPER(G123)&lt;&gt;"TAK",0,IF(OR(UPPER(E123)="ZAKUP",UPPER(E123)="PRODUKCJA"),AF123,IF(OR(UPPER(E123)="SPRZEDAŻ",UPPER(E123)="ZUŻYCIE"),-AF123,0)))))</f>
        <v/>
      </c>
      <c r="AJ123" s="21">
        <f>IF(UPPER(AD123)="SKORYGOWANY",0,IF(UPPER(E123)="ZAKUP",IF(L123&lt;&gt;"",L123,I123*K123),0))</f>
        <v/>
      </c>
      <c r="AK123" s="21">
        <f>IF(UPPER(AD123)="SKORYGOWANY",0,IF(UPPER(E123)="SPRZEDAŻ",IF(L123&lt;&gt;"",L123,I123*M123),0))</f>
        <v/>
      </c>
      <c r="AL123" s="21">
        <f>AE123*Q123</f>
        <v/>
      </c>
      <c r="AM123">
        <f>IF(R123="","",IF(LOWER(R123)="brak","Brak",IF(OR(ISNUMBER(SEARCH("własn",LOWER(R123))),ISNUMBER(SEARCH("wlasn",LOWER(R123))),ISNUMBER(SEARCH("wojciechowski",LOWER(R123)))),"Własny","Zewnętrzny")))</f>
        <v/>
      </c>
      <c r="AN123" s="24">
        <f>IF(C123="","",YEAR(C123))</f>
        <v/>
      </c>
      <c r="AO123" s="24">
        <f>IF(C123="","",MONTH(C123))</f>
        <v/>
      </c>
      <c r="AP123">
        <f>IF(C123="","",UPPER(TEXT(C123,"mmmm")))</f>
        <v/>
      </c>
      <c r="AQ123">
        <f>IF(C123="","","Q"&amp;ROUNDUP(MONTH(C123)/3,0))</f>
        <v/>
      </c>
    </row>
    <row r="124">
      <c r="A124" s="19" t="n">
        <v>46225</v>
      </c>
      <c r="C124" s="19" t="n">
        <v>46225</v>
      </c>
      <c r="D124" t="inlineStr">
        <is>
          <t>Lander Agro</t>
        </is>
      </c>
      <c r="E124" t="inlineStr">
        <is>
          <t>ZAKUP</t>
        </is>
      </c>
      <c r="F124" t="inlineStr">
        <is>
          <t>PZ/15/D</t>
        </is>
      </c>
      <c r="G124" t="inlineStr">
        <is>
          <t>TAK</t>
        </is>
      </c>
      <c r="H124" t="inlineStr">
        <is>
          <t>KZR</t>
        </is>
      </c>
      <c r="I124" s="20" t="n">
        <v>29.03</v>
      </c>
      <c r="J124" t="inlineStr">
        <is>
          <t>M3</t>
        </is>
      </c>
      <c r="K124" s="21" t="n">
        <v>230</v>
      </c>
      <c r="L124" s="21" t="n">
        <v>6676.9</v>
      </c>
      <c r="M124" s="21" t="n">
        <v>0</v>
      </c>
      <c r="N124" t="inlineStr">
        <is>
          <t>Drewno opałowe z lasu</t>
        </is>
      </c>
      <c r="Q124" s="21" t="n">
        <v>0</v>
      </c>
      <c r="T124" s="22" t="n">
        <v>0</v>
      </c>
      <c r="U124" s="21" t="n">
        <v>0</v>
      </c>
      <c r="V124" s="21" t="n">
        <v>0</v>
      </c>
      <c r="W124" t="inlineStr">
        <is>
          <t>Magazyn Zabrze</t>
        </is>
      </c>
      <c r="Y124" t="inlineStr">
        <is>
          <t>Waga b/d</t>
        </is>
      </c>
      <c r="Z124" t="inlineStr">
        <is>
          <t>Roesner Mateusz</t>
        </is>
      </c>
      <c r="AA124" s="23" t="n">
        <v>46225.4637037037</v>
      </c>
      <c r="AB124" t="inlineStr">
        <is>
          <t>OP-MIGR-00123</t>
        </is>
      </c>
      <c r="AD124" t="inlineStr">
        <is>
          <t>AKTYWNY</t>
        </is>
      </c>
      <c r="AE124" s="20">
        <f>IF(I124="",0,IF(ISNUMBER(SEARCH("MP",UPPER(J124))),I124,IF(ISNUMBER(SEARCH("TON",UPPER(J124))),I124/Przelicznik_MP_tona,IF(ISNUMBER(SEARCH("M3",UPPER(J124))),I124*Przelicznik_M3_MP,IF(ISNUMBER(SEARCH("GJ",UPPER(J124))),I124/Przelicznik_GJ_tona/Przelicznik_MP_tona,I124)))))</f>
        <v/>
      </c>
      <c r="AF124" s="20">
        <f>IF(I124="",0,IF(ISNUMBER(SEARCH("TON",UPPER(J124))),I124,IF(ISNUMBER(SEARCH("GJ",UPPER(J124))),I124/Przelicznik_GJ_tona,AE124*Przelicznik_MP_tona)))</f>
        <v/>
      </c>
      <c r="AG124" s="20">
        <f>AF124*Przelicznik_GJ_tona</f>
        <v/>
      </c>
      <c r="AH124" s="20">
        <f>IF(UPPER(AD124)="SKORYGOWANY",0,IF(OR(UPPER(E124)="TRANSPORT",UPPER(E124)="MM"),0,IF(UPPER(G124)&lt;&gt;"TAK",0,IF(OR(UPPER(E124)="ZAKUP",UPPER(E124)="PRODUKCJA"),AE124,IF(OR(UPPER(E124)="SPRZEDAŻ",UPPER(E124)="ZUŻYCIE"),-AE124,0)))))</f>
        <v/>
      </c>
      <c r="AI124" s="20">
        <f>IF(UPPER(AD124)="SKORYGOWANY",0,IF(OR(UPPER(E124)="TRANSPORT",UPPER(E124)="MM"),0,IF(UPPER(G124)&lt;&gt;"TAK",0,IF(OR(UPPER(E124)="ZAKUP",UPPER(E124)="PRODUKCJA"),AF124,IF(OR(UPPER(E124)="SPRZEDAŻ",UPPER(E124)="ZUŻYCIE"),-AF124,0)))))</f>
        <v/>
      </c>
      <c r="AJ124" s="21">
        <f>IF(UPPER(AD124)="SKORYGOWANY",0,IF(UPPER(E124)="ZAKUP",IF(L124&lt;&gt;"",L124,I124*K124),0))</f>
        <v/>
      </c>
      <c r="AK124" s="21">
        <f>IF(UPPER(AD124)="SKORYGOWANY",0,IF(UPPER(E124)="SPRZEDAŻ",IF(L124&lt;&gt;"",L124,I124*M124),0))</f>
        <v/>
      </c>
      <c r="AL124" s="21">
        <f>AE124*Q124</f>
        <v/>
      </c>
      <c r="AM124">
        <f>IF(R124="","",IF(LOWER(R124)="brak","Brak",IF(OR(ISNUMBER(SEARCH("własn",LOWER(R124))),ISNUMBER(SEARCH("wlasn",LOWER(R124))),ISNUMBER(SEARCH("wojciechowski",LOWER(R124)))),"Własny","Zewnętrzny")))</f>
        <v/>
      </c>
      <c r="AN124" s="24">
        <f>IF(C124="","",YEAR(C124))</f>
        <v/>
      </c>
      <c r="AO124" s="24">
        <f>IF(C124="","",MONTH(C124))</f>
        <v/>
      </c>
      <c r="AP124">
        <f>IF(C124="","",UPPER(TEXT(C124,"mmmm")))</f>
        <v/>
      </c>
      <c r="AQ124">
        <f>IF(C124="","","Q"&amp;ROUNDUP(MONTH(C124)/3,0))</f>
        <v/>
      </c>
    </row>
    <row r="125">
      <c r="A125" s="19" t="n">
        <v>46225</v>
      </c>
      <c r="C125" s="19" t="n">
        <v>46225</v>
      </c>
      <c r="D125" t="inlineStr">
        <is>
          <t>NDL Chrzanów, Leśnictwo Szczakowa</t>
        </is>
      </c>
      <c r="E125" t="inlineStr">
        <is>
          <t>ZAKUP</t>
        </is>
      </c>
      <c r="F125" t="inlineStr">
        <is>
          <t>PZ/24  11/202624975/6098</t>
        </is>
      </c>
      <c r="G125" t="inlineStr">
        <is>
          <t>NIE</t>
        </is>
      </c>
      <c r="H125" t="inlineStr">
        <is>
          <t>Deklaracja</t>
        </is>
      </c>
      <c r="I125" s="20" t="n">
        <v>20.03</v>
      </c>
      <c r="J125" t="inlineStr">
        <is>
          <t>M3</t>
        </is>
      </c>
      <c r="K125" s="21" t="n">
        <v>141</v>
      </c>
      <c r="L125" s="21" t="n">
        <v>2824.23</v>
      </c>
      <c r="M125" s="21" t="n">
        <v>0</v>
      </c>
      <c r="N125" t="inlineStr">
        <is>
          <t>Drewno opałowe z lasu</t>
        </is>
      </c>
      <c r="O125" t="inlineStr">
        <is>
          <t>B</t>
        </is>
      </c>
      <c r="Q125" s="21" t="n">
        <v>0</v>
      </c>
      <c r="T125" s="22" t="n">
        <v>0</v>
      </c>
      <c r="U125" s="21" t="n">
        <v>0</v>
      </c>
      <c r="V125" s="21" t="n">
        <v>0</v>
      </c>
      <c r="W125" t="inlineStr">
        <is>
          <t>Magazyn Zabrze</t>
        </is>
      </c>
      <c r="Z125" t="inlineStr">
        <is>
          <t>Roesner Mateusz</t>
        </is>
      </c>
      <c r="AA125" s="23" t="n">
        <v>46225.48861111111</v>
      </c>
      <c r="AB125" t="inlineStr">
        <is>
          <t>OP-MIGR-00124</t>
        </is>
      </c>
      <c r="AD125" t="inlineStr">
        <is>
          <t>AKTYWNY</t>
        </is>
      </c>
      <c r="AE125" s="20">
        <f>IF(I125="",0,IF(ISNUMBER(SEARCH("MP",UPPER(J125))),I125,IF(ISNUMBER(SEARCH("TON",UPPER(J125))),I125/Przelicznik_MP_tona,IF(ISNUMBER(SEARCH("M3",UPPER(J125))),I125*Przelicznik_M3_MP,IF(ISNUMBER(SEARCH("GJ",UPPER(J125))),I125/Przelicznik_GJ_tona/Przelicznik_MP_tona,I125)))))</f>
        <v/>
      </c>
      <c r="AF125" s="20">
        <f>IF(I125="",0,IF(ISNUMBER(SEARCH("TON",UPPER(J125))),I125,IF(ISNUMBER(SEARCH("GJ",UPPER(J125))),I125/Przelicznik_GJ_tona,AE125*Przelicznik_MP_tona)))</f>
        <v/>
      </c>
      <c r="AG125" s="20">
        <f>AF125*Przelicznik_GJ_tona</f>
        <v/>
      </c>
      <c r="AH125" s="20">
        <f>IF(UPPER(AD125)="SKORYGOWANY",0,IF(OR(UPPER(E125)="TRANSPORT",UPPER(E125)="MM"),0,IF(UPPER(G125)&lt;&gt;"TAK",0,IF(OR(UPPER(E125)="ZAKUP",UPPER(E125)="PRODUKCJA"),AE125,IF(OR(UPPER(E125)="SPRZEDAŻ",UPPER(E125)="ZUŻYCIE"),-AE125,0)))))</f>
        <v/>
      </c>
      <c r="AI125" s="20">
        <f>IF(UPPER(AD125)="SKORYGOWANY",0,IF(OR(UPPER(E125)="TRANSPORT",UPPER(E125)="MM"),0,IF(UPPER(G125)&lt;&gt;"TAK",0,IF(OR(UPPER(E125)="ZAKUP",UPPER(E125)="PRODUKCJA"),AF125,IF(OR(UPPER(E125)="SPRZEDAŻ",UPPER(E125)="ZUŻYCIE"),-AF125,0)))))</f>
        <v/>
      </c>
      <c r="AJ125" s="21">
        <f>IF(UPPER(AD125)="SKORYGOWANY",0,IF(UPPER(E125)="ZAKUP",IF(L125&lt;&gt;"",L125,I125*K125),0))</f>
        <v/>
      </c>
      <c r="AK125" s="21">
        <f>IF(UPPER(AD125)="SKORYGOWANY",0,IF(UPPER(E125)="SPRZEDAŻ",IF(L125&lt;&gt;"",L125,I125*M125),0))</f>
        <v/>
      </c>
      <c r="AL125" s="21">
        <f>AE125*Q125</f>
        <v/>
      </c>
      <c r="AM125">
        <f>IF(R125="","",IF(LOWER(R125)="brak","Brak",IF(OR(ISNUMBER(SEARCH("własn",LOWER(R125))),ISNUMBER(SEARCH("wlasn",LOWER(R125))),ISNUMBER(SEARCH("wojciechowski",LOWER(R125)))),"Własny","Zewnętrzny")))</f>
        <v/>
      </c>
      <c r="AN125" s="24">
        <f>IF(C125="","",YEAR(C125))</f>
        <v/>
      </c>
      <c r="AO125" s="24">
        <f>IF(C125="","",MONTH(C125))</f>
        <v/>
      </c>
      <c r="AP125">
        <f>IF(C125="","",UPPER(TEXT(C125,"mmmm")))</f>
        <v/>
      </c>
      <c r="AQ125">
        <f>IF(C125="","","Q"&amp;ROUNDUP(MONTH(C125)/3,0))</f>
        <v/>
      </c>
    </row>
    <row r="126">
      <c r="A126" s="19" t="n">
        <v>46225</v>
      </c>
      <c r="C126" s="19" t="n">
        <v>46225</v>
      </c>
      <c r="D126" t="inlineStr">
        <is>
          <t>NDL Chrzanów, Leśnictwo Szczakowa</t>
        </is>
      </c>
      <c r="E126" t="inlineStr">
        <is>
          <t>PRODUKCJA</t>
        </is>
      </c>
      <c r="F126" t="inlineStr">
        <is>
          <t>PZ/24</t>
        </is>
      </c>
      <c r="G126" t="inlineStr">
        <is>
          <t>NIE</t>
        </is>
      </c>
      <c r="H126" t="inlineStr">
        <is>
          <t>Deklaracja</t>
        </is>
      </c>
      <c r="I126" s="20" t="n">
        <v>80.12</v>
      </c>
      <c r="J126" t="inlineStr">
        <is>
          <t>MP</t>
        </is>
      </c>
      <c r="K126" s="21" t="n">
        <v>0</v>
      </c>
      <c r="L126" s="21" t="n">
        <v>0</v>
      </c>
      <c r="M126" s="21" t="n">
        <v>0</v>
      </c>
      <c r="N126" t="inlineStr">
        <is>
          <t>Zrębka Produkcyjna Leśna</t>
        </is>
      </c>
      <c r="O126" t="inlineStr">
        <is>
          <t>B</t>
        </is>
      </c>
      <c r="P126" t="inlineStr">
        <is>
          <t>własne</t>
        </is>
      </c>
      <c r="Q126" s="21" t="n">
        <v>10</v>
      </c>
      <c r="T126" s="22" t="n">
        <v>0</v>
      </c>
      <c r="U126" s="21" t="n">
        <v>0</v>
      </c>
      <c r="V126" s="21" t="n">
        <v>0</v>
      </c>
      <c r="W126" t="inlineStr">
        <is>
          <t>Magazyn Zabrze</t>
        </is>
      </c>
      <c r="Z126" t="inlineStr">
        <is>
          <t>Roesner Mateusz</t>
        </is>
      </c>
      <c r="AA126" s="23" t="n">
        <v>46225.49166666667</v>
      </c>
      <c r="AB126" t="inlineStr">
        <is>
          <t>OP-MIGR-00125</t>
        </is>
      </c>
      <c r="AD126" t="inlineStr">
        <is>
          <t>AKTYWNY</t>
        </is>
      </c>
      <c r="AE126" s="20">
        <f>IF(I126="",0,IF(ISNUMBER(SEARCH("MP",UPPER(J126))),I126,IF(ISNUMBER(SEARCH("TON",UPPER(J126))),I126/Przelicznik_MP_tona,IF(ISNUMBER(SEARCH("M3",UPPER(J126))),I126*Przelicznik_M3_MP,IF(ISNUMBER(SEARCH("GJ",UPPER(J126))),I126/Przelicznik_GJ_tona/Przelicznik_MP_tona,I126)))))</f>
        <v/>
      </c>
      <c r="AF126" s="20">
        <f>IF(I126="",0,IF(ISNUMBER(SEARCH("TON",UPPER(J126))),I126,IF(ISNUMBER(SEARCH("GJ",UPPER(J126))),I126/Przelicznik_GJ_tona,AE126*Przelicznik_MP_tona)))</f>
        <v/>
      </c>
      <c r="AG126" s="20">
        <f>AF126*Przelicznik_GJ_tona</f>
        <v/>
      </c>
      <c r="AH126" s="20">
        <f>IF(UPPER(AD126)="SKORYGOWANY",0,IF(OR(UPPER(E126)="TRANSPORT",UPPER(E126)="MM"),0,IF(UPPER(G126)&lt;&gt;"TAK",0,IF(OR(UPPER(E126)="ZAKUP",UPPER(E126)="PRODUKCJA"),AE126,IF(OR(UPPER(E126)="SPRZEDAŻ",UPPER(E126)="ZUŻYCIE"),-AE126,0)))))</f>
        <v/>
      </c>
      <c r="AI126" s="20">
        <f>IF(UPPER(AD126)="SKORYGOWANY",0,IF(OR(UPPER(E126)="TRANSPORT",UPPER(E126)="MM"),0,IF(UPPER(G126)&lt;&gt;"TAK",0,IF(OR(UPPER(E126)="ZAKUP",UPPER(E126)="PRODUKCJA"),AF126,IF(OR(UPPER(E126)="SPRZEDAŻ",UPPER(E126)="ZUŻYCIE"),-AF126,0)))))</f>
        <v/>
      </c>
      <c r="AJ126" s="21">
        <f>IF(UPPER(AD126)="SKORYGOWANY",0,IF(UPPER(E126)="ZAKUP",IF(L126&lt;&gt;"",L126,I126*K126),0))</f>
        <v/>
      </c>
      <c r="AK126" s="21">
        <f>IF(UPPER(AD126)="SKORYGOWANY",0,IF(UPPER(E126)="SPRZEDAŻ",IF(L126&lt;&gt;"",L126,I126*M126),0))</f>
        <v/>
      </c>
      <c r="AL126" s="21">
        <f>AE126*Q126</f>
        <v/>
      </c>
      <c r="AM126">
        <f>IF(R126="","",IF(LOWER(R126)="brak","Brak",IF(OR(ISNUMBER(SEARCH("własn",LOWER(R126))),ISNUMBER(SEARCH("wlasn",LOWER(R126))),ISNUMBER(SEARCH("wojciechowski",LOWER(R126)))),"Własny","Zewnętrzny")))</f>
        <v/>
      </c>
      <c r="AN126" s="24">
        <f>IF(C126="","",YEAR(C126))</f>
        <v/>
      </c>
      <c r="AO126" s="24">
        <f>IF(C126="","",MONTH(C126))</f>
        <v/>
      </c>
      <c r="AP126">
        <f>IF(C126="","",UPPER(TEXT(C126,"mmmm")))</f>
        <v/>
      </c>
      <c r="AQ126">
        <f>IF(C126="","","Q"&amp;ROUNDUP(MONTH(C126)/3,0))</f>
        <v/>
      </c>
    </row>
    <row r="127">
      <c r="A127" s="19" t="n">
        <v>46225</v>
      </c>
      <c r="C127" s="19" t="n">
        <v>46225</v>
      </c>
      <c r="D127" t="inlineStr">
        <is>
          <t>NDL Chrzanów, Leśnictwo Szczakowa</t>
        </is>
      </c>
      <c r="E127" t="inlineStr">
        <is>
          <t>ZUŻYCIE</t>
        </is>
      </c>
      <c r="F127" t="inlineStr">
        <is>
          <t>PZ/24</t>
        </is>
      </c>
      <c r="G127" t="inlineStr">
        <is>
          <t>NIE</t>
        </is>
      </c>
      <c r="H127" t="inlineStr">
        <is>
          <t>Deklaracja</t>
        </is>
      </c>
      <c r="I127" s="20" t="n">
        <v>80.12</v>
      </c>
      <c r="J127" t="inlineStr">
        <is>
          <t>MP</t>
        </is>
      </c>
      <c r="K127" s="21" t="n">
        <v>0</v>
      </c>
      <c r="L127" s="21" t="n">
        <v>0</v>
      </c>
      <c r="M127" s="21" t="n">
        <v>0</v>
      </c>
      <c r="N127" t="inlineStr">
        <is>
          <t>Zrębka Produkcyjna Leśna</t>
        </is>
      </c>
      <c r="O127" t="inlineStr">
        <is>
          <t>B</t>
        </is>
      </c>
      <c r="P127" t="inlineStr">
        <is>
          <t>własne</t>
        </is>
      </c>
      <c r="Q127" s="21" t="n">
        <v>10</v>
      </c>
      <c r="T127" s="22" t="n">
        <v>0</v>
      </c>
      <c r="U127" s="21" t="n">
        <v>0</v>
      </c>
      <c r="V127" s="21" t="n">
        <v>0</v>
      </c>
      <c r="W127" t="inlineStr">
        <is>
          <t>Magazyn Zabrze</t>
        </is>
      </c>
      <c r="Y127" t="inlineStr">
        <is>
          <t>Automatyczne zużycie surowca do produkcji</t>
        </is>
      </c>
      <c r="AA127" s="23" t="n">
        <v>46225.49166666667</v>
      </c>
      <c r="AB127" t="inlineStr">
        <is>
          <t>OP-MIGR-00126</t>
        </is>
      </c>
      <c r="AD127" t="inlineStr">
        <is>
          <t>AKTYWNY</t>
        </is>
      </c>
      <c r="AE127" s="20">
        <f>IF(I127="",0,IF(ISNUMBER(SEARCH("MP",UPPER(J127))),I127,IF(ISNUMBER(SEARCH("TON",UPPER(J127))),I127/Przelicznik_MP_tona,IF(ISNUMBER(SEARCH("M3",UPPER(J127))),I127*Przelicznik_M3_MP,IF(ISNUMBER(SEARCH("GJ",UPPER(J127))),I127/Przelicznik_GJ_tona/Przelicznik_MP_tona,I127)))))</f>
        <v/>
      </c>
      <c r="AF127" s="20">
        <f>IF(I127="",0,IF(ISNUMBER(SEARCH("TON",UPPER(J127))),I127,IF(ISNUMBER(SEARCH("GJ",UPPER(J127))),I127/Przelicznik_GJ_tona,AE127*Przelicznik_MP_tona)))</f>
        <v/>
      </c>
      <c r="AG127" s="20">
        <f>AF127*Przelicznik_GJ_tona</f>
        <v/>
      </c>
      <c r="AH127" s="20">
        <f>IF(UPPER(AD127)="SKORYGOWANY",0,IF(OR(UPPER(E127)="TRANSPORT",UPPER(E127)="MM"),0,IF(UPPER(G127)&lt;&gt;"TAK",0,IF(OR(UPPER(E127)="ZAKUP",UPPER(E127)="PRODUKCJA"),AE127,IF(OR(UPPER(E127)="SPRZEDAŻ",UPPER(E127)="ZUŻYCIE"),-AE127,0)))))</f>
        <v/>
      </c>
      <c r="AI127" s="20">
        <f>IF(UPPER(AD127)="SKORYGOWANY",0,IF(OR(UPPER(E127)="TRANSPORT",UPPER(E127)="MM"),0,IF(UPPER(G127)&lt;&gt;"TAK",0,IF(OR(UPPER(E127)="ZAKUP",UPPER(E127)="PRODUKCJA"),AF127,IF(OR(UPPER(E127)="SPRZEDAŻ",UPPER(E127)="ZUŻYCIE"),-AF127,0)))))</f>
        <v/>
      </c>
      <c r="AJ127" s="21">
        <f>IF(UPPER(AD127)="SKORYGOWANY",0,IF(UPPER(E127)="ZAKUP",IF(L127&lt;&gt;"",L127,I127*K127),0))</f>
        <v/>
      </c>
      <c r="AK127" s="21">
        <f>IF(UPPER(AD127)="SKORYGOWANY",0,IF(UPPER(E127)="SPRZEDAŻ",IF(L127&lt;&gt;"",L127,I127*M127),0))</f>
        <v/>
      </c>
      <c r="AL127" s="21">
        <f>AE127*Q127</f>
        <v/>
      </c>
      <c r="AM127">
        <f>IF(R127="","",IF(LOWER(R127)="brak","Brak",IF(OR(ISNUMBER(SEARCH("własn",LOWER(R127))),ISNUMBER(SEARCH("wlasn",LOWER(R127))),ISNUMBER(SEARCH("wojciechowski",LOWER(R127)))),"Własny","Zewnętrzny")))</f>
        <v/>
      </c>
      <c r="AN127" s="24">
        <f>IF(C127="","",YEAR(C127))</f>
        <v/>
      </c>
      <c r="AO127" s="24">
        <f>IF(C127="","",MONTH(C127))</f>
        <v/>
      </c>
      <c r="AP127">
        <f>IF(C127="","",UPPER(TEXT(C127,"mmmm")))</f>
        <v/>
      </c>
      <c r="AQ127">
        <f>IF(C127="","","Q"&amp;ROUNDUP(MONTH(C127)/3,0))</f>
        <v/>
      </c>
    </row>
    <row r="128">
      <c r="A128" s="19" t="n">
        <v>46225</v>
      </c>
      <c r="B128" t="inlineStr">
        <is>
          <t>Jaworzno</t>
        </is>
      </c>
      <c r="C128" s="19" t="n">
        <v>46225</v>
      </c>
      <c r="D128" t="inlineStr">
        <is>
          <t>Magazyn Zabrze</t>
        </is>
      </c>
      <c r="E128" t="inlineStr">
        <is>
          <t>ZAKUP</t>
        </is>
      </c>
      <c r="F128" t="inlineStr">
        <is>
          <t>PZ/24</t>
        </is>
      </c>
      <c r="G128" t="inlineStr">
        <is>
          <t>TAK</t>
        </is>
      </c>
      <c r="H128" t="inlineStr">
        <is>
          <t>Deklaracja</t>
        </is>
      </c>
      <c r="I128" s="20" t="n">
        <v>80.12</v>
      </c>
      <c r="J128" t="inlineStr">
        <is>
          <t>MP</t>
        </is>
      </c>
      <c r="K128" s="21" t="n">
        <v>0</v>
      </c>
      <c r="L128" s="21" t="n">
        <v>0</v>
      </c>
      <c r="M128" s="21" t="n">
        <v>0</v>
      </c>
      <c r="N128" t="inlineStr">
        <is>
          <t>Zrębka Produkcyjna Leśna</t>
        </is>
      </c>
      <c r="O128" t="inlineStr">
        <is>
          <t>B</t>
        </is>
      </c>
      <c r="Q128" s="21" t="n">
        <v>0</v>
      </c>
      <c r="R128" t="inlineStr">
        <is>
          <t>własny (Wilczak)</t>
        </is>
      </c>
      <c r="S128" t="inlineStr">
        <is>
          <t>SK 7J884</t>
        </is>
      </c>
      <c r="T128" s="22" t="n">
        <v>122</v>
      </c>
      <c r="U128" s="21" t="n">
        <v>5</v>
      </c>
      <c r="V128" s="21" t="n">
        <v>610</v>
      </c>
      <c r="W128" t="inlineStr">
        <is>
          <t>Magazyn Zabrze</t>
        </is>
      </c>
      <c r="Z128" t="inlineStr">
        <is>
          <t>Roesner Mateusz</t>
        </is>
      </c>
      <c r="AA128" s="23" t="n">
        <v>46225.49361111111</v>
      </c>
      <c r="AB128" t="inlineStr">
        <is>
          <t>OP-MIGR-00127</t>
        </is>
      </c>
      <c r="AD128" t="inlineStr">
        <is>
          <t>AKTYWNY</t>
        </is>
      </c>
      <c r="AE128" s="20">
        <f>IF(I128="",0,IF(ISNUMBER(SEARCH("MP",UPPER(J128))),I128,IF(ISNUMBER(SEARCH("TON",UPPER(J128))),I128/Przelicznik_MP_tona,IF(ISNUMBER(SEARCH("M3",UPPER(J128))),I128*Przelicznik_M3_MP,IF(ISNUMBER(SEARCH("GJ",UPPER(J128))),I128/Przelicznik_GJ_tona/Przelicznik_MP_tona,I128)))))</f>
        <v/>
      </c>
      <c r="AF128" s="20">
        <f>IF(I128="",0,IF(ISNUMBER(SEARCH("TON",UPPER(J128))),I128,IF(ISNUMBER(SEARCH("GJ",UPPER(J128))),I128/Przelicznik_GJ_tona,AE128*Przelicznik_MP_tona)))</f>
        <v/>
      </c>
      <c r="AG128" s="20">
        <f>AF128*Przelicznik_GJ_tona</f>
        <v/>
      </c>
      <c r="AH128" s="20">
        <f>IF(UPPER(AD128)="SKORYGOWANY",0,IF(OR(UPPER(E128)="TRANSPORT",UPPER(E128)="MM"),0,IF(UPPER(G128)&lt;&gt;"TAK",0,IF(OR(UPPER(E128)="ZAKUP",UPPER(E128)="PRODUKCJA"),AE128,IF(OR(UPPER(E128)="SPRZEDAŻ",UPPER(E128)="ZUŻYCIE"),-AE128,0)))))</f>
        <v/>
      </c>
      <c r="AI128" s="20">
        <f>IF(UPPER(AD128)="SKORYGOWANY",0,IF(OR(UPPER(E128)="TRANSPORT",UPPER(E128)="MM"),0,IF(UPPER(G128)&lt;&gt;"TAK",0,IF(OR(UPPER(E128)="ZAKUP",UPPER(E128)="PRODUKCJA"),AF128,IF(OR(UPPER(E128)="SPRZEDAŻ",UPPER(E128)="ZUŻYCIE"),-AF128,0)))))</f>
        <v/>
      </c>
      <c r="AJ128" s="21">
        <f>IF(UPPER(AD128)="SKORYGOWANY",0,IF(UPPER(E128)="ZAKUP",IF(L128&lt;&gt;"",L128,I128*K128),0))</f>
        <v/>
      </c>
      <c r="AK128" s="21">
        <f>IF(UPPER(AD128)="SKORYGOWANY",0,IF(UPPER(E128)="SPRZEDAŻ",IF(L128&lt;&gt;"",L128,I128*M128),0))</f>
        <v/>
      </c>
      <c r="AL128" s="21">
        <f>AE128*Q128</f>
        <v/>
      </c>
      <c r="AM128">
        <f>IF(R128="","",IF(LOWER(R128)="brak","Brak",IF(OR(ISNUMBER(SEARCH("własn",LOWER(R128))),ISNUMBER(SEARCH("wlasn",LOWER(R128))),ISNUMBER(SEARCH("wojciechowski",LOWER(R128)))),"Własny","Zewnętrzny")))</f>
        <v/>
      </c>
      <c r="AN128" s="24">
        <f>IF(C128="","",YEAR(C128))</f>
        <v/>
      </c>
      <c r="AO128" s="24">
        <f>IF(C128="","",MONTH(C128))</f>
        <v/>
      </c>
      <c r="AP128">
        <f>IF(C128="","",UPPER(TEXT(C128,"mmmm")))</f>
        <v/>
      </c>
      <c r="AQ128">
        <f>IF(C128="","","Q"&amp;ROUNDUP(MONTH(C128)/3,0))</f>
        <v/>
      </c>
    </row>
    <row r="129">
      <c r="A129" s="19" t="n">
        <v>46225</v>
      </c>
      <c r="C129" s="19" t="n">
        <v>46225</v>
      </c>
      <c r="D129" t="inlineStr">
        <is>
          <t>Lander Agro</t>
        </is>
      </c>
      <c r="E129" t="inlineStr">
        <is>
          <t>ZAKUP</t>
        </is>
      </c>
      <c r="F129" t="inlineStr">
        <is>
          <t>PZ/16/D</t>
        </is>
      </c>
      <c r="G129" t="inlineStr">
        <is>
          <t>TAK</t>
        </is>
      </c>
      <c r="H129" t="inlineStr">
        <is>
          <t>KZR</t>
        </is>
      </c>
      <c r="I129" s="20" t="n">
        <v>15.56</v>
      </c>
      <c r="J129" t="inlineStr">
        <is>
          <t>M3</t>
        </is>
      </c>
      <c r="K129" s="21" t="n">
        <v>230</v>
      </c>
      <c r="L129" s="21" t="n">
        <v>3578.8</v>
      </c>
      <c r="M129" s="21" t="n">
        <v>0</v>
      </c>
      <c r="N129" t="inlineStr">
        <is>
          <t>Drewno opałowe z lasu</t>
        </is>
      </c>
      <c r="Q129" s="21" t="n">
        <v>0</v>
      </c>
      <c r="T129" s="22" t="n">
        <v>0</v>
      </c>
      <c r="U129" s="21" t="n">
        <v>0</v>
      </c>
      <c r="V129" s="21" t="n">
        <v>0</v>
      </c>
      <c r="W129" t="inlineStr">
        <is>
          <t>Magazyn Zabrze</t>
        </is>
      </c>
      <c r="Y129" t="inlineStr">
        <is>
          <t>Waga b/d</t>
        </is>
      </c>
      <c r="Z129" t="inlineStr">
        <is>
          <t>Roesner Mateusz</t>
        </is>
      </c>
      <c r="AA129" s="23" t="n">
        <v>46225.49484953703</v>
      </c>
      <c r="AB129" t="inlineStr">
        <is>
          <t>OP-MIGR-00128</t>
        </is>
      </c>
      <c r="AD129" t="inlineStr">
        <is>
          <t>AKTYWNY</t>
        </is>
      </c>
      <c r="AE129" s="20">
        <f>IF(I129="",0,IF(ISNUMBER(SEARCH("MP",UPPER(J129))),I129,IF(ISNUMBER(SEARCH("TON",UPPER(J129))),I129/Przelicznik_MP_tona,IF(ISNUMBER(SEARCH("M3",UPPER(J129))),I129*Przelicznik_M3_MP,IF(ISNUMBER(SEARCH("GJ",UPPER(J129))),I129/Przelicznik_GJ_tona/Przelicznik_MP_tona,I129)))))</f>
        <v/>
      </c>
      <c r="AF129" s="20">
        <f>IF(I129="",0,IF(ISNUMBER(SEARCH("TON",UPPER(J129))),I129,IF(ISNUMBER(SEARCH("GJ",UPPER(J129))),I129/Przelicznik_GJ_tona,AE129*Przelicznik_MP_tona)))</f>
        <v/>
      </c>
      <c r="AG129" s="20">
        <f>AF129*Przelicznik_GJ_tona</f>
        <v/>
      </c>
      <c r="AH129" s="20">
        <f>IF(UPPER(AD129)="SKORYGOWANY",0,IF(OR(UPPER(E129)="TRANSPORT",UPPER(E129)="MM"),0,IF(UPPER(G129)&lt;&gt;"TAK",0,IF(OR(UPPER(E129)="ZAKUP",UPPER(E129)="PRODUKCJA"),AE129,IF(OR(UPPER(E129)="SPRZEDAŻ",UPPER(E129)="ZUŻYCIE"),-AE129,0)))))</f>
        <v/>
      </c>
      <c r="AI129" s="20">
        <f>IF(UPPER(AD129)="SKORYGOWANY",0,IF(OR(UPPER(E129)="TRANSPORT",UPPER(E129)="MM"),0,IF(UPPER(G129)&lt;&gt;"TAK",0,IF(OR(UPPER(E129)="ZAKUP",UPPER(E129)="PRODUKCJA"),AF129,IF(OR(UPPER(E129)="SPRZEDAŻ",UPPER(E129)="ZUŻYCIE"),-AF129,0)))))</f>
        <v/>
      </c>
      <c r="AJ129" s="21">
        <f>IF(UPPER(AD129)="SKORYGOWANY",0,IF(UPPER(E129)="ZAKUP",IF(L129&lt;&gt;"",L129,I129*K129),0))</f>
        <v/>
      </c>
      <c r="AK129" s="21">
        <f>IF(UPPER(AD129)="SKORYGOWANY",0,IF(UPPER(E129)="SPRZEDAŻ",IF(L129&lt;&gt;"",L129,I129*M129),0))</f>
        <v/>
      </c>
      <c r="AL129" s="21">
        <f>AE129*Q129</f>
        <v/>
      </c>
      <c r="AM129">
        <f>IF(R129="","",IF(LOWER(R129)="brak","Brak",IF(OR(ISNUMBER(SEARCH("własn",LOWER(R129))),ISNUMBER(SEARCH("wlasn",LOWER(R129))),ISNUMBER(SEARCH("wojciechowski",LOWER(R129)))),"Własny","Zewnętrzny")))</f>
        <v/>
      </c>
      <c r="AN129" s="24">
        <f>IF(C129="","",YEAR(C129))</f>
        <v/>
      </c>
      <c r="AO129" s="24">
        <f>IF(C129="","",MONTH(C129))</f>
        <v/>
      </c>
      <c r="AP129">
        <f>IF(C129="","",UPPER(TEXT(C129,"mmmm")))</f>
        <v/>
      </c>
      <c r="AQ129">
        <f>IF(C129="","","Q"&amp;ROUNDUP(MONTH(C129)/3,0))</f>
        <v/>
      </c>
    </row>
    <row r="130">
      <c r="A130" s="19" t="n">
        <v>46225</v>
      </c>
      <c r="B130" t="inlineStr">
        <is>
          <t>Magazyn Pyskowice</t>
        </is>
      </c>
      <c r="C130" s="19" t="n">
        <v>46225</v>
      </c>
      <c r="D130" t="inlineStr">
        <is>
          <t>Magazyn Pyskowice</t>
        </is>
      </c>
      <c r="E130" t="inlineStr">
        <is>
          <t>MM</t>
        </is>
      </c>
      <c r="F130" t="inlineStr">
        <is>
          <t>MM-49</t>
        </is>
      </c>
      <c r="G130" t="inlineStr">
        <is>
          <t>TAK</t>
        </is>
      </c>
      <c r="I130" s="20" t="n">
        <v>88.67</v>
      </c>
      <c r="J130" t="inlineStr">
        <is>
          <t>MP</t>
        </is>
      </c>
      <c r="K130" s="21" t="n">
        <v>0</v>
      </c>
      <c r="L130" s="21" t="n">
        <v>0</v>
      </c>
      <c r="M130" s="21" t="n">
        <v>0</v>
      </c>
      <c r="N130" t="inlineStr">
        <is>
          <t>Zrębka Produkcyjna Leśna</t>
        </is>
      </c>
      <c r="O130" t="inlineStr">
        <is>
          <t>B</t>
        </is>
      </c>
      <c r="Q130" s="21" t="n">
        <v>0</v>
      </c>
      <c r="R130" t="inlineStr">
        <is>
          <t>Nowatrans</t>
        </is>
      </c>
      <c r="S130" t="inlineStr">
        <is>
          <t>WND 3546F</t>
        </is>
      </c>
      <c r="T130" s="22" t="n">
        <v>40</v>
      </c>
      <c r="U130" s="21" t="n">
        <v>15</v>
      </c>
      <c r="V130" s="21" t="n">
        <v>600</v>
      </c>
      <c r="W130" t="inlineStr">
        <is>
          <t>Magazyn Zabrze</t>
        </is>
      </c>
      <c r="X130" t="inlineStr">
        <is>
          <t>Magazyn Pyskowice</t>
        </is>
      </c>
      <c r="Z130" t="inlineStr">
        <is>
          <t>Roesner Mateusz</t>
        </is>
      </c>
      <c r="AA130" s="23" t="n">
        <v>46225.53900462963</v>
      </c>
      <c r="AB130" t="inlineStr">
        <is>
          <t>OP-MIGR-00129</t>
        </is>
      </c>
      <c r="AD130" t="inlineStr">
        <is>
          <t>AKTYWNY</t>
        </is>
      </c>
      <c r="AE130" s="20">
        <f>IF(I130="",0,IF(ISNUMBER(SEARCH("MP",UPPER(J130))),I130,IF(ISNUMBER(SEARCH("TON",UPPER(J130))),I130/Przelicznik_MP_tona,IF(ISNUMBER(SEARCH("M3",UPPER(J130))),I130*Przelicznik_M3_MP,IF(ISNUMBER(SEARCH("GJ",UPPER(J130))),I130/Przelicznik_GJ_tona/Przelicznik_MP_tona,I130)))))</f>
        <v/>
      </c>
      <c r="AF130" s="20">
        <f>IF(I130="",0,IF(ISNUMBER(SEARCH("TON",UPPER(J130))),I130,IF(ISNUMBER(SEARCH("GJ",UPPER(J130))),I130/Przelicznik_GJ_tona,AE130*Przelicznik_MP_tona)))</f>
        <v/>
      </c>
      <c r="AG130" s="20">
        <f>AF130*Przelicznik_GJ_tona</f>
        <v/>
      </c>
      <c r="AH130" s="20">
        <f>IF(UPPER(AD130)="SKORYGOWANY",0,IF(OR(UPPER(E130)="TRANSPORT",UPPER(E130)="MM"),0,IF(UPPER(G130)&lt;&gt;"TAK",0,IF(OR(UPPER(E130)="ZAKUP",UPPER(E130)="PRODUKCJA"),AE130,IF(OR(UPPER(E130)="SPRZEDAŻ",UPPER(E130)="ZUŻYCIE"),-AE130,0)))))</f>
        <v/>
      </c>
      <c r="AI130" s="20">
        <f>IF(UPPER(AD130)="SKORYGOWANY",0,IF(OR(UPPER(E130)="TRANSPORT",UPPER(E130)="MM"),0,IF(UPPER(G130)&lt;&gt;"TAK",0,IF(OR(UPPER(E130)="ZAKUP",UPPER(E130)="PRODUKCJA"),AF130,IF(OR(UPPER(E130)="SPRZEDAŻ",UPPER(E130)="ZUŻYCIE"),-AF130,0)))))</f>
        <v/>
      </c>
      <c r="AJ130" s="21">
        <f>IF(UPPER(AD130)="SKORYGOWANY",0,IF(UPPER(E130)="ZAKUP",IF(L130&lt;&gt;"",L130,I130*K130),0))</f>
        <v/>
      </c>
      <c r="AK130" s="21">
        <f>IF(UPPER(AD130)="SKORYGOWANY",0,IF(UPPER(E130)="SPRZEDAŻ",IF(L130&lt;&gt;"",L130,I130*M130),0))</f>
        <v/>
      </c>
      <c r="AL130" s="21">
        <f>AE130*Q130</f>
        <v/>
      </c>
      <c r="AM130">
        <f>IF(R130="","",IF(LOWER(R130)="brak","Brak",IF(OR(ISNUMBER(SEARCH("własn",LOWER(R130))),ISNUMBER(SEARCH("wlasn",LOWER(R130))),ISNUMBER(SEARCH("wojciechowski",LOWER(R130)))),"Własny","Zewnętrzny")))</f>
        <v/>
      </c>
      <c r="AN130" s="24">
        <f>IF(C130="","",YEAR(C130))</f>
        <v/>
      </c>
      <c r="AO130" s="24">
        <f>IF(C130="","",MONTH(C130))</f>
        <v/>
      </c>
      <c r="AP130">
        <f>IF(C130="","",UPPER(TEXT(C130,"mmmm")))</f>
        <v/>
      </c>
      <c r="AQ130">
        <f>IF(C130="","","Q"&amp;ROUNDUP(MONTH(C130)/3,0))</f>
        <v/>
      </c>
    </row>
    <row r="131">
      <c r="A131" s="19" t="n">
        <v>46225</v>
      </c>
      <c r="B131" t="inlineStr">
        <is>
          <t>Magazyn Pyskowice</t>
        </is>
      </c>
      <c r="C131" s="19" t="n">
        <v>46225</v>
      </c>
      <c r="D131" t="inlineStr">
        <is>
          <t>Magazyn Pyskowice</t>
        </is>
      </c>
      <c r="E131" t="inlineStr">
        <is>
          <t>MM</t>
        </is>
      </c>
      <c r="F131" t="inlineStr">
        <is>
          <t>MM-50</t>
        </is>
      </c>
      <c r="G131" t="inlineStr">
        <is>
          <t>TAK</t>
        </is>
      </c>
      <c r="I131" s="20" t="n">
        <v>70</v>
      </c>
      <c r="J131" t="inlineStr">
        <is>
          <t>MP</t>
        </is>
      </c>
      <c r="K131" s="21" t="n">
        <v>0</v>
      </c>
      <c r="L131" s="21" t="n">
        <v>0</v>
      </c>
      <c r="M131" s="21" t="n">
        <v>0</v>
      </c>
      <c r="N131" t="inlineStr">
        <is>
          <t>Zrębka Produkcyjna Leśna</t>
        </is>
      </c>
      <c r="O131" t="inlineStr">
        <is>
          <t>B</t>
        </is>
      </c>
      <c r="Q131" s="21" t="n">
        <v>0</v>
      </c>
      <c r="R131" t="inlineStr">
        <is>
          <t>własny (Wiór)</t>
        </is>
      </c>
      <c r="S131" t="inlineStr">
        <is>
          <t>SK 7H433</t>
        </is>
      </c>
      <c r="T131" s="22" t="n">
        <v>40</v>
      </c>
      <c r="U131" s="21" t="n">
        <v>6</v>
      </c>
      <c r="V131" s="21" t="n">
        <v>240</v>
      </c>
      <c r="W131" t="inlineStr">
        <is>
          <t>Magazyn Zabrze</t>
        </is>
      </c>
      <c r="X131" t="inlineStr">
        <is>
          <t>Magazyn Pyskowice</t>
        </is>
      </c>
      <c r="Z131" t="inlineStr">
        <is>
          <t>Roesner Mateusz</t>
        </is>
      </c>
      <c r="AA131" s="23" t="n">
        <v>46225.56260416667</v>
      </c>
      <c r="AB131" t="inlineStr">
        <is>
          <t>OP-MIGR-00130</t>
        </is>
      </c>
      <c r="AD131" t="inlineStr">
        <is>
          <t>AKTYWNY</t>
        </is>
      </c>
      <c r="AE131" s="20">
        <f>IF(I131="",0,IF(ISNUMBER(SEARCH("MP",UPPER(J131))),I131,IF(ISNUMBER(SEARCH("TON",UPPER(J131))),I131/Przelicznik_MP_tona,IF(ISNUMBER(SEARCH("M3",UPPER(J131))),I131*Przelicznik_M3_MP,IF(ISNUMBER(SEARCH("GJ",UPPER(J131))),I131/Przelicznik_GJ_tona/Przelicznik_MP_tona,I131)))))</f>
        <v/>
      </c>
      <c r="AF131" s="20">
        <f>IF(I131="",0,IF(ISNUMBER(SEARCH("TON",UPPER(J131))),I131,IF(ISNUMBER(SEARCH("GJ",UPPER(J131))),I131/Przelicznik_GJ_tona,AE131*Przelicznik_MP_tona)))</f>
        <v/>
      </c>
      <c r="AG131" s="20">
        <f>AF131*Przelicznik_GJ_tona</f>
        <v/>
      </c>
      <c r="AH131" s="20">
        <f>IF(UPPER(AD131)="SKORYGOWANY",0,IF(OR(UPPER(E131)="TRANSPORT",UPPER(E131)="MM"),0,IF(UPPER(G131)&lt;&gt;"TAK",0,IF(OR(UPPER(E131)="ZAKUP",UPPER(E131)="PRODUKCJA"),AE131,IF(OR(UPPER(E131)="SPRZEDAŻ",UPPER(E131)="ZUŻYCIE"),-AE131,0)))))</f>
        <v/>
      </c>
      <c r="AI131" s="20">
        <f>IF(UPPER(AD131)="SKORYGOWANY",0,IF(OR(UPPER(E131)="TRANSPORT",UPPER(E131)="MM"),0,IF(UPPER(G131)&lt;&gt;"TAK",0,IF(OR(UPPER(E131)="ZAKUP",UPPER(E131)="PRODUKCJA"),AF131,IF(OR(UPPER(E131)="SPRZEDAŻ",UPPER(E131)="ZUŻYCIE"),-AF131,0)))))</f>
        <v/>
      </c>
      <c r="AJ131" s="21">
        <f>IF(UPPER(AD131)="SKORYGOWANY",0,IF(UPPER(E131)="ZAKUP",IF(L131&lt;&gt;"",L131,I131*K131),0))</f>
        <v/>
      </c>
      <c r="AK131" s="21">
        <f>IF(UPPER(AD131)="SKORYGOWANY",0,IF(UPPER(E131)="SPRZEDAŻ",IF(L131&lt;&gt;"",L131,I131*M131),0))</f>
        <v/>
      </c>
      <c r="AL131" s="21">
        <f>AE131*Q131</f>
        <v/>
      </c>
      <c r="AM131">
        <f>IF(R131="","",IF(LOWER(R131)="brak","Brak",IF(OR(ISNUMBER(SEARCH("własn",LOWER(R131))),ISNUMBER(SEARCH("wlasn",LOWER(R131))),ISNUMBER(SEARCH("wojciechowski",LOWER(R131)))),"Własny","Zewnętrzny")))</f>
        <v/>
      </c>
      <c r="AN131" s="24">
        <f>IF(C131="","",YEAR(C131))</f>
        <v/>
      </c>
      <c r="AO131" s="24">
        <f>IF(C131="","",MONTH(C131))</f>
        <v/>
      </c>
      <c r="AP131">
        <f>IF(C131="","",UPPER(TEXT(C131,"mmmm")))</f>
        <v/>
      </c>
      <c r="AQ131">
        <f>IF(C131="","","Q"&amp;ROUNDUP(MONTH(C131)/3,0))</f>
        <v/>
      </c>
    </row>
    <row r="132">
      <c r="A132" s="19" t="n">
        <v>46225</v>
      </c>
      <c r="C132" s="19" t="n">
        <v>46225</v>
      </c>
      <c r="D132" t="inlineStr">
        <is>
          <t>NDL Chrzanów, Leśnictwo Szczakowa</t>
        </is>
      </c>
      <c r="E132" t="inlineStr">
        <is>
          <t>ZAKUP</t>
        </is>
      </c>
      <c r="F132" t="inlineStr">
        <is>
          <t>PZ/25  11/202624975/6100</t>
        </is>
      </c>
      <c r="G132" t="inlineStr">
        <is>
          <t>NIE</t>
        </is>
      </c>
      <c r="H132" t="inlineStr">
        <is>
          <t>Deklaracja</t>
        </is>
      </c>
      <c r="I132" s="20" t="n">
        <v>20.03</v>
      </c>
      <c r="J132" t="inlineStr">
        <is>
          <t>M3</t>
        </is>
      </c>
      <c r="K132" s="21" t="n">
        <v>141</v>
      </c>
      <c r="L132" s="21" t="n">
        <v>2824.23</v>
      </c>
      <c r="M132" s="21" t="n">
        <v>0</v>
      </c>
      <c r="N132" t="inlineStr">
        <is>
          <t>Drewno opałowe z lasu</t>
        </is>
      </c>
      <c r="O132" t="inlineStr">
        <is>
          <t>B</t>
        </is>
      </c>
      <c r="Q132" s="21" t="n">
        <v>0</v>
      </c>
      <c r="T132" s="22" t="n">
        <v>0</v>
      </c>
      <c r="U132" s="21" t="n">
        <v>0</v>
      </c>
      <c r="V132" s="21" t="n">
        <v>0</v>
      </c>
      <c r="W132" t="inlineStr">
        <is>
          <t>Magazyn Zabrze</t>
        </is>
      </c>
      <c r="Z132" t="inlineStr">
        <is>
          <t>Roesner Mateusz</t>
        </is>
      </c>
      <c r="AA132" s="23" t="n">
        <v>46225.56630787037</v>
      </c>
      <c r="AB132" t="inlineStr">
        <is>
          <t>OP-MIGR-00131</t>
        </is>
      </c>
      <c r="AD132" t="inlineStr">
        <is>
          <t>AKTYWNY</t>
        </is>
      </c>
      <c r="AE132" s="20">
        <f>IF(I132="",0,IF(ISNUMBER(SEARCH("MP",UPPER(J132))),I132,IF(ISNUMBER(SEARCH("TON",UPPER(J132))),I132/Przelicznik_MP_tona,IF(ISNUMBER(SEARCH("M3",UPPER(J132))),I132*Przelicznik_M3_MP,IF(ISNUMBER(SEARCH("GJ",UPPER(J132))),I132/Przelicznik_GJ_tona/Przelicznik_MP_tona,I132)))))</f>
        <v/>
      </c>
      <c r="AF132" s="20">
        <f>IF(I132="",0,IF(ISNUMBER(SEARCH("TON",UPPER(J132))),I132,IF(ISNUMBER(SEARCH("GJ",UPPER(J132))),I132/Przelicznik_GJ_tona,AE132*Przelicznik_MP_tona)))</f>
        <v/>
      </c>
      <c r="AG132" s="20">
        <f>AF132*Przelicznik_GJ_tona</f>
        <v/>
      </c>
      <c r="AH132" s="20">
        <f>IF(UPPER(AD132)="SKORYGOWANY",0,IF(OR(UPPER(E132)="TRANSPORT",UPPER(E132)="MM"),0,IF(UPPER(G132)&lt;&gt;"TAK",0,IF(OR(UPPER(E132)="ZAKUP",UPPER(E132)="PRODUKCJA"),AE132,IF(OR(UPPER(E132)="SPRZEDAŻ",UPPER(E132)="ZUŻYCIE"),-AE132,0)))))</f>
        <v/>
      </c>
      <c r="AI132" s="20">
        <f>IF(UPPER(AD132)="SKORYGOWANY",0,IF(OR(UPPER(E132)="TRANSPORT",UPPER(E132)="MM"),0,IF(UPPER(G132)&lt;&gt;"TAK",0,IF(OR(UPPER(E132)="ZAKUP",UPPER(E132)="PRODUKCJA"),AF132,IF(OR(UPPER(E132)="SPRZEDAŻ",UPPER(E132)="ZUŻYCIE"),-AF132,0)))))</f>
        <v/>
      </c>
      <c r="AJ132" s="21">
        <f>IF(UPPER(AD132)="SKORYGOWANY",0,IF(UPPER(E132)="ZAKUP",IF(L132&lt;&gt;"",L132,I132*K132),0))</f>
        <v/>
      </c>
      <c r="AK132" s="21">
        <f>IF(UPPER(AD132)="SKORYGOWANY",0,IF(UPPER(E132)="SPRZEDAŻ",IF(L132&lt;&gt;"",L132,I132*M132),0))</f>
        <v/>
      </c>
      <c r="AL132" s="21">
        <f>AE132*Q132</f>
        <v/>
      </c>
      <c r="AM132">
        <f>IF(R132="","",IF(LOWER(R132)="brak","Brak",IF(OR(ISNUMBER(SEARCH("własn",LOWER(R132))),ISNUMBER(SEARCH("wlasn",LOWER(R132))),ISNUMBER(SEARCH("wojciechowski",LOWER(R132)))),"Własny","Zewnętrzny")))</f>
        <v/>
      </c>
      <c r="AN132" s="24">
        <f>IF(C132="","",YEAR(C132))</f>
        <v/>
      </c>
      <c r="AO132" s="24">
        <f>IF(C132="","",MONTH(C132))</f>
        <v/>
      </c>
      <c r="AP132">
        <f>IF(C132="","",UPPER(TEXT(C132,"mmmm")))</f>
        <v/>
      </c>
      <c r="AQ132">
        <f>IF(C132="","","Q"&amp;ROUNDUP(MONTH(C132)/3,0))</f>
        <v/>
      </c>
    </row>
    <row r="133">
      <c r="A133" s="19" t="n">
        <v>46225</v>
      </c>
      <c r="C133" s="19" t="n">
        <v>46225</v>
      </c>
      <c r="D133" t="inlineStr">
        <is>
          <t>NDL Chrzanów, Leśnictwo Szczakowa</t>
        </is>
      </c>
      <c r="E133" t="inlineStr">
        <is>
          <t>PRODUKCJA</t>
        </is>
      </c>
      <c r="F133" t="inlineStr">
        <is>
          <t>PZ/25</t>
        </is>
      </c>
      <c r="G133" t="inlineStr">
        <is>
          <t>NIE</t>
        </is>
      </c>
      <c r="H133" t="inlineStr">
        <is>
          <t>Deklaracja</t>
        </is>
      </c>
      <c r="I133" s="20" t="n">
        <v>80.12</v>
      </c>
      <c r="J133" t="inlineStr">
        <is>
          <t>MP</t>
        </is>
      </c>
      <c r="K133" s="21" t="n">
        <v>0</v>
      </c>
      <c r="L133" s="21" t="n">
        <v>0</v>
      </c>
      <c r="M133" s="21" t="n">
        <v>0</v>
      </c>
      <c r="N133" t="inlineStr">
        <is>
          <t>Zrębka Produkcyjna Leśna</t>
        </is>
      </c>
      <c r="O133" t="inlineStr">
        <is>
          <t>B</t>
        </is>
      </c>
      <c r="P133" t="inlineStr">
        <is>
          <t>własne</t>
        </is>
      </c>
      <c r="Q133" s="21" t="n">
        <v>10</v>
      </c>
      <c r="T133" s="22" t="n">
        <v>0</v>
      </c>
      <c r="U133" s="21" t="n">
        <v>0</v>
      </c>
      <c r="V133" s="21" t="n">
        <v>0</v>
      </c>
      <c r="W133" t="inlineStr">
        <is>
          <t>Magazyn Zabrze</t>
        </is>
      </c>
      <c r="Z133" t="inlineStr">
        <is>
          <t>Roesner Mateusz</t>
        </is>
      </c>
      <c r="AA133" s="23" t="n">
        <v>46225.56722222222</v>
      </c>
      <c r="AB133" t="inlineStr">
        <is>
          <t>OP-MIGR-00132</t>
        </is>
      </c>
      <c r="AD133" t="inlineStr">
        <is>
          <t>AKTYWNY</t>
        </is>
      </c>
      <c r="AE133" s="20">
        <f>IF(I133="",0,IF(ISNUMBER(SEARCH("MP",UPPER(J133))),I133,IF(ISNUMBER(SEARCH("TON",UPPER(J133))),I133/Przelicznik_MP_tona,IF(ISNUMBER(SEARCH("M3",UPPER(J133))),I133*Przelicznik_M3_MP,IF(ISNUMBER(SEARCH("GJ",UPPER(J133))),I133/Przelicznik_GJ_tona/Przelicznik_MP_tona,I133)))))</f>
        <v/>
      </c>
      <c r="AF133" s="20">
        <f>IF(I133="",0,IF(ISNUMBER(SEARCH("TON",UPPER(J133))),I133,IF(ISNUMBER(SEARCH("GJ",UPPER(J133))),I133/Przelicznik_GJ_tona,AE133*Przelicznik_MP_tona)))</f>
        <v/>
      </c>
      <c r="AG133" s="20">
        <f>AF133*Przelicznik_GJ_tona</f>
        <v/>
      </c>
      <c r="AH133" s="20">
        <f>IF(UPPER(AD133)="SKORYGOWANY",0,IF(OR(UPPER(E133)="TRANSPORT",UPPER(E133)="MM"),0,IF(UPPER(G133)&lt;&gt;"TAK",0,IF(OR(UPPER(E133)="ZAKUP",UPPER(E133)="PRODUKCJA"),AE133,IF(OR(UPPER(E133)="SPRZEDAŻ",UPPER(E133)="ZUŻYCIE"),-AE133,0)))))</f>
        <v/>
      </c>
      <c r="AI133" s="20">
        <f>IF(UPPER(AD133)="SKORYGOWANY",0,IF(OR(UPPER(E133)="TRANSPORT",UPPER(E133)="MM"),0,IF(UPPER(G133)&lt;&gt;"TAK",0,IF(OR(UPPER(E133)="ZAKUP",UPPER(E133)="PRODUKCJA"),AF133,IF(OR(UPPER(E133)="SPRZEDAŻ",UPPER(E133)="ZUŻYCIE"),-AF133,0)))))</f>
        <v/>
      </c>
      <c r="AJ133" s="21">
        <f>IF(UPPER(AD133)="SKORYGOWANY",0,IF(UPPER(E133)="ZAKUP",IF(L133&lt;&gt;"",L133,I133*K133),0))</f>
        <v/>
      </c>
      <c r="AK133" s="21">
        <f>IF(UPPER(AD133)="SKORYGOWANY",0,IF(UPPER(E133)="SPRZEDAŻ",IF(L133&lt;&gt;"",L133,I133*M133),0))</f>
        <v/>
      </c>
      <c r="AL133" s="21">
        <f>AE133*Q133</f>
        <v/>
      </c>
      <c r="AM133">
        <f>IF(R133="","",IF(LOWER(R133)="brak","Brak",IF(OR(ISNUMBER(SEARCH("własn",LOWER(R133))),ISNUMBER(SEARCH("wlasn",LOWER(R133))),ISNUMBER(SEARCH("wojciechowski",LOWER(R133)))),"Własny","Zewnętrzny")))</f>
        <v/>
      </c>
      <c r="AN133" s="24">
        <f>IF(C133="","",YEAR(C133))</f>
        <v/>
      </c>
      <c r="AO133" s="24">
        <f>IF(C133="","",MONTH(C133))</f>
        <v/>
      </c>
      <c r="AP133">
        <f>IF(C133="","",UPPER(TEXT(C133,"mmmm")))</f>
        <v/>
      </c>
      <c r="AQ133">
        <f>IF(C133="","","Q"&amp;ROUNDUP(MONTH(C133)/3,0))</f>
        <v/>
      </c>
    </row>
    <row r="134">
      <c r="A134" s="19" t="n">
        <v>46225</v>
      </c>
      <c r="C134" s="19" t="n">
        <v>46225</v>
      </c>
      <c r="D134" t="inlineStr">
        <is>
          <t>NDL Chrzanów, Leśnictwo Szczakowa</t>
        </is>
      </c>
      <c r="E134" t="inlineStr">
        <is>
          <t>ZUŻYCIE</t>
        </is>
      </c>
      <c r="F134" t="inlineStr">
        <is>
          <t>PZ/25</t>
        </is>
      </c>
      <c r="G134" t="inlineStr">
        <is>
          <t>NIE</t>
        </is>
      </c>
      <c r="H134" t="inlineStr">
        <is>
          <t>Deklaracja</t>
        </is>
      </c>
      <c r="I134" s="20" t="n">
        <v>80.12</v>
      </c>
      <c r="J134" t="inlineStr">
        <is>
          <t>MP</t>
        </is>
      </c>
      <c r="K134" s="21" t="n">
        <v>0</v>
      </c>
      <c r="L134" s="21" t="n">
        <v>0</v>
      </c>
      <c r="M134" s="21" t="n">
        <v>0</v>
      </c>
      <c r="N134" t="inlineStr">
        <is>
          <t>Zrębka Produkcyjna Leśna</t>
        </is>
      </c>
      <c r="O134" t="inlineStr">
        <is>
          <t>B</t>
        </is>
      </c>
      <c r="P134" t="inlineStr">
        <is>
          <t>własne</t>
        </is>
      </c>
      <c r="Q134" s="21" t="n">
        <v>10</v>
      </c>
      <c r="T134" s="22" t="n">
        <v>0</v>
      </c>
      <c r="U134" s="21" t="n">
        <v>0</v>
      </c>
      <c r="V134" s="21" t="n">
        <v>0</v>
      </c>
      <c r="W134" t="inlineStr">
        <is>
          <t>Magazyn Zabrze</t>
        </is>
      </c>
      <c r="Y134" t="inlineStr">
        <is>
          <t>Automatyczne zużycie surowca do produkcji</t>
        </is>
      </c>
      <c r="AA134" s="23" t="n">
        <v>46225.56722222222</v>
      </c>
      <c r="AB134" t="inlineStr">
        <is>
          <t>OP-MIGR-00133</t>
        </is>
      </c>
      <c r="AD134" t="inlineStr">
        <is>
          <t>AKTYWNY</t>
        </is>
      </c>
      <c r="AE134" s="20">
        <f>IF(I134="",0,IF(ISNUMBER(SEARCH("MP",UPPER(J134))),I134,IF(ISNUMBER(SEARCH("TON",UPPER(J134))),I134/Przelicznik_MP_tona,IF(ISNUMBER(SEARCH("M3",UPPER(J134))),I134*Przelicznik_M3_MP,IF(ISNUMBER(SEARCH("GJ",UPPER(J134))),I134/Przelicznik_GJ_tona/Przelicznik_MP_tona,I134)))))</f>
        <v/>
      </c>
      <c r="AF134" s="20">
        <f>IF(I134="",0,IF(ISNUMBER(SEARCH("TON",UPPER(J134))),I134,IF(ISNUMBER(SEARCH("GJ",UPPER(J134))),I134/Przelicznik_GJ_tona,AE134*Przelicznik_MP_tona)))</f>
        <v/>
      </c>
      <c r="AG134" s="20">
        <f>AF134*Przelicznik_GJ_tona</f>
        <v/>
      </c>
      <c r="AH134" s="20">
        <f>IF(UPPER(AD134)="SKORYGOWANY",0,IF(OR(UPPER(E134)="TRANSPORT",UPPER(E134)="MM"),0,IF(UPPER(G134)&lt;&gt;"TAK",0,IF(OR(UPPER(E134)="ZAKUP",UPPER(E134)="PRODUKCJA"),AE134,IF(OR(UPPER(E134)="SPRZEDAŻ",UPPER(E134)="ZUŻYCIE"),-AE134,0)))))</f>
        <v/>
      </c>
      <c r="AI134" s="20">
        <f>IF(UPPER(AD134)="SKORYGOWANY",0,IF(OR(UPPER(E134)="TRANSPORT",UPPER(E134)="MM"),0,IF(UPPER(G134)&lt;&gt;"TAK",0,IF(OR(UPPER(E134)="ZAKUP",UPPER(E134)="PRODUKCJA"),AF134,IF(OR(UPPER(E134)="SPRZEDAŻ",UPPER(E134)="ZUŻYCIE"),-AF134,0)))))</f>
        <v/>
      </c>
      <c r="AJ134" s="21">
        <f>IF(UPPER(AD134)="SKORYGOWANY",0,IF(UPPER(E134)="ZAKUP",IF(L134&lt;&gt;"",L134,I134*K134),0))</f>
        <v/>
      </c>
      <c r="AK134" s="21">
        <f>IF(UPPER(AD134)="SKORYGOWANY",0,IF(UPPER(E134)="SPRZEDAŻ",IF(L134&lt;&gt;"",L134,I134*M134),0))</f>
        <v/>
      </c>
      <c r="AL134" s="21">
        <f>AE134*Q134</f>
        <v/>
      </c>
      <c r="AM134">
        <f>IF(R134="","",IF(LOWER(R134)="brak","Brak",IF(OR(ISNUMBER(SEARCH("własn",LOWER(R134))),ISNUMBER(SEARCH("wlasn",LOWER(R134))),ISNUMBER(SEARCH("wojciechowski",LOWER(R134)))),"Własny","Zewnętrzny")))</f>
        <v/>
      </c>
      <c r="AN134" s="24">
        <f>IF(C134="","",YEAR(C134))</f>
        <v/>
      </c>
      <c r="AO134" s="24">
        <f>IF(C134="","",MONTH(C134))</f>
        <v/>
      </c>
      <c r="AP134">
        <f>IF(C134="","",UPPER(TEXT(C134,"mmmm")))</f>
        <v/>
      </c>
      <c r="AQ134">
        <f>IF(C134="","","Q"&amp;ROUNDUP(MONTH(C134)/3,0))</f>
        <v/>
      </c>
    </row>
    <row r="135">
      <c r="A135" s="19" t="n">
        <v>46225</v>
      </c>
      <c r="B135" t="inlineStr">
        <is>
          <t>Jaworzno</t>
        </is>
      </c>
      <c r="C135" s="19" t="n">
        <v>46225</v>
      </c>
      <c r="D135" t="inlineStr">
        <is>
          <t>Magazyn Zabrze</t>
        </is>
      </c>
      <c r="E135" t="inlineStr">
        <is>
          <t>ZAKUP</t>
        </is>
      </c>
      <c r="F135" t="inlineStr">
        <is>
          <t>PZ/25</t>
        </is>
      </c>
      <c r="G135" t="inlineStr">
        <is>
          <t>TAK</t>
        </is>
      </c>
      <c r="H135" t="inlineStr">
        <is>
          <t>Deklaracja</t>
        </is>
      </c>
      <c r="I135" s="20" t="n">
        <v>80.12</v>
      </c>
      <c r="J135" t="inlineStr">
        <is>
          <t>MP</t>
        </is>
      </c>
      <c r="K135" s="21" t="n">
        <v>0</v>
      </c>
      <c r="L135" s="21" t="n">
        <v>0</v>
      </c>
      <c r="M135" s="21" t="n">
        <v>0</v>
      </c>
      <c r="N135" t="inlineStr">
        <is>
          <t>Zrębka Produkcyjna Leśna</t>
        </is>
      </c>
      <c r="O135" t="inlineStr">
        <is>
          <t>B</t>
        </is>
      </c>
      <c r="Q135" s="21" t="n">
        <v>0</v>
      </c>
      <c r="R135" t="inlineStr">
        <is>
          <t>własny (Kretek)</t>
        </is>
      </c>
      <c r="S135" t="inlineStr">
        <is>
          <t>SK 7J885</t>
        </is>
      </c>
      <c r="T135" s="22" t="n">
        <v>122</v>
      </c>
      <c r="U135" s="21" t="n">
        <v>5</v>
      </c>
      <c r="V135" s="21" t="n">
        <v>610</v>
      </c>
      <c r="W135" t="inlineStr">
        <is>
          <t>Magazyn Zabrze</t>
        </is>
      </c>
      <c r="Z135" t="inlineStr">
        <is>
          <t>Roesner Mateusz</t>
        </is>
      </c>
      <c r="AA135" s="23" t="n">
        <v>46225.56826388889</v>
      </c>
      <c r="AB135" t="inlineStr">
        <is>
          <t>OP-MIGR-00134</t>
        </is>
      </c>
      <c r="AD135" t="inlineStr">
        <is>
          <t>AKTYWNY</t>
        </is>
      </c>
      <c r="AE135" s="20">
        <f>IF(I135="",0,IF(ISNUMBER(SEARCH("MP",UPPER(J135))),I135,IF(ISNUMBER(SEARCH("TON",UPPER(J135))),I135/Przelicznik_MP_tona,IF(ISNUMBER(SEARCH("M3",UPPER(J135))),I135*Przelicznik_M3_MP,IF(ISNUMBER(SEARCH("GJ",UPPER(J135))),I135/Przelicznik_GJ_tona/Przelicznik_MP_tona,I135)))))</f>
        <v/>
      </c>
      <c r="AF135" s="20">
        <f>IF(I135="",0,IF(ISNUMBER(SEARCH("TON",UPPER(J135))),I135,IF(ISNUMBER(SEARCH("GJ",UPPER(J135))),I135/Przelicznik_GJ_tona,AE135*Przelicznik_MP_tona)))</f>
        <v/>
      </c>
      <c r="AG135" s="20">
        <f>AF135*Przelicznik_GJ_tona</f>
        <v/>
      </c>
      <c r="AH135" s="20">
        <f>IF(UPPER(AD135)="SKORYGOWANY",0,IF(OR(UPPER(E135)="TRANSPORT",UPPER(E135)="MM"),0,IF(UPPER(G135)&lt;&gt;"TAK",0,IF(OR(UPPER(E135)="ZAKUP",UPPER(E135)="PRODUKCJA"),AE135,IF(OR(UPPER(E135)="SPRZEDAŻ",UPPER(E135)="ZUŻYCIE"),-AE135,0)))))</f>
        <v/>
      </c>
      <c r="AI135" s="20">
        <f>IF(UPPER(AD135)="SKORYGOWANY",0,IF(OR(UPPER(E135)="TRANSPORT",UPPER(E135)="MM"),0,IF(UPPER(G135)&lt;&gt;"TAK",0,IF(OR(UPPER(E135)="ZAKUP",UPPER(E135)="PRODUKCJA"),AF135,IF(OR(UPPER(E135)="SPRZEDAŻ",UPPER(E135)="ZUŻYCIE"),-AF135,0)))))</f>
        <v/>
      </c>
      <c r="AJ135" s="21">
        <f>IF(UPPER(AD135)="SKORYGOWANY",0,IF(UPPER(E135)="ZAKUP",IF(L135&lt;&gt;"",L135,I135*K135),0))</f>
        <v/>
      </c>
      <c r="AK135" s="21">
        <f>IF(UPPER(AD135)="SKORYGOWANY",0,IF(UPPER(E135)="SPRZEDAŻ",IF(L135&lt;&gt;"",L135,I135*M135),0))</f>
        <v/>
      </c>
      <c r="AL135" s="21">
        <f>AE135*Q135</f>
        <v/>
      </c>
      <c r="AM135">
        <f>IF(R135="","",IF(LOWER(R135)="brak","Brak",IF(OR(ISNUMBER(SEARCH("własn",LOWER(R135))),ISNUMBER(SEARCH("wlasn",LOWER(R135))),ISNUMBER(SEARCH("wojciechowski",LOWER(R135)))),"Własny","Zewnętrzny")))</f>
        <v/>
      </c>
      <c r="AN135" s="24">
        <f>IF(C135="","",YEAR(C135))</f>
        <v/>
      </c>
      <c r="AO135" s="24">
        <f>IF(C135="","",MONTH(C135))</f>
        <v/>
      </c>
      <c r="AP135">
        <f>IF(C135="","",UPPER(TEXT(C135,"mmmm")))</f>
        <v/>
      </c>
      <c r="AQ135">
        <f>IF(C135="","","Q"&amp;ROUNDUP(MONTH(C135)/3,0))</f>
        <v/>
      </c>
    </row>
    <row r="136">
      <c r="A136" s="19" t="n">
        <v>46225</v>
      </c>
      <c r="C136" s="19" t="n">
        <v>46225</v>
      </c>
      <c r="D136" t="inlineStr">
        <is>
          <t>NDL Chrzanów, Leśnictwo Szczakowa</t>
        </is>
      </c>
      <c r="E136" t="inlineStr">
        <is>
          <t>ZAKUP</t>
        </is>
      </c>
      <c r="F136" t="inlineStr">
        <is>
          <t>PZ/26  11/202624975/6101</t>
        </is>
      </c>
      <c r="G136" t="inlineStr">
        <is>
          <t>NIE</t>
        </is>
      </c>
      <c r="H136" t="inlineStr">
        <is>
          <t>Deklaracja</t>
        </is>
      </c>
      <c r="I136" s="20" t="n">
        <v>20.03</v>
      </c>
      <c r="J136" t="inlineStr">
        <is>
          <t>M3</t>
        </is>
      </c>
      <c r="K136" s="21" t="n">
        <v>141</v>
      </c>
      <c r="L136" s="21" t="n">
        <v>2824.23</v>
      </c>
      <c r="M136" s="21" t="n">
        <v>0</v>
      </c>
      <c r="N136" t="inlineStr">
        <is>
          <t>Drewno opałowe z lasu</t>
        </is>
      </c>
      <c r="Q136" s="21" t="n">
        <v>0</v>
      </c>
      <c r="T136" s="22" t="n">
        <v>0</v>
      </c>
      <c r="U136" s="21" t="n">
        <v>0</v>
      </c>
      <c r="V136" s="21" t="n">
        <v>0</v>
      </c>
      <c r="W136" t="inlineStr">
        <is>
          <t>Magazyn Zabrze</t>
        </is>
      </c>
      <c r="Z136" t="inlineStr">
        <is>
          <t>Roesner Mateusz</t>
        </is>
      </c>
      <c r="AA136" s="23" t="n">
        <v>46226.35001157408</v>
      </c>
      <c r="AB136" t="inlineStr">
        <is>
          <t>OP-MIGR-00135</t>
        </is>
      </c>
      <c r="AD136" t="inlineStr">
        <is>
          <t>AKTYWNY</t>
        </is>
      </c>
      <c r="AE136" s="20">
        <f>IF(I136="",0,IF(ISNUMBER(SEARCH("MP",UPPER(J136))),I136,IF(ISNUMBER(SEARCH("TON",UPPER(J136))),I136/Przelicznik_MP_tona,IF(ISNUMBER(SEARCH("M3",UPPER(J136))),I136*Przelicznik_M3_MP,IF(ISNUMBER(SEARCH("GJ",UPPER(J136))),I136/Przelicznik_GJ_tona/Przelicznik_MP_tona,I136)))))</f>
        <v/>
      </c>
      <c r="AF136" s="20">
        <f>IF(I136="",0,IF(ISNUMBER(SEARCH("TON",UPPER(J136))),I136,IF(ISNUMBER(SEARCH("GJ",UPPER(J136))),I136/Przelicznik_GJ_tona,AE136*Przelicznik_MP_tona)))</f>
        <v/>
      </c>
      <c r="AG136" s="20">
        <f>AF136*Przelicznik_GJ_tona</f>
        <v/>
      </c>
      <c r="AH136" s="20">
        <f>IF(UPPER(AD136)="SKORYGOWANY",0,IF(OR(UPPER(E136)="TRANSPORT",UPPER(E136)="MM"),0,IF(UPPER(G136)&lt;&gt;"TAK",0,IF(OR(UPPER(E136)="ZAKUP",UPPER(E136)="PRODUKCJA"),AE136,IF(OR(UPPER(E136)="SPRZEDAŻ",UPPER(E136)="ZUŻYCIE"),-AE136,0)))))</f>
        <v/>
      </c>
      <c r="AI136" s="20">
        <f>IF(UPPER(AD136)="SKORYGOWANY",0,IF(OR(UPPER(E136)="TRANSPORT",UPPER(E136)="MM"),0,IF(UPPER(G136)&lt;&gt;"TAK",0,IF(OR(UPPER(E136)="ZAKUP",UPPER(E136)="PRODUKCJA"),AF136,IF(OR(UPPER(E136)="SPRZEDAŻ",UPPER(E136)="ZUŻYCIE"),-AF136,0)))))</f>
        <v/>
      </c>
      <c r="AJ136" s="21">
        <f>IF(UPPER(AD136)="SKORYGOWANY",0,IF(UPPER(E136)="ZAKUP",IF(L136&lt;&gt;"",L136,I136*K136),0))</f>
        <v/>
      </c>
      <c r="AK136" s="21">
        <f>IF(UPPER(AD136)="SKORYGOWANY",0,IF(UPPER(E136)="SPRZEDAŻ",IF(L136&lt;&gt;"",L136,I136*M136),0))</f>
        <v/>
      </c>
      <c r="AL136" s="21">
        <f>AE136*Q136</f>
        <v/>
      </c>
      <c r="AM136">
        <f>IF(R136="","",IF(LOWER(R136)="brak","Brak",IF(OR(ISNUMBER(SEARCH("własn",LOWER(R136))),ISNUMBER(SEARCH("wlasn",LOWER(R136))),ISNUMBER(SEARCH("wojciechowski",LOWER(R136)))),"Własny","Zewnętrzny")))</f>
        <v/>
      </c>
      <c r="AN136" s="24">
        <f>IF(C136="","",YEAR(C136))</f>
        <v/>
      </c>
      <c r="AO136" s="24">
        <f>IF(C136="","",MONTH(C136))</f>
        <v/>
      </c>
      <c r="AP136">
        <f>IF(C136="","",UPPER(TEXT(C136,"mmmm")))</f>
        <v/>
      </c>
      <c r="AQ136">
        <f>IF(C136="","","Q"&amp;ROUNDUP(MONTH(C136)/3,0))</f>
        <v/>
      </c>
    </row>
    <row r="137">
      <c r="A137" s="19" t="n">
        <v>46225</v>
      </c>
      <c r="C137" s="19" t="n">
        <v>46225</v>
      </c>
      <c r="D137" t="inlineStr">
        <is>
          <t>NDL Chrzanów, Leśnictwo Szczakowa</t>
        </is>
      </c>
      <c r="E137" t="inlineStr">
        <is>
          <t>PRODUKCJA</t>
        </is>
      </c>
      <c r="F137" t="inlineStr">
        <is>
          <t>PZ/26</t>
        </is>
      </c>
      <c r="G137" t="inlineStr">
        <is>
          <t>NIE</t>
        </is>
      </c>
      <c r="H137" t="inlineStr">
        <is>
          <t>Deklaracja</t>
        </is>
      </c>
      <c r="I137" s="20" t="n">
        <v>80.12</v>
      </c>
      <c r="J137" t="inlineStr">
        <is>
          <t>MP</t>
        </is>
      </c>
      <c r="K137" s="21" t="n">
        <v>0</v>
      </c>
      <c r="L137" s="21" t="n">
        <v>0</v>
      </c>
      <c r="M137" s="21" t="n">
        <v>0</v>
      </c>
      <c r="N137" t="inlineStr">
        <is>
          <t>Zrębka Produkcyjna Leśna</t>
        </is>
      </c>
      <c r="O137" t="inlineStr">
        <is>
          <t>B</t>
        </is>
      </c>
      <c r="P137" t="inlineStr">
        <is>
          <t>własne</t>
        </is>
      </c>
      <c r="Q137" s="21" t="n">
        <v>10</v>
      </c>
      <c r="T137" s="22" t="n">
        <v>0</v>
      </c>
      <c r="U137" s="21" t="n">
        <v>0</v>
      </c>
      <c r="V137" s="21" t="n">
        <v>0</v>
      </c>
      <c r="W137" t="inlineStr">
        <is>
          <t>Magazyn Zabrze</t>
        </is>
      </c>
      <c r="Z137" t="inlineStr">
        <is>
          <t>Roesner Mateusz</t>
        </is>
      </c>
      <c r="AA137" s="23" t="n">
        <v>46226.3509375</v>
      </c>
      <c r="AB137" t="inlineStr">
        <is>
          <t>OP-MIGR-00136</t>
        </is>
      </c>
      <c r="AD137" t="inlineStr">
        <is>
          <t>AKTYWNY</t>
        </is>
      </c>
      <c r="AE137" s="20">
        <f>IF(I137="",0,IF(ISNUMBER(SEARCH("MP",UPPER(J137))),I137,IF(ISNUMBER(SEARCH("TON",UPPER(J137))),I137/Przelicznik_MP_tona,IF(ISNUMBER(SEARCH("M3",UPPER(J137))),I137*Przelicznik_M3_MP,IF(ISNUMBER(SEARCH("GJ",UPPER(J137))),I137/Przelicznik_GJ_tona/Przelicznik_MP_tona,I137)))))</f>
        <v/>
      </c>
      <c r="AF137" s="20">
        <f>IF(I137="",0,IF(ISNUMBER(SEARCH("TON",UPPER(J137))),I137,IF(ISNUMBER(SEARCH("GJ",UPPER(J137))),I137/Przelicznik_GJ_tona,AE137*Przelicznik_MP_tona)))</f>
        <v/>
      </c>
      <c r="AG137" s="20">
        <f>AF137*Przelicznik_GJ_tona</f>
        <v/>
      </c>
      <c r="AH137" s="20">
        <f>IF(UPPER(AD137)="SKORYGOWANY",0,IF(OR(UPPER(E137)="TRANSPORT",UPPER(E137)="MM"),0,IF(UPPER(G137)&lt;&gt;"TAK",0,IF(OR(UPPER(E137)="ZAKUP",UPPER(E137)="PRODUKCJA"),AE137,IF(OR(UPPER(E137)="SPRZEDAŻ",UPPER(E137)="ZUŻYCIE"),-AE137,0)))))</f>
        <v/>
      </c>
      <c r="AI137" s="20">
        <f>IF(UPPER(AD137)="SKORYGOWANY",0,IF(OR(UPPER(E137)="TRANSPORT",UPPER(E137)="MM"),0,IF(UPPER(G137)&lt;&gt;"TAK",0,IF(OR(UPPER(E137)="ZAKUP",UPPER(E137)="PRODUKCJA"),AF137,IF(OR(UPPER(E137)="SPRZEDAŻ",UPPER(E137)="ZUŻYCIE"),-AF137,0)))))</f>
        <v/>
      </c>
      <c r="AJ137" s="21">
        <f>IF(UPPER(AD137)="SKORYGOWANY",0,IF(UPPER(E137)="ZAKUP",IF(L137&lt;&gt;"",L137,I137*K137),0))</f>
        <v/>
      </c>
      <c r="AK137" s="21">
        <f>IF(UPPER(AD137)="SKORYGOWANY",0,IF(UPPER(E137)="SPRZEDAŻ",IF(L137&lt;&gt;"",L137,I137*M137),0))</f>
        <v/>
      </c>
      <c r="AL137" s="21">
        <f>AE137*Q137</f>
        <v/>
      </c>
      <c r="AM137">
        <f>IF(R137="","",IF(LOWER(R137)="brak","Brak",IF(OR(ISNUMBER(SEARCH("własn",LOWER(R137))),ISNUMBER(SEARCH("wlasn",LOWER(R137))),ISNUMBER(SEARCH("wojciechowski",LOWER(R137)))),"Własny","Zewnętrzny")))</f>
        <v/>
      </c>
      <c r="AN137" s="24">
        <f>IF(C137="","",YEAR(C137))</f>
        <v/>
      </c>
      <c r="AO137" s="24">
        <f>IF(C137="","",MONTH(C137))</f>
        <v/>
      </c>
      <c r="AP137">
        <f>IF(C137="","",UPPER(TEXT(C137,"mmmm")))</f>
        <v/>
      </c>
      <c r="AQ137">
        <f>IF(C137="","","Q"&amp;ROUNDUP(MONTH(C137)/3,0))</f>
        <v/>
      </c>
    </row>
    <row r="138">
      <c r="A138" s="19" t="n">
        <v>46225</v>
      </c>
      <c r="C138" s="19" t="n">
        <v>46225</v>
      </c>
      <c r="D138" t="inlineStr">
        <is>
          <t>NDL Chrzanów, Leśnictwo Szczakowa</t>
        </is>
      </c>
      <c r="E138" t="inlineStr">
        <is>
          <t>ZUŻYCIE</t>
        </is>
      </c>
      <c r="F138" t="inlineStr">
        <is>
          <t>PZ/26</t>
        </is>
      </c>
      <c r="G138" t="inlineStr">
        <is>
          <t>NIE</t>
        </is>
      </c>
      <c r="H138" t="inlineStr">
        <is>
          <t>Deklaracja</t>
        </is>
      </c>
      <c r="I138" s="20" t="n">
        <v>80.12</v>
      </c>
      <c r="J138" t="inlineStr">
        <is>
          <t>MP</t>
        </is>
      </c>
      <c r="K138" s="21" t="n">
        <v>0</v>
      </c>
      <c r="L138" s="21" t="n">
        <v>0</v>
      </c>
      <c r="M138" s="21" t="n">
        <v>0</v>
      </c>
      <c r="N138" t="inlineStr">
        <is>
          <t>Zrębka Produkcyjna Leśna</t>
        </is>
      </c>
      <c r="O138" t="inlineStr">
        <is>
          <t>B</t>
        </is>
      </c>
      <c r="P138" t="inlineStr">
        <is>
          <t>własne</t>
        </is>
      </c>
      <c r="Q138" s="21" t="n">
        <v>10</v>
      </c>
      <c r="T138" s="22" t="n">
        <v>0</v>
      </c>
      <c r="U138" s="21" t="n">
        <v>0</v>
      </c>
      <c r="V138" s="21" t="n">
        <v>0</v>
      </c>
      <c r="W138" t="inlineStr">
        <is>
          <t>Magazyn Zabrze</t>
        </is>
      </c>
      <c r="Y138" t="inlineStr">
        <is>
          <t>Automatyczne zużycie surowca do produkcji</t>
        </is>
      </c>
      <c r="AA138" s="23" t="n">
        <v>46226.35094907408</v>
      </c>
      <c r="AB138" t="inlineStr">
        <is>
          <t>OP-MIGR-00137</t>
        </is>
      </c>
      <c r="AD138" t="inlineStr">
        <is>
          <t>AKTYWNY</t>
        </is>
      </c>
      <c r="AE138" s="20">
        <f>IF(I138="",0,IF(ISNUMBER(SEARCH("MP",UPPER(J138))),I138,IF(ISNUMBER(SEARCH("TON",UPPER(J138))),I138/Przelicznik_MP_tona,IF(ISNUMBER(SEARCH("M3",UPPER(J138))),I138*Przelicznik_M3_MP,IF(ISNUMBER(SEARCH("GJ",UPPER(J138))),I138/Przelicznik_GJ_tona/Przelicznik_MP_tona,I138)))))</f>
        <v/>
      </c>
      <c r="AF138" s="20">
        <f>IF(I138="",0,IF(ISNUMBER(SEARCH("TON",UPPER(J138))),I138,IF(ISNUMBER(SEARCH("GJ",UPPER(J138))),I138/Przelicznik_GJ_tona,AE138*Przelicznik_MP_tona)))</f>
        <v/>
      </c>
      <c r="AG138" s="20">
        <f>AF138*Przelicznik_GJ_tona</f>
        <v/>
      </c>
      <c r="AH138" s="20">
        <f>IF(UPPER(AD138)="SKORYGOWANY",0,IF(OR(UPPER(E138)="TRANSPORT",UPPER(E138)="MM"),0,IF(UPPER(G138)&lt;&gt;"TAK",0,IF(OR(UPPER(E138)="ZAKUP",UPPER(E138)="PRODUKCJA"),AE138,IF(OR(UPPER(E138)="SPRZEDAŻ",UPPER(E138)="ZUŻYCIE"),-AE138,0)))))</f>
        <v/>
      </c>
      <c r="AI138" s="20">
        <f>IF(UPPER(AD138)="SKORYGOWANY",0,IF(OR(UPPER(E138)="TRANSPORT",UPPER(E138)="MM"),0,IF(UPPER(G138)&lt;&gt;"TAK",0,IF(OR(UPPER(E138)="ZAKUP",UPPER(E138)="PRODUKCJA"),AF138,IF(OR(UPPER(E138)="SPRZEDAŻ",UPPER(E138)="ZUŻYCIE"),-AF138,0)))))</f>
        <v/>
      </c>
      <c r="AJ138" s="21">
        <f>IF(UPPER(AD138)="SKORYGOWANY",0,IF(UPPER(E138)="ZAKUP",IF(L138&lt;&gt;"",L138,I138*K138),0))</f>
        <v/>
      </c>
      <c r="AK138" s="21">
        <f>IF(UPPER(AD138)="SKORYGOWANY",0,IF(UPPER(E138)="SPRZEDAŻ",IF(L138&lt;&gt;"",L138,I138*M138),0))</f>
        <v/>
      </c>
      <c r="AL138" s="21">
        <f>AE138*Q138</f>
        <v/>
      </c>
      <c r="AM138">
        <f>IF(R138="","",IF(LOWER(R138)="brak","Brak",IF(OR(ISNUMBER(SEARCH("własn",LOWER(R138))),ISNUMBER(SEARCH("wlasn",LOWER(R138))),ISNUMBER(SEARCH("wojciechowski",LOWER(R138)))),"Własny","Zewnętrzny")))</f>
        <v/>
      </c>
      <c r="AN138" s="24">
        <f>IF(C138="","",YEAR(C138))</f>
        <v/>
      </c>
      <c r="AO138" s="24">
        <f>IF(C138="","",MONTH(C138))</f>
        <v/>
      </c>
      <c r="AP138">
        <f>IF(C138="","",UPPER(TEXT(C138,"mmmm")))</f>
        <v/>
      </c>
      <c r="AQ138">
        <f>IF(C138="","","Q"&amp;ROUNDUP(MONTH(C138)/3,0))</f>
        <v/>
      </c>
    </row>
    <row r="139">
      <c r="A139" s="19" t="n">
        <v>46225</v>
      </c>
      <c r="B139" t="inlineStr">
        <is>
          <t>Jaworzno</t>
        </is>
      </c>
      <c r="C139" s="19" t="n">
        <v>46225</v>
      </c>
      <c r="D139" t="inlineStr">
        <is>
          <t>Magazyn Zabrze</t>
        </is>
      </c>
      <c r="E139" t="inlineStr">
        <is>
          <t>ZAKUP</t>
        </is>
      </c>
      <c r="F139" t="inlineStr">
        <is>
          <t>PZ/26</t>
        </is>
      </c>
      <c r="G139" t="inlineStr">
        <is>
          <t>TAK</t>
        </is>
      </c>
      <c r="H139" t="inlineStr">
        <is>
          <t>Deklaracja</t>
        </is>
      </c>
      <c r="I139" s="20" t="n">
        <v>80.12</v>
      </c>
      <c r="J139" t="inlineStr">
        <is>
          <t>MP</t>
        </is>
      </c>
      <c r="K139" s="21" t="n">
        <v>0</v>
      </c>
      <c r="L139" s="21" t="n">
        <v>0</v>
      </c>
      <c r="M139" s="21" t="n">
        <v>0</v>
      </c>
      <c r="N139" t="inlineStr">
        <is>
          <t>Zrębka Produkcyjna Leśna</t>
        </is>
      </c>
      <c r="O139" t="inlineStr">
        <is>
          <t>B</t>
        </is>
      </c>
      <c r="Q139" s="21" t="n">
        <v>0</v>
      </c>
      <c r="R139" t="inlineStr">
        <is>
          <t>własny (Wilczak)</t>
        </is>
      </c>
      <c r="S139" t="inlineStr">
        <is>
          <t>SK 7J884</t>
        </is>
      </c>
      <c r="T139" s="22" t="n">
        <v>122</v>
      </c>
      <c r="U139" s="21" t="n">
        <v>5</v>
      </c>
      <c r="V139" s="21" t="n">
        <v>610</v>
      </c>
      <c r="W139" t="inlineStr">
        <is>
          <t>Magazyn Zabrze</t>
        </is>
      </c>
      <c r="Z139" t="inlineStr">
        <is>
          <t>Roesner Mateusz</t>
        </is>
      </c>
      <c r="AA139" s="23" t="n">
        <v>46226.35211805555</v>
      </c>
      <c r="AB139" t="inlineStr">
        <is>
          <t>OP-MIGR-00138</t>
        </is>
      </c>
      <c r="AD139" t="inlineStr">
        <is>
          <t>AKTYWNY</t>
        </is>
      </c>
      <c r="AE139" s="20">
        <f>IF(I139="",0,IF(ISNUMBER(SEARCH("MP",UPPER(J139))),I139,IF(ISNUMBER(SEARCH("TON",UPPER(J139))),I139/Przelicznik_MP_tona,IF(ISNUMBER(SEARCH("M3",UPPER(J139))),I139*Przelicznik_M3_MP,IF(ISNUMBER(SEARCH("GJ",UPPER(J139))),I139/Przelicznik_GJ_tona/Przelicznik_MP_tona,I139)))))</f>
        <v/>
      </c>
      <c r="AF139" s="20">
        <f>IF(I139="",0,IF(ISNUMBER(SEARCH("TON",UPPER(J139))),I139,IF(ISNUMBER(SEARCH("GJ",UPPER(J139))),I139/Przelicznik_GJ_tona,AE139*Przelicznik_MP_tona)))</f>
        <v/>
      </c>
      <c r="AG139" s="20">
        <f>AF139*Przelicznik_GJ_tona</f>
        <v/>
      </c>
      <c r="AH139" s="20">
        <f>IF(UPPER(AD139)="SKORYGOWANY",0,IF(OR(UPPER(E139)="TRANSPORT",UPPER(E139)="MM"),0,IF(UPPER(G139)&lt;&gt;"TAK",0,IF(OR(UPPER(E139)="ZAKUP",UPPER(E139)="PRODUKCJA"),AE139,IF(OR(UPPER(E139)="SPRZEDAŻ",UPPER(E139)="ZUŻYCIE"),-AE139,0)))))</f>
        <v/>
      </c>
      <c r="AI139" s="20">
        <f>IF(UPPER(AD139)="SKORYGOWANY",0,IF(OR(UPPER(E139)="TRANSPORT",UPPER(E139)="MM"),0,IF(UPPER(G139)&lt;&gt;"TAK",0,IF(OR(UPPER(E139)="ZAKUP",UPPER(E139)="PRODUKCJA"),AF139,IF(OR(UPPER(E139)="SPRZEDAŻ",UPPER(E139)="ZUŻYCIE"),-AF139,0)))))</f>
        <v/>
      </c>
      <c r="AJ139" s="21">
        <f>IF(UPPER(AD139)="SKORYGOWANY",0,IF(UPPER(E139)="ZAKUP",IF(L139&lt;&gt;"",L139,I139*K139),0))</f>
        <v/>
      </c>
      <c r="AK139" s="21">
        <f>IF(UPPER(AD139)="SKORYGOWANY",0,IF(UPPER(E139)="SPRZEDAŻ",IF(L139&lt;&gt;"",L139,I139*M139),0))</f>
        <v/>
      </c>
      <c r="AL139" s="21">
        <f>AE139*Q139</f>
        <v/>
      </c>
      <c r="AM139">
        <f>IF(R139="","",IF(LOWER(R139)="brak","Brak",IF(OR(ISNUMBER(SEARCH("własn",LOWER(R139))),ISNUMBER(SEARCH("wlasn",LOWER(R139))),ISNUMBER(SEARCH("wojciechowski",LOWER(R139)))),"Własny","Zewnętrzny")))</f>
        <v/>
      </c>
      <c r="AN139" s="24">
        <f>IF(C139="","",YEAR(C139))</f>
        <v/>
      </c>
      <c r="AO139" s="24">
        <f>IF(C139="","",MONTH(C139))</f>
        <v/>
      </c>
      <c r="AP139">
        <f>IF(C139="","",UPPER(TEXT(C139,"mmmm")))</f>
        <v/>
      </c>
      <c r="AQ139">
        <f>IF(C139="","","Q"&amp;ROUNDUP(MONTH(C139)/3,0))</f>
        <v/>
      </c>
    </row>
    <row r="140">
      <c r="A140" s="19" t="n">
        <v>46225</v>
      </c>
      <c r="C140" s="19" t="n">
        <v>46225</v>
      </c>
      <c r="D140" t="inlineStr">
        <is>
          <t>NDL Chrzanów, Leśnictwo Szczakowa</t>
        </is>
      </c>
      <c r="E140" t="inlineStr">
        <is>
          <t>ZAKUP</t>
        </is>
      </c>
      <c r="F140" t="inlineStr">
        <is>
          <t>PZ/27  11/202624975/6103</t>
        </is>
      </c>
      <c r="G140" t="inlineStr">
        <is>
          <t>NIE</t>
        </is>
      </c>
      <c r="H140" t="inlineStr">
        <is>
          <t>Deklaracja</t>
        </is>
      </c>
      <c r="I140" s="20" t="n">
        <v>20.03</v>
      </c>
      <c r="J140" t="inlineStr">
        <is>
          <t>M3</t>
        </is>
      </c>
      <c r="K140" s="21" t="n">
        <v>141</v>
      </c>
      <c r="L140" s="21" t="n">
        <v>2824.23</v>
      </c>
      <c r="M140" s="21" t="n">
        <v>0</v>
      </c>
      <c r="N140" t="inlineStr">
        <is>
          <t>Drewno opałowe z lasu</t>
        </is>
      </c>
      <c r="Q140" s="21" t="n">
        <v>0</v>
      </c>
      <c r="T140" s="22" t="n">
        <v>0</v>
      </c>
      <c r="U140" s="21" t="n">
        <v>0</v>
      </c>
      <c r="V140" s="21" t="n">
        <v>0</v>
      </c>
      <c r="W140" t="inlineStr">
        <is>
          <t>Magazyn Zabrze</t>
        </is>
      </c>
      <c r="Z140" t="inlineStr">
        <is>
          <t>Roesner Mateusz</t>
        </is>
      </c>
      <c r="AA140" s="23" t="n">
        <v>46226.35328703704</v>
      </c>
      <c r="AB140" t="inlineStr">
        <is>
          <t>OP-MIGR-00139</t>
        </is>
      </c>
      <c r="AD140" t="inlineStr">
        <is>
          <t>AKTYWNY</t>
        </is>
      </c>
      <c r="AE140" s="20">
        <f>IF(I140="",0,IF(ISNUMBER(SEARCH("MP",UPPER(J140))),I140,IF(ISNUMBER(SEARCH("TON",UPPER(J140))),I140/Przelicznik_MP_tona,IF(ISNUMBER(SEARCH("M3",UPPER(J140))),I140*Przelicznik_M3_MP,IF(ISNUMBER(SEARCH("GJ",UPPER(J140))),I140/Przelicznik_GJ_tona/Przelicznik_MP_tona,I140)))))</f>
        <v/>
      </c>
      <c r="AF140" s="20">
        <f>IF(I140="",0,IF(ISNUMBER(SEARCH("TON",UPPER(J140))),I140,IF(ISNUMBER(SEARCH("GJ",UPPER(J140))),I140/Przelicznik_GJ_tona,AE140*Przelicznik_MP_tona)))</f>
        <v/>
      </c>
      <c r="AG140" s="20">
        <f>AF140*Przelicznik_GJ_tona</f>
        <v/>
      </c>
      <c r="AH140" s="20">
        <f>IF(UPPER(AD140)="SKORYGOWANY",0,IF(OR(UPPER(E140)="TRANSPORT",UPPER(E140)="MM"),0,IF(UPPER(G140)&lt;&gt;"TAK",0,IF(OR(UPPER(E140)="ZAKUP",UPPER(E140)="PRODUKCJA"),AE140,IF(OR(UPPER(E140)="SPRZEDAŻ",UPPER(E140)="ZUŻYCIE"),-AE140,0)))))</f>
        <v/>
      </c>
      <c r="AI140" s="20">
        <f>IF(UPPER(AD140)="SKORYGOWANY",0,IF(OR(UPPER(E140)="TRANSPORT",UPPER(E140)="MM"),0,IF(UPPER(G140)&lt;&gt;"TAK",0,IF(OR(UPPER(E140)="ZAKUP",UPPER(E140)="PRODUKCJA"),AF140,IF(OR(UPPER(E140)="SPRZEDAŻ",UPPER(E140)="ZUŻYCIE"),-AF140,0)))))</f>
        <v/>
      </c>
      <c r="AJ140" s="21">
        <f>IF(UPPER(AD140)="SKORYGOWANY",0,IF(UPPER(E140)="ZAKUP",IF(L140&lt;&gt;"",L140,I140*K140),0))</f>
        <v/>
      </c>
      <c r="AK140" s="21">
        <f>IF(UPPER(AD140)="SKORYGOWANY",0,IF(UPPER(E140)="SPRZEDAŻ",IF(L140&lt;&gt;"",L140,I140*M140),0))</f>
        <v/>
      </c>
      <c r="AL140" s="21">
        <f>AE140*Q140</f>
        <v/>
      </c>
      <c r="AM140">
        <f>IF(R140="","",IF(LOWER(R140)="brak","Brak",IF(OR(ISNUMBER(SEARCH("własn",LOWER(R140))),ISNUMBER(SEARCH("wlasn",LOWER(R140))),ISNUMBER(SEARCH("wojciechowski",LOWER(R140)))),"Własny","Zewnętrzny")))</f>
        <v/>
      </c>
      <c r="AN140" s="24">
        <f>IF(C140="","",YEAR(C140))</f>
        <v/>
      </c>
      <c r="AO140" s="24">
        <f>IF(C140="","",MONTH(C140))</f>
        <v/>
      </c>
      <c r="AP140">
        <f>IF(C140="","",UPPER(TEXT(C140,"mmmm")))</f>
        <v/>
      </c>
      <c r="AQ140">
        <f>IF(C140="","","Q"&amp;ROUNDUP(MONTH(C140)/3,0))</f>
        <v/>
      </c>
    </row>
    <row r="141">
      <c r="A141" s="19" t="n">
        <v>46225</v>
      </c>
      <c r="C141" s="19" t="n">
        <v>46225</v>
      </c>
      <c r="D141" t="inlineStr">
        <is>
          <t>NDL Chrzanów, Leśnictwo Szczakowa</t>
        </is>
      </c>
      <c r="E141" t="inlineStr">
        <is>
          <t>PRODUKCJA</t>
        </is>
      </c>
      <c r="F141" t="inlineStr">
        <is>
          <t>PZ/27</t>
        </is>
      </c>
      <c r="G141" t="inlineStr">
        <is>
          <t>NIE</t>
        </is>
      </c>
      <c r="H141" t="inlineStr">
        <is>
          <t>Deklaracja</t>
        </is>
      </c>
      <c r="I141" s="20" t="n">
        <v>80.12</v>
      </c>
      <c r="J141" t="inlineStr">
        <is>
          <t>MP</t>
        </is>
      </c>
      <c r="K141" s="21" t="n">
        <v>0</v>
      </c>
      <c r="L141" s="21" t="n">
        <v>0</v>
      </c>
      <c r="M141" s="21" t="n">
        <v>0</v>
      </c>
      <c r="N141" t="inlineStr">
        <is>
          <t>Zrębka Produkcyjna Leśna</t>
        </is>
      </c>
      <c r="O141" t="inlineStr">
        <is>
          <t>B</t>
        </is>
      </c>
      <c r="P141" t="inlineStr">
        <is>
          <t>własne</t>
        </is>
      </c>
      <c r="Q141" s="21" t="n">
        <v>10</v>
      </c>
      <c r="T141" s="22" t="n">
        <v>0</v>
      </c>
      <c r="U141" s="21" t="n">
        <v>0</v>
      </c>
      <c r="V141" s="21" t="n">
        <v>0</v>
      </c>
      <c r="W141" t="inlineStr">
        <is>
          <t>Magazyn Zabrze</t>
        </is>
      </c>
      <c r="Z141" t="inlineStr">
        <is>
          <t>Roesner Mateusz</t>
        </is>
      </c>
      <c r="AA141" s="23" t="n">
        <v>46226.35436342593</v>
      </c>
      <c r="AB141" t="inlineStr">
        <is>
          <t>OP-MIGR-00140</t>
        </is>
      </c>
      <c r="AD141" t="inlineStr">
        <is>
          <t>AKTYWNY</t>
        </is>
      </c>
      <c r="AE141" s="20">
        <f>IF(I141="",0,IF(ISNUMBER(SEARCH("MP",UPPER(J141))),I141,IF(ISNUMBER(SEARCH("TON",UPPER(J141))),I141/Przelicznik_MP_tona,IF(ISNUMBER(SEARCH("M3",UPPER(J141))),I141*Przelicznik_M3_MP,IF(ISNUMBER(SEARCH("GJ",UPPER(J141))),I141/Przelicznik_GJ_tona/Przelicznik_MP_tona,I141)))))</f>
        <v/>
      </c>
      <c r="AF141" s="20">
        <f>IF(I141="",0,IF(ISNUMBER(SEARCH("TON",UPPER(J141))),I141,IF(ISNUMBER(SEARCH("GJ",UPPER(J141))),I141/Przelicznik_GJ_tona,AE141*Przelicznik_MP_tona)))</f>
        <v/>
      </c>
      <c r="AG141" s="20">
        <f>AF141*Przelicznik_GJ_tona</f>
        <v/>
      </c>
      <c r="AH141" s="20">
        <f>IF(UPPER(AD141)="SKORYGOWANY",0,IF(OR(UPPER(E141)="TRANSPORT",UPPER(E141)="MM"),0,IF(UPPER(G141)&lt;&gt;"TAK",0,IF(OR(UPPER(E141)="ZAKUP",UPPER(E141)="PRODUKCJA"),AE141,IF(OR(UPPER(E141)="SPRZEDAŻ",UPPER(E141)="ZUŻYCIE"),-AE141,0)))))</f>
        <v/>
      </c>
      <c r="AI141" s="20">
        <f>IF(UPPER(AD141)="SKORYGOWANY",0,IF(OR(UPPER(E141)="TRANSPORT",UPPER(E141)="MM"),0,IF(UPPER(G141)&lt;&gt;"TAK",0,IF(OR(UPPER(E141)="ZAKUP",UPPER(E141)="PRODUKCJA"),AF141,IF(OR(UPPER(E141)="SPRZEDAŻ",UPPER(E141)="ZUŻYCIE"),-AF141,0)))))</f>
        <v/>
      </c>
      <c r="AJ141" s="21">
        <f>IF(UPPER(AD141)="SKORYGOWANY",0,IF(UPPER(E141)="ZAKUP",IF(L141&lt;&gt;"",L141,I141*K141),0))</f>
        <v/>
      </c>
      <c r="AK141" s="21">
        <f>IF(UPPER(AD141)="SKORYGOWANY",0,IF(UPPER(E141)="SPRZEDAŻ",IF(L141&lt;&gt;"",L141,I141*M141),0))</f>
        <v/>
      </c>
      <c r="AL141" s="21">
        <f>AE141*Q141</f>
        <v/>
      </c>
      <c r="AM141">
        <f>IF(R141="","",IF(LOWER(R141)="brak","Brak",IF(OR(ISNUMBER(SEARCH("własn",LOWER(R141))),ISNUMBER(SEARCH("wlasn",LOWER(R141))),ISNUMBER(SEARCH("wojciechowski",LOWER(R141)))),"Własny","Zewnętrzny")))</f>
        <v/>
      </c>
      <c r="AN141" s="24">
        <f>IF(C141="","",YEAR(C141))</f>
        <v/>
      </c>
      <c r="AO141" s="24">
        <f>IF(C141="","",MONTH(C141))</f>
        <v/>
      </c>
      <c r="AP141">
        <f>IF(C141="","",UPPER(TEXT(C141,"mmmm")))</f>
        <v/>
      </c>
      <c r="AQ141">
        <f>IF(C141="","","Q"&amp;ROUNDUP(MONTH(C141)/3,0))</f>
        <v/>
      </c>
    </row>
    <row r="142">
      <c r="A142" s="19" t="n">
        <v>46225</v>
      </c>
      <c r="C142" s="19" t="n">
        <v>46225</v>
      </c>
      <c r="D142" t="inlineStr">
        <is>
          <t>NDL Chrzanów, Leśnictwo Szczakowa</t>
        </is>
      </c>
      <c r="E142" t="inlineStr">
        <is>
          <t>ZUŻYCIE</t>
        </is>
      </c>
      <c r="F142" t="inlineStr">
        <is>
          <t>PZ/27</t>
        </is>
      </c>
      <c r="G142" t="inlineStr">
        <is>
          <t>NIE</t>
        </is>
      </c>
      <c r="H142" t="inlineStr">
        <is>
          <t>Deklaracja</t>
        </is>
      </c>
      <c r="I142" s="20" t="n">
        <v>80.12</v>
      </c>
      <c r="J142" t="inlineStr">
        <is>
          <t>MP</t>
        </is>
      </c>
      <c r="K142" s="21" t="n">
        <v>0</v>
      </c>
      <c r="L142" s="21" t="n">
        <v>0</v>
      </c>
      <c r="M142" s="21" t="n">
        <v>0</v>
      </c>
      <c r="N142" t="inlineStr">
        <is>
          <t>Zrębka Produkcyjna Leśna</t>
        </is>
      </c>
      <c r="O142" t="inlineStr">
        <is>
          <t>B</t>
        </is>
      </c>
      <c r="P142" t="inlineStr">
        <is>
          <t>własne</t>
        </is>
      </c>
      <c r="Q142" s="21" t="n">
        <v>10</v>
      </c>
      <c r="T142" s="22" t="n">
        <v>0</v>
      </c>
      <c r="U142" s="21" t="n">
        <v>0</v>
      </c>
      <c r="V142" s="21" t="n">
        <v>0</v>
      </c>
      <c r="W142" t="inlineStr">
        <is>
          <t>Magazyn Zabrze</t>
        </is>
      </c>
      <c r="Y142" t="inlineStr">
        <is>
          <t>Automatyczne zużycie surowca do produkcji</t>
        </is>
      </c>
      <c r="AA142" s="23" t="n">
        <v>46226.35436342593</v>
      </c>
      <c r="AB142" t="inlineStr">
        <is>
          <t>OP-MIGR-00141</t>
        </is>
      </c>
      <c r="AD142" t="inlineStr">
        <is>
          <t>AKTYWNY</t>
        </is>
      </c>
      <c r="AE142" s="20">
        <f>IF(I142="",0,IF(ISNUMBER(SEARCH("MP",UPPER(J142))),I142,IF(ISNUMBER(SEARCH("TON",UPPER(J142))),I142/Przelicznik_MP_tona,IF(ISNUMBER(SEARCH("M3",UPPER(J142))),I142*Przelicznik_M3_MP,IF(ISNUMBER(SEARCH("GJ",UPPER(J142))),I142/Przelicznik_GJ_tona/Przelicznik_MP_tona,I142)))))</f>
        <v/>
      </c>
      <c r="AF142" s="20">
        <f>IF(I142="",0,IF(ISNUMBER(SEARCH("TON",UPPER(J142))),I142,IF(ISNUMBER(SEARCH("GJ",UPPER(J142))),I142/Przelicznik_GJ_tona,AE142*Przelicznik_MP_tona)))</f>
        <v/>
      </c>
      <c r="AG142" s="20">
        <f>AF142*Przelicznik_GJ_tona</f>
        <v/>
      </c>
      <c r="AH142" s="20">
        <f>IF(UPPER(AD142)="SKORYGOWANY",0,IF(OR(UPPER(E142)="TRANSPORT",UPPER(E142)="MM"),0,IF(UPPER(G142)&lt;&gt;"TAK",0,IF(OR(UPPER(E142)="ZAKUP",UPPER(E142)="PRODUKCJA"),AE142,IF(OR(UPPER(E142)="SPRZEDAŻ",UPPER(E142)="ZUŻYCIE"),-AE142,0)))))</f>
        <v/>
      </c>
      <c r="AI142" s="20">
        <f>IF(UPPER(AD142)="SKORYGOWANY",0,IF(OR(UPPER(E142)="TRANSPORT",UPPER(E142)="MM"),0,IF(UPPER(G142)&lt;&gt;"TAK",0,IF(OR(UPPER(E142)="ZAKUP",UPPER(E142)="PRODUKCJA"),AF142,IF(OR(UPPER(E142)="SPRZEDAŻ",UPPER(E142)="ZUŻYCIE"),-AF142,0)))))</f>
        <v/>
      </c>
      <c r="AJ142" s="21">
        <f>IF(UPPER(AD142)="SKORYGOWANY",0,IF(UPPER(E142)="ZAKUP",IF(L142&lt;&gt;"",L142,I142*K142),0))</f>
        <v/>
      </c>
      <c r="AK142" s="21">
        <f>IF(UPPER(AD142)="SKORYGOWANY",0,IF(UPPER(E142)="SPRZEDAŻ",IF(L142&lt;&gt;"",L142,I142*M142),0))</f>
        <v/>
      </c>
      <c r="AL142" s="21">
        <f>AE142*Q142</f>
        <v/>
      </c>
      <c r="AM142">
        <f>IF(R142="","",IF(LOWER(R142)="brak","Brak",IF(OR(ISNUMBER(SEARCH("własn",LOWER(R142))),ISNUMBER(SEARCH("wlasn",LOWER(R142))),ISNUMBER(SEARCH("wojciechowski",LOWER(R142)))),"Własny","Zewnętrzny")))</f>
        <v/>
      </c>
      <c r="AN142" s="24">
        <f>IF(C142="","",YEAR(C142))</f>
        <v/>
      </c>
      <c r="AO142" s="24">
        <f>IF(C142="","",MONTH(C142))</f>
        <v/>
      </c>
      <c r="AP142">
        <f>IF(C142="","",UPPER(TEXT(C142,"mmmm")))</f>
        <v/>
      </c>
      <c r="AQ142">
        <f>IF(C142="","","Q"&amp;ROUNDUP(MONTH(C142)/3,0))</f>
        <v/>
      </c>
    </row>
    <row r="143">
      <c r="A143" s="19" t="n">
        <v>46225</v>
      </c>
      <c r="B143" t="inlineStr">
        <is>
          <t>Jaworzno</t>
        </is>
      </c>
      <c r="C143" s="19" t="n">
        <v>46225</v>
      </c>
      <c r="D143" t="inlineStr">
        <is>
          <t>Magazyn Zabrze</t>
        </is>
      </c>
      <c r="E143" t="inlineStr">
        <is>
          <t>ZAKUP</t>
        </is>
      </c>
      <c r="F143" t="inlineStr">
        <is>
          <t>PZ/27</t>
        </is>
      </c>
      <c r="G143" t="inlineStr">
        <is>
          <t>TAK</t>
        </is>
      </c>
      <c r="H143" t="inlineStr">
        <is>
          <t>Deklaracja</t>
        </is>
      </c>
      <c r="I143" s="20" t="n">
        <v>80.12</v>
      </c>
      <c r="J143" t="inlineStr">
        <is>
          <t>MP</t>
        </is>
      </c>
      <c r="K143" s="21" t="n">
        <v>0</v>
      </c>
      <c r="L143" s="21" t="n">
        <v>0</v>
      </c>
      <c r="M143" s="21" t="n">
        <v>0</v>
      </c>
      <c r="N143" t="inlineStr">
        <is>
          <t>Zrębka Produkcyjna Leśna</t>
        </is>
      </c>
      <c r="O143" t="inlineStr">
        <is>
          <t>B</t>
        </is>
      </c>
      <c r="Q143" s="21" t="n">
        <v>0</v>
      </c>
      <c r="R143" t="inlineStr">
        <is>
          <t>własny (Kretek)</t>
        </is>
      </c>
      <c r="S143" t="inlineStr">
        <is>
          <t>SK 7J885</t>
        </is>
      </c>
      <c r="T143" s="22" t="n">
        <v>610</v>
      </c>
      <c r="U143" s="21" t="n">
        <v>0.2</v>
      </c>
      <c r="V143" s="21" t="n">
        <v>122</v>
      </c>
      <c r="W143" t="inlineStr">
        <is>
          <t>Magazyn Zabrze</t>
        </is>
      </c>
      <c r="Z143" t="inlineStr">
        <is>
          <t>Roesner Mateusz</t>
        </is>
      </c>
      <c r="AA143" s="23" t="n">
        <v>46226.35527777778</v>
      </c>
      <c r="AB143" t="inlineStr">
        <is>
          <t>OP-MIGR-00142</t>
        </is>
      </c>
      <c r="AD143" t="inlineStr">
        <is>
          <t>AKTYWNY</t>
        </is>
      </c>
      <c r="AE143" s="20">
        <f>IF(I143="",0,IF(ISNUMBER(SEARCH("MP",UPPER(J143))),I143,IF(ISNUMBER(SEARCH("TON",UPPER(J143))),I143/Przelicznik_MP_tona,IF(ISNUMBER(SEARCH("M3",UPPER(J143))),I143*Przelicznik_M3_MP,IF(ISNUMBER(SEARCH("GJ",UPPER(J143))),I143/Przelicznik_GJ_tona/Przelicznik_MP_tona,I143)))))</f>
        <v/>
      </c>
      <c r="AF143" s="20">
        <f>IF(I143="",0,IF(ISNUMBER(SEARCH("TON",UPPER(J143))),I143,IF(ISNUMBER(SEARCH("GJ",UPPER(J143))),I143/Przelicznik_GJ_tona,AE143*Przelicznik_MP_tona)))</f>
        <v/>
      </c>
      <c r="AG143" s="20">
        <f>AF143*Przelicznik_GJ_tona</f>
        <v/>
      </c>
      <c r="AH143" s="20">
        <f>IF(UPPER(AD143)="SKORYGOWANY",0,IF(OR(UPPER(E143)="TRANSPORT",UPPER(E143)="MM"),0,IF(UPPER(G143)&lt;&gt;"TAK",0,IF(OR(UPPER(E143)="ZAKUP",UPPER(E143)="PRODUKCJA"),AE143,IF(OR(UPPER(E143)="SPRZEDAŻ",UPPER(E143)="ZUŻYCIE"),-AE143,0)))))</f>
        <v/>
      </c>
      <c r="AI143" s="20">
        <f>IF(UPPER(AD143)="SKORYGOWANY",0,IF(OR(UPPER(E143)="TRANSPORT",UPPER(E143)="MM"),0,IF(UPPER(G143)&lt;&gt;"TAK",0,IF(OR(UPPER(E143)="ZAKUP",UPPER(E143)="PRODUKCJA"),AF143,IF(OR(UPPER(E143)="SPRZEDAŻ",UPPER(E143)="ZUŻYCIE"),-AF143,0)))))</f>
        <v/>
      </c>
      <c r="AJ143" s="21">
        <f>IF(UPPER(AD143)="SKORYGOWANY",0,IF(UPPER(E143)="ZAKUP",IF(L143&lt;&gt;"",L143,I143*K143),0))</f>
        <v/>
      </c>
      <c r="AK143" s="21">
        <f>IF(UPPER(AD143)="SKORYGOWANY",0,IF(UPPER(E143)="SPRZEDAŻ",IF(L143&lt;&gt;"",L143,I143*M143),0))</f>
        <v/>
      </c>
      <c r="AL143" s="21">
        <f>AE143*Q143</f>
        <v/>
      </c>
      <c r="AM143">
        <f>IF(R143="","",IF(LOWER(R143)="brak","Brak",IF(OR(ISNUMBER(SEARCH("własn",LOWER(R143))),ISNUMBER(SEARCH("wlasn",LOWER(R143))),ISNUMBER(SEARCH("wojciechowski",LOWER(R143)))),"Własny","Zewnętrzny")))</f>
        <v/>
      </c>
      <c r="AN143" s="24">
        <f>IF(C143="","",YEAR(C143))</f>
        <v/>
      </c>
      <c r="AO143" s="24">
        <f>IF(C143="","",MONTH(C143))</f>
        <v/>
      </c>
      <c r="AP143">
        <f>IF(C143="","",UPPER(TEXT(C143,"mmmm")))</f>
        <v/>
      </c>
      <c r="AQ143">
        <f>IF(C143="","","Q"&amp;ROUNDUP(MONTH(C143)/3,0))</f>
        <v/>
      </c>
    </row>
    <row r="144">
      <c r="A144" s="19" t="n">
        <v>46225</v>
      </c>
      <c r="C144" s="19" t="n">
        <v>46225</v>
      </c>
      <c r="D144" t="inlineStr">
        <is>
          <t>NDL Chrzanów, Leśnictwo Szczakowa</t>
        </is>
      </c>
      <c r="E144" t="inlineStr">
        <is>
          <t>ZAKUP</t>
        </is>
      </c>
      <c r="F144" t="inlineStr">
        <is>
          <t>PZ/28  11/202624975/6099</t>
        </is>
      </c>
      <c r="G144" t="inlineStr">
        <is>
          <t>NIE</t>
        </is>
      </c>
      <c r="H144" t="inlineStr">
        <is>
          <t>Deklaracja</t>
        </is>
      </c>
      <c r="I144" s="20" t="n">
        <v>20.03</v>
      </c>
      <c r="J144" t="inlineStr">
        <is>
          <t>M3</t>
        </is>
      </c>
      <c r="K144" s="21" t="n">
        <v>141</v>
      </c>
      <c r="L144" s="21" t="n">
        <v>2824.23</v>
      </c>
      <c r="M144" s="21" t="n">
        <v>0</v>
      </c>
      <c r="N144" t="inlineStr">
        <is>
          <t>Drewno opałowe z lasu</t>
        </is>
      </c>
      <c r="Q144" s="21" t="n">
        <v>0</v>
      </c>
      <c r="T144" s="22" t="n">
        <v>0</v>
      </c>
      <c r="U144" s="21" t="n">
        <v>0</v>
      </c>
      <c r="V144" s="21" t="n">
        <v>0</v>
      </c>
      <c r="W144" t="inlineStr">
        <is>
          <t>Magazyn Zabrze</t>
        </is>
      </c>
      <c r="Z144" t="inlineStr">
        <is>
          <t>Roesner Mateusz</t>
        </is>
      </c>
      <c r="AA144" s="23" t="n">
        <v>46226.36047453704</v>
      </c>
      <c r="AB144" t="inlineStr">
        <is>
          <t>OP-MIGR-00143</t>
        </is>
      </c>
      <c r="AD144" t="inlineStr">
        <is>
          <t>AKTYWNY</t>
        </is>
      </c>
      <c r="AE144" s="20">
        <f>IF(I144="",0,IF(ISNUMBER(SEARCH("MP",UPPER(J144))),I144,IF(ISNUMBER(SEARCH("TON",UPPER(J144))),I144/Przelicznik_MP_tona,IF(ISNUMBER(SEARCH("M3",UPPER(J144))),I144*Przelicznik_M3_MP,IF(ISNUMBER(SEARCH("GJ",UPPER(J144))),I144/Przelicznik_GJ_tona/Przelicznik_MP_tona,I144)))))</f>
        <v/>
      </c>
      <c r="AF144" s="20">
        <f>IF(I144="",0,IF(ISNUMBER(SEARCH("TON",UPPER(J144))),I144,IF(ISNUMBER(SEARCH("GJ",UPPER(J144))),I144/Przelicznik_GJ_tona,AE144*Przelicznik_MP_tona)))</f>
        <v/>
      </c>
      <c r="AG144" s="20">
        <f>AF144*Przelicznik_GJ_tona</f>
        <v/>
      </c>
      <c r="AH144" s="20">
        <f>IF(UPPER(AD144)="SKORYGOWANY",0,IF(OR(UPPER(E144)="TRANSPORT",UPPER(E144)="MM"),0,IF(UPPER(G144)&lt;&gt;"TAK",0,IF(OR(UPPER(E144)="ZAKUP",UPPER(E144)="PRODUKCJA"),AE144,IF(OR(UPPER(E144)="SPRZEDAŻ",UPPER(E144)="ZUŻYCIE"),-AE144,0)))))</f>
        <v/>
      </c>
      <c r="AI144" s="20">
        <f>IF(UPPER(AD144)="SKORYGOWANY",0,IF(OR(UPPER(E144)="TRANSPORT",UPPER(E144)="MM"),0,IF(UPPER(G144)&lt;&gt;"TAK",0,IF(OR(UPPER(E144)="ZAKUP",UPPER(E144)="PRODUKCJA"),AF144,IF(OR(UPPER(E144)="SPRZEDAŻ",UPPER(E144)="ZUŻYCIE"),-AF144,0)))))</f>
        <v/>
      </c>
      <c r="AJ144" s="21">
        <f>IF(UPPER(AD144)="SKORYGOWANY",0,IF(UPPER(E144)="ZAKUP",IF(L144&lt;&gt;"",L144,I144*K144),0))</f>
        <v/>
      </c>
      <c r="AK144" s="21">
        <f>IF(UPPER(AD144)="SKORYGOWANY",0,IF(UPPER(E144)="SPRZEDAŻ",IF(L144&lt;&gt;"",L144,I144*M144),0))</f>
        <v/>
      </c>
      <c r="AL144" s="21">
        <f>AE144*Q144</f>
        <v/>
      </c>
      <c r="AM144">
        <f>IF(R144="","",IF(LOWER(R144)="brak","Brak",IF(OR(ISNUMBER(SEARCH("własn",LOWER(R144))),ISNUMBER(SEARCH("wlasn",LOWER(R144))),ISNUMBER(SEARCH("wojciechowski",LOWER(R144)))),"Własny","Zewnętrzny")))</f>
        <v/>
      </c>
      <c r="AN144" s="24">
        <f>IF(C144="","",YEAR(C144))</f>
        <v/>
      </c>
      <c r="AO144" s="24">
        <f>IF(C144="","",MONTH(C144))</f>
        <v/>
      </c>
      <c r="AP144">
        <f>IF(C144="","",UPPER(TEXT(C144,"mmmm")))</f>
        <v/>
      </c>
      <c r="AQ144">
        <f>IF(C144="","","Q"&amp;ROUNDUP(MONTH(C144)/3,0))</f>
        <v/>
      </c>
    </row>
    <row r="145">
      <c r="A145" s="19" t="n">
        <v>46225</v>
      </c>
      <c r="C145" s="19" t="n">
        <v>46225</v>
      </c>
      <c r="D145" t="inlineStr">
        <is>
          <t>NDL Chrzanów, Leśnictwo Szczakowa</t>
        </is>
      </c>
      <c r="E145" t="inlineStr">
        <is>
          <t>PRODUKCJA</t>
        </is>
      </c>
      <c r="F145" t="inlineStr">
        <is>
          <t>PZ/28</t>
        </is>
      </c>
      <c r="G145" t="inlineStr">
        <is>
          <t>NIE</t>
        </is>
      </c>
      <c r="H145" t="inlineStr">
        <is>
          <t>Deklaracja</t>
        </is>
      </c>
      <c r="I145" s="20" t="n">
        <v>80.12</v>
      </c>
      <c r="J145" t="inlineStr">
        <is>
          <t>MP</t>
        </is>
      </c>
      <c r="K145" s="21" t="n">
        <v>0</v>
      </c>
      <c r="L145" s="21" t="n">
        <v>0</v>
      </c>
      <c r="M145" s="21" t="n">
        <v>0</v>
      </c>
      <c r="N145" t="inlineStr">
        <is>
          <t>Zrębka Produkcyjna Leśna</t>
        </is>
      </c>
      <c r="O145" t="inlineStr">
        <is>
          <t>B</t>
        </is>
      </c>
      <c r="P145" t="inlineStr">
        <is>
          <t>własne</t>
        </is>
      </c>
      <c r="Q145" s="21" t="n">
        <v>10</v>
      </c>
      <c r="T145" s="22" t="n">
        <v>0</v>
      </c>
      <c r="U145" s="21" t="n">
        <v>0</v>
      </c>
      <c r="V145" s="21" t="n">
        <v>0</v>
      </c>
      <c r="W145" t="inlineStr">
        <is>
          <t>Magazyn Zabrze</t>
        </is>
      </c>
      <c r="Z145" t="inlineStr">
        <is>
          <t>Roesner Mateusz</t>
        </is>
      </c>
      <c r="AA145" s="23" t="n">
        <v>46226.36119212963</v>
      </c>
      <c r="AB145" t="inlineStr">
        <is>
          <t>OP-MIGR-00144</t>
        </is>
      </c>
      <c r="AD145" t="inlineStr">
        <is>
          <t>AKTYWNY</t>
        </is>
      </c>
      <c r="AE145" s="20">
        <f>IF(I145="",0,IF(ISNUMBER(SEARCH("MP",UPPER(J145))),I145,IF(ISNUMBER(SEARCH("TON",UPPER(J145))),I145/Przelicznik_MP_tona,IF(ISNUMBER(SEARCH("M3",UPPER(J145))),I145*Przelicznik_M3_MP,IF(ISNUMBER(SEARCH("GJ",UPPER(J145))),I145/Przelicznik_GJ_tona/Przelicznik_MP_tona,I145)))))</f>
        <v/>
      </c>
      <c r="AF145" s="20">
        <f>IF(I145="",0,IF(ISNUMBER(SEARCH("TON",UPPER(J145))),I145,IF(ISNUMBER(SEARCH("GJ",UPPER(J145))),I145/Przelicznik_GJ_tona,AE145*Przelicznik_MP_tona)))</f>
        <v/>
      </c>
      <c r="AG145" s="20">
        <f>AF145*Przelicznik_GJ_tona</f>
        <v/>
      </c>
      <c r="AH145" s="20">
        <f>IF(UPPER(AD145)="SKORYGOWANY",0,IF(OR(UPPER(E145)="TRANSPORT",UPPER(E145)="MM"),0,IF(UPPER(G145)&lt;&gt;"TAK",0,IF(OR(UPPER(E145)="ZAKUP",UPPER(E145)="PRODUKCJA"),AE145,IF(OR(UPPER(E145)="SPRZEDAŻ",UPPER(E145)="ZUŻYCIE"),-AE145,0)))))</f>
        <v/>
      </c>
      <c r="AI145" s="20">
        <f>IF(UPPER(AD145)="SKORYGOWANY",0,IF(OR(UPPER(E145)="TRANSPORT",UPPER(E145)="MM"),0,IF(UPPER(G145)&lt;&gt;"TAK",0,IF(OR(UPPER(E145)="ZAKUP",UPPER(E145)="PRODUKCJA"),AF145,IF(OR(UPPER(E145)="SPRZEDAŻ",UPPER(E145)="ZUŻYCIE"),-AF145,0)))))</f>
        <v/>
      </c>
      <c r="AJ145" s="21">
        <f>IF(UPPER(AD145)="SKORYGOWANY",0,IF(UPPER(E145)="ZAKUP",IF(L145&lt;&gt;"",L145,I145*K145),0))</f>
        <v/>
      </c>
      <c r="AK145" s="21">
        <f>IF(UPPER(AD145)="SKORYGOWANY",0,IF(UPPER(E145)="SPRZEDAŻ",IF(L145&lt;&gt;"",L145,I145*M145),0))</f>
        <v/>
      </c>
      <c r="AL145" s="21">
        <f>AE145*Q145</f>
        <v/>
      </c>
      <c r="AM145">
        <f>IF(R145="","",IF(LOWER(R145)="brak","Brak",IF(OR(ISNUMBER(SEARCH("własn",LOWER(R145))),ISNUMBER(SEARCH("wlasn",LOWER(R145))),ISNUMBER(SEARCH("wojciechowski",LOWER(R145)))),"Własny","Zewnętrzny")))</f>
        <v/>
      </c>
      <c r="AN145" s="24">
        <f>IF(C145="","",YEAR(C145))</f>
        <v/>
      </c>
      <c r="AO145" s="24">
        <f>IF(C145="","",MONTH(C145))</f>
        <v/>
      </c>
      <c r="AP145">
        <f>IF(C145="","",UPPER(TEXT(C145,"mmmm")))</f>
        <v/>
      </c>
      <c r="AQ145">
        <f>IF(C145="","","Q"&amp;ROUNDUP(MONTH(C145)/3,0))</f>
        <v/>
      </c>
    </row>
    <row r="146">
      <c r="A146" s="19" t="n">
        <v>46225</v>
      </c>
      <c r="C146" s="19" t="n">
        <v>46225</v>
      </c>
      <c r="D146" t="inlineStr">
        <is>
          <t>NDL Chrzanów, Leśnictwo Szczakowa</t>
        </is>
      </c>
      <c r="E146" t="inlineStr">
        <is>
          <t>ZUŻYCIE</t>
        </is>
      </c>
      <c r="F146" t="inlineStr">
        <is>
          <t>PZ/28</t>
        </is>
      </c>
      <c r="G146" t="inlineStr">
        <is>
          <t>NIE</t>
        </is>
      </c>
      <c r="H146" t="inlineStr">
        <is>
          <t>Deklaracja</t>
        </is>
      </c>
      <c r="I146" s="20" t="n">
        <v>80.12</v>
      </c>
      <c r="J146" t="inlineStr">
        <is>
          <t>MP</t>
        </is>
      </c>
      <c r="K146" s="21" t="n">
        <v>0</v>
      </c>
      <c r="L146" s="21" t="n">
        <v>0</v>
      </c>
      <c r="M146" s="21" t="n">
        <v>0</v>
      </c>
      <c r="N146" t="inlineStr">
        <is>
          <t>Zrębka Produkcyjna Leśna</t>
        </is>
      </c>
      <c r="O146" t="inlineStr">
        <is>
          <t>B</t>
        </is>
      </c>
      <c r="P146" t="inlineStr">
        <is>
          <t>własne</t>
        </is>
      </c>
      <c r="Q146" s="21" t="n">
        <v>10</v>
      </c>
      <c r="T146" s="22" t="n">
        <v>0</v>
      </c>
      <c r="U146" s="21" t="n">
        <v>0</v>
      </c>
      <c r="V146" s="21" t="n">
        <v>0</v>
      </c>
      <c r="W146" t="inlineStr">
        <is>
          <t>Magazyn Zabrze</t>
        </is>
      </c>
      <c r="Y146" t="inlineStr">
        <is>
          <t>Automatyczne zużycie surowca do produkcji</t>
        </is>
      </c>
      <c r="AA146" s="23" t="n">
        <v>46226.36119212963</v>
      </c>
      <c r="AB146" t="inlineStr">
        <is>
          <t>OP-MIGR-00145</t>
        </is>
      </c>
      <c r="AD146" t="inlineStr">
        <is>
          <t>AKTYWNY</t>
        </is>
      </c>
      <c r="AE146" s="20">
        <f>IF(I146="",0,IF(ISNUMBER(SEARCH("MP",UPPER(J146))),I146,IF(ISNUMBER(SEARCH("TON",UPPER(J146))),I146/Przelicznik_MP_tona,IF(ISNUMBER(SEARCH("M3",UPPER(J146))),I146*Przelicznik_M3_MP,IF(ISNUMBER(SEARCH("GJ",UPPER(J146))),I146/Przelicznik_GJ_tona/Przelicznik_MP_tona,I146)))))</f>
        <v/>
      </c>
      <c r="AF146" s="20">
        <f>IF(I146="",0,IF(ISNUMBER(SEARCH("TON",UPPER(J146))),I146,IF(ISNUMBER(SEARCH("GJ",UPPER(J146))),I146/Przelicznik_GJ_tona,AE146*Przelicznik_MP_tona)))</f>
        <v/>
      </c>
      <c r="AG146" s="20">
        <f>AF146*Przelicznik_GJ_tona</f>
        <v/>
      </c>
      <c r="AH146" s="20">
        <f>IF(UPPER(AD146)="SKORYGOWANY",0,IF(OR(UPPER(E146)="TRANSPORT",UPPER(E146)="MM"),0,IF(UPPER(G146)&lt;&gt;"TAK",0,IF(OR(UPPER(E146)="ZAKUP",UPPER(E146)="PRODUKCJA"),AE146,IF(OR(UPPER(E146)="SPRZEDAŻ",UPPER(E146)="ZUŻYCIE"),-AE146,0)))))</f>
        <v/>
      </c>
      <c r="AI146" s="20">
        <f>IF(UPPER(AD146)="SKORYGOWANY",0,IF(OR(UPPER(E146)="TRANSPORT",UPPER(E146)="MM"),0,IF(UPPER(G146)&lt;&gt;"TAK",0,IF(OR(UPPER(E146)="ZAKUP",UPPER(E146)="PRODUKCJA"),AF146,IF(OR(UPPER(E146)="SPRZEDAŻ",UPPER(E146)="ZUŻYCIE"),-AF146,0)))))</f>
        <v/>
      </c>
      <c r="AJ146" s="21">
        <f>IF(UPPER(AD146)="SKORYGOWANY",0,IF(UPPER(E146)="ZAKUP",IF(L146&lt;&gt;"",L146,I146*K146),0))</f>
        <v/>
      </c>
      <c r="AK146" s="21">
        <f>IF(UPPER(AD146)="SKORYGOWANY",0,IF(UPPER(E146)="SPRZEDAŻ",IF(L146&lt;&gt;"",L146,I146*M146),0))</f>
        <v/>
      </c>
      <c r="AL146" s="21">
        <f>AE146*Q146</f>
        <v/>
      </c>
      <c r="AM146">
        <f>IF(R146="","",IF(LOWER(R146)="brak","Brak",IF(OR(ISNUMBER(SEARCH("własn",LOWER(R146))),ISNUMBER(SEARCH("wlasn",LOWER(R146))),ISNUMBER(SEARCH("wojciechowski",LOWER(R146)))),"Własny","Zewnętrzny")))</f>
        <v/>
      </c>
      <c r="AN146" s="24">
        <f>IF(C146="","",YEAR(C146))</f>
        <v/>
      </c>
      <c r="AO146" s="24">
        <f>IF(C146="","",MONTH(C146))</f>
        <v/>
      </c>
      <c r="AP146">
        <f>IF(C146="","",UPPER(TEXT(C146,"mmmm")))</f>
        <v/>
      </c>
      <c r="AQ146">
        <f>IF(C146="","","Q"&amp;ROUNDUP(MONTH(C146)/3,0))</f>
        <v/>
      </c>
    </row>
    <row r="147">
      <c r="A147" s="19" t="n">
        <v>46225</v>
      </c>
      <c r="B147" t="inlineStr">
        <is>
          <t>Jaworzno</t>
        </is>
      </c>
      <c r="C147" s="19" t="n">
        <v>46225</v>
      </c>
      <c r="D147" t="inlineStr">
        <is>
          <t>Magazyn Zabrze</t>
        </is>
      </c>
      <c r="E147" t="inlineStr">
        <is>
          <t>ZAKUP</t>
        </is>
      </c>
      <c r="F147" t="inlineStr">
        <is>
          <t>PZ/28</t>
        </is>
      </c>
      <c r="G147" t="inlineStr">
        <is>
          <t>TAK</t>
        </is>
      </c>
      <c r="H147" t="inlineStr">
        <is>
          <t>Deklaracja</t>
        </is>
      </c>
      <c r="I147" s="20" t="n">
        <v>80.12</v>
      </c>
      <c r="J147" t="inlineStr">
        <is>
          <t>MP</t>
        </is>
      </c>
      <c r="K147" s="21" t="n">
        <v>0</v>
      </c>
      <c r="L147" s="21" t="n">
        <v>0</v>
      </c>
      <c r="M147" s="21" t="n">
        <v>0</v>
      </c>
      <c r="N147" t="inlineStr">
        <is>
          <t>Zrębka Produkcyjna Leśna</t>
        </is>
      </c>
      <c r="O147" t="inlineStr">
        <is>
          <t>B</t>
        </is>
      </c>
      <c r="Q147" s="21" t="n">
        <v>0</v>
      </c>
      <c r="R147" t="inlineStr">
        <is>
          <t>Nowatrans</t>
        </is>
      </c>
      <c r="S147" t="inlineStr">
        <is>
          <t>ST 9995P</t>
        </is>
      </c>
      <c r="T147" s="22" t="n">
        <v>122</v>
      </c>
      <c r="U147" s="21" t="n">
        <v>6.56</v>
      </c>
      <c r="V147" s="21" t="n">
        <v>800</v>
      </c>
      <c r="W147" t="inlineStr">
        <is>
          <t>Magazyn Zabrze</t>
        </is>
      </c>
      <c r="Z147" t="inlineStr">
        <is>
          <t>Roesner Mateusz</t>
        </is>
      </c>
      <c r="AA147" s="23" t="n">
        <v>46226.36262731482</v>
      </c>
      <c r="AB147" t="inlineStr">
        <is>
          <t>OP-MIGR-00146</t>
        </is>
      </c>
      <c r="AD147" t="inlineStr">
        <is>
          <t>AKTYWNY</t>
        </is>
      </c>
      <c r="AE147" s="20">
        <f>IF(I147="",0,IF(ISNUMBER(SEARCH("MP",UPPER(J147))),I147,IF(ISNUMBER(SEARCH("TON",UPPER(J147))),I147/Przelicznik_MP_tona,IF(ISNUMBER(SEARCH("M3",UPPER(J147))),I147*Przelicznik_M3_MP,IF(ISNUMBER(SEARCH("GJ",UPPER(J147))),I147/Przelicznik_GJ_tona/Przelicznik_MP_tona,I147)))))</f>
        <v/>
      </c>
      <c r="AF147" s="20">
        <f>IF(I147="",0,IF(ISNUMBER(SEARCH("TON",UPPER(J147))),I147,IF(ISNUMBER(SEARCH("GJ",UPPER(J147))),I147/Przelicznik_GJ_tona,AE147*Przelicznik_MP_tona)))</f>
        <v/>
      </c>
      <c r="AG147" s="20">
        <f>AF147*Przelicznik_GJ_tona</f>
        <v/>
      </c>
      <c r="AH147" s="20">
        <f>IF(UPPER(AD147)="SKORYGOWANY",0,IF(OR(UPPER(E147)="TRANSPORT",UPPER(E147)="MM"),0,IF(UPPER(G147)&lt;&gt;"TAK",0,IF(OR(UPPER(E147)="ZAKUP",UPPER(E147)="PRODUKCJA"),AE147,IF(OR(UPPER(E147)="SPRZEDAŻ",UPPER(E147)="ZUŻYCIE"),-AE147,0)))))</f>
        <v/>
      </c>
      <c r="AI147" s="20">
        <f>IF(UPPER(AD147)="SKORYGOWANY",0,IF(OR(UPPER(E147)="TRANSPORT",UPPER(E147)="MM"),0,IF(UPPER(G147)&lt;&gt;"TAK",0,IF(OR(UPPER(E147)="ZAKUP",UPPER(E147)="PRODUKCJA"),AF147,IF(OR(UPPER(E147)="SPRZEDAŻ",UPPER(E147)="ZUŻYCIE"),-AF147,0)))))</f>
        <v/>
      </c>
      <c r="AJ147" s="21">
        <f>IF(UPPER(AD147)="SKORYGOWANY",0,IF(UPPER(E147)="ZAKUP",IF(L147&lt;&gt;"",L147,I147*K147),0))</f>
        <v/>
      </c>
      <c r="AK147" s="21">
        <f>IF(UPPER(AD147)="SKORYGOWANY",0,IF(UPPER(E147)="SPRZEDAŻ",IF(L147&lt;&gt;"",L147,I147*M147),0))</f>
        <v/>
      </c>
      <c r="AL147" s="21">
        <f>AE147*Q147</f>
        <v/>
      </c>
      <c r="AM147">
        <f>IF(R147="","",IF(LOWER(R147)="brak","Brak",IF(OR(ISNUMBER(SEARCH("własn",LOWER(R147))),ISNUMBER(SEARCH("wlasn",LOWER(R147))),ISNUMBER(SEARCH("wojciechowski",LOWER(R147)))),"Własny","Zewnętrzny")))</f>
        <v/>
      </c>
      <c r="AN147" s="24">
        <f>IF(C147="","",YEAR(C147))</f>
        <v/>
      </c>
      <c r="AO147" s="24">
        <f>IF(C147="","",MONTH(C147))</f>
        <v/>
      </c>
      <c r="AP147">
        <f>IF(C147="","",UPPER(TEXT(C147,"mmmm")))</f>
        <v/>
      </c>
      <c r="AQ147">
        <f>IF(C147="","","Q"&amp;ROUNDUP(MONTH(C147)/3,0))</f>
        <v/>
      </c>
    </row>
    <row r="148">
      <c r="A148" s="19" t="n">
        <v>46225</v>
      </c>
      <c r="C148" s="19" t="n">
        <v>46225</v>
      </c>
      <c r="D148" t="inlineStr">
        <is>
          <t>NDL Chrzanów, Leśnictwo Szczakowa</t>
        </is>
      </c>
      <c r="E148" t="inlineStr">
        <is>
          <t>ZAKUP</t>
        </is>
      </c>
      <c r="F148" t="inlineStr">
        <is>
          <t>PZ/29  11/202624975/6102</t>
        </is>
      </c>
      <c r="G148" t="inlineStr">
        <is>
          <t>NIE</t>
        </is>
      </c>
      <c r="H148" t="inlineStr">
        <is>
          <t>Deklaracja</t>
        </is>
      </c>
      <c r="I148" s="20" t="n">
        <v>20.03</v>
      </c>
      <c r="J148" t="inlineStr">
        <is>
          <t>M3</t>
        </is>
      </c>
      <c r="K148" s="21" t="n">
        <v>141</v>
      </c>
      <c r="L148" s="21" t="n">
        <v>2824.23</v>
      </c>
      <c r="M148" s="21" t="n">
        <v>0</v>
      </c>
      <c r="N148" t="inlineStr">
        <is>
          <t>Drewno opałowe z lasu</t>
        </is>
      </c>
      <c r="Q148" s="21" t="n">
        <v>0</v>
      </c>
      <c r="T148" s="22" t="n">
        <v>0</v>
      </c>
      <c r="U148" s="21" t="n">
        <v>0</v>
      </c>
      <c r="V148" s="21" t="n">
        <v>0</v>
      </c>
      <c r="W148" t="inlineStr">
        <is>
          <t>Magazyn Zabrze</t>
        </is>
      </c>
      <c r="Z148" t="inlineStr">
        <is>
          <t>Roesner Mateusz</t>
        </is>
      </c>
      <c r="AA148" s="23" t="n">
        <v>46226.36342592593</v>
      </c>
      <c r="AB148" t="inlineStr">
        <is>
          <t>OP-MIGR-00147</t>
        </is>
      </c>
      <c r="AD148" t="inlineStr">
        <is>
          <t>AKTYWNY</t>
        </is>
      </c>
      <c r="AE148" s="20">
        <f>IF(I148="",0,IF(ISNUMBER(SEARCH("MP",UPPER(J148))),I148,IF(ISNUMBER(SEARCH("TON",UPPER(J148))),I148/Przelicznik_MP_tona,IF(ISNUMBER(SEARCH("M3",UPPER(J148))),I148*Przelicznik_M3_MP,IF(ISNUMBER(SEARCH("GJ",UPPER(J148))),I148/Przelicznik_GJ_tona/Przelicznik_MP_tona,I148)))))</f>
        <v/>
      </c>
      <c r="AF148" s="20">
        <f>IF(I148="",0,IF(ISNUMBER(SEARCH("TON",UPPER(J148))),I148,IF(ISNUMBER(SEARCH("GJ",UPPER(J148))),I148/Przelicznik_GJ_tona,AE148*Przelicznik_MP_tona)))</f>
        <v/>
      </c>
      <c r="AG148" s="20">
        <f>AF148*Przelicznik_GJ_tona</f>
        <v/>
      </c>
      <c r="AH148" s="20">
        <f>IF(UPPER(AD148)="SKORYGOWANY",0,IF(OR(UPPER(E148)="TRANSPORT",UPPER(E148)="MM"),0,IF(UPPER(G148)&lt;&gt;"TAK",0,IF(OR(UPPER(E148)="ZAKUP",UPPER(E148)="PRODUKCJA"),AE148,IF(OR(UPPER(E148)="SPRZEDAŻ",UPPER(E148)="ZUŻYCIE"),-AE148,0)))))</f>
        <v/>
      </c>
      <c r="AI148" s="20">
        <f>IF(UPPER(AD148)="SKORYGOWANY",0,IF(OR(UPPER(E148)="TRANSPORT",UPPER(E148)="MM"),0,IF(UPPER(G148)&lt;&gt;"TAK",0,IF(OR(UPPER(E148)="ZAKUP",UPPER(E148)="PRODUKCJA"),AF148,IF(OR(UPPER(E148)="SPRZEDAŻ",UPPER(E148)="ZUŻYCIE"),-AF148,0)))))</f>
        <v/>
      </c>
      <c r="AJ148" s="21">
        <f>IF(UPPER(AD148)="SKORYGOWANY",0,IF(UPPER(E148)="ZAKUP",IF(L148&lt;&gt;"",L148,I148*K148),0))</f>
        <v/>
      </c>
      <c r="AK148" s="21">
        <f>IF(UPPER(AD148)="SKORYGOWANY",0,IF(UPPER(E148)="SPRZEDAŻ",IF(L148&lt;&gt;"",L148,I148*M148),0))</f>
        <v/>
      </c>
      <c r="AL148" s="21">
        <f>AE148*Q148</f>
        <v/>
      </c>
      <c r="AM148">
        <f>IF(R148="","",IF(LOWER(R148)="brak","Brak",IF(OR(ISNUMBER(SEARCH("własn",LOWER(R148))),ISNUMBER(SEARCH("wlasn",LOWER(R148))),ISNUMBER(SEARCH("wojciechowski",LOWER(R148)))),"Własny","Zewnętrzny")))</f>
        <v/>
      </c>
      <c r="AN148" s="24">
        <f>IF(C148="","",YEAR(C148))</f>
        <v/>
      </c>
      <c r="AO148" s="24">
        <f>IF(C148="","",MONTH(C148))</f>
        <v/>
      </c>
      <c r="AP148">
        <f>IF(C148="","",UPPER(TEXT(C148,"mmmm")))</f>
        <v/>
      </c>
      <c r="AQ148">
        <f>IF(C148="","","Q"&amp;ROUNDUP(MONTH(C148)/3,0))</f>
        <v/>
      </c>
    </row>
    <row r="149">
      <c r="A149" s="19" t="n">
        <v>46225</v>
      </c>
      <c r="C149" s="19" t="n">
        <v>46225</v>
      </c>
      <c r="D149" t="inlineStr">
        <is>
          <t>NDL Chrzanów, Leśnictwo Szczakowa</t>
        </is>
      </c>
      <c r="E149" t="inlineStr">
        <is>
          <t>PRODUKCJA</t>
        </is>
      </c>
      <c r="F149" t="inlineStr">
        <is>
          <t>PZ/29</t>
        </is>
      </c>
      <c r="G149" t="inlineStr">
        <is>
          <t>NIE</t>
        </is>
      </c>
      <c r="H149" t="inlineStr">
        <is>
          <t>Deklaracja</t>
        </is>
      </c>
      <c r="I149" s="20" t="n">
        <v>80.12</v>
      </c>
      <c r="J149" t="inlineStr">
        <is>
          <t>MP</t>
        </is>
      </c>
      <c r="K149" s="21" t="n">
        <v>0</v>
      </c>
      <c r="L149" s="21" t="n">
        <v>0</v>
      </c>
      <c r="M149" s="21" t="n">
        <v>0</v>
      </c>
      <c r="N149" t="inlineStr">
        <is>
          <t>Zrębka Produkcyjna Leśna</t>
        </is>
      </c>
      <c r="O149" t="inlineStr">
        <is>
          <t>B</t>
        </is>
      </c>
      <c r="P149" t="inlineStr">
        <is>
          <t>własne</t>
        </is>
      </c>
      <c r="Q149" s="21" t="n">
        <v>10</v>
      </c>
      <c r="T149" s="22" t="n">
        <v>0</v>
      </c>
      <c r="U149" s="21" t="n">
        <v>0</v>
      </c>
      <c r="V149" s="21" t="n">
        <v>0</v>
      </c>
      <c r="W149" t="inlineStr">
        <is>
          <t>Magazyn Zabrze</t>
        </is>
      </c>
      <c r="Z149" t="inlineStr">
        <is>
          <t>Roesner Mateusz</t>
        </is>
      </c>
      <c r="AA149" s="23" t="n">
        <v>46226.36417824074</v>
      </c>
      <c r="AB149" t="inlineStr">
        <is>
          <t>OP-MIGR-00148</t>
        </is>
      </c>
      <c r="AD149" t="inlineStr">
        <is>
          <t>AKTYWNY</t>
        </is>
      </c>
      <c r="AE149" s="20">
        <f>IF(I149="",0,IF(ISNUMBER(SEARCH("MP",UPPER(J149))),I149,IF(ISNUMBER(SEARCH("TON",UPPER(J149))),I149/Przelicznik_MP_tona,IF(ISNUMBER(SEARCH("M3",UPPER(J149))),I149*Przelicznik_M3_MP,IF(ISNUMBER(SEARCH("GJ",UPPER(J149))),I149/Przelicznik_GJ_tona/Przelicznik_MP_tona,I149)))))</f>
        <v/>
      </c>
      <c r="AF149" s="20">
        <f>IF(I149="",0,IF(ISNUMBER(SEARCH("TON",UPPER(J149))),I149,IF(ISNUMBER(SEARCH("GJ",UPPER(J149))),I149/Przelicznik_GJ_tona,AE149*Przelicznik_MP_tona)))</f>
        <v/>
      </c>
      <c r="AG149" s="20">
        <f>AF149*Przelicznik_GJ_tona</f>
        <v/>
      </c>
      <c r="AH149" s="20">
        <f>IF(UPPER(AD149)="SKORYGOWANY",0,IF(OR(UPPER(E149)="TRANSPORT",UPPER(E149)="MM"),0,IF(UPPER(G149)&lt;&gt;"TAK",0,IF(OR(UPPER(E149)="ZAKUP",UPPER(E149)="PRODUKCJA"),AE149,IF(OR(UPPER(E149)="SPRZEDAŻ",UPPER(E149)="ZUŻYCIE"),-AE149,0)))))</f>
        <v/>
      </c>
      <c r="AI149" s="20">
        <f>IF(UPPER(AD149)="SKORYGOWANY",0,IF(OR(UPPER(E149)="TRANSPORT",UPPER(E149)="MM"),0,IF(UPPER(G149)&lt;&gt;"TAK",0,IF(OR(UPPER(E149)="ZAKUP",UPPER(E149)="PRODUKCJA"),AF149,IF(OR(UPPER(E149)="SPRZEDAŻ",UPPER(E149)="ZUŻYCIE"),-AF149,0)))))</f>
        <v/>
      </c>
      <c r="AJ149" s="21">
        <f>IF(UPPER(AD149)="SKORYGOWANY",0,IF(UPPER(E149)="ZAKUP",IF(L149&lt;&gt;"",L149,I149*K149),0))</f>
        <v/>
      </c>
      <c r="AK149" s="21">
        <f>IF(UPPER(AD149)="SKORYGOWANY",0,IF(UPPER(E149)="SPRZEDAŻ",IF(L149&lt;&gt;"",L149,I149*M149),0))</f>
        <v/>
      </c>
      <c r="AL149" s="21">
        <f>AE149*Q149</f>
        <v/>
      </c>
      <c r="AM149">
        <f>IF(R149="","",IF(LOWER(R149)="brak","Brak",IF(OR(ISNUMBER(SEARCH("własn",LOWER(R149))),ISNUMBER(SEARCH("wlasn",LOWER(R149))),ISNUMBER(SEARCH("wojciechowski",LOWER(R149)))),"Własny","Zewnętrzny")))</f>
        <v/>
      </c>
      <c r="AN149" s="24">
        <f>IF(C149="","",YEAR(C149))</f>
        <v/>
      </c>
      <c r="AO149" s="24">
        <f>IF(C149="","",MONTH(C149))</f>
        <v/>
      </c>
      <c r="AP149">
        <f>IF(C149="","",UPPER(TEXT(C149,"mmmm")))</f>
        <v/>
      </c>
      <c r="AQ149">
        <f>IF(C149="","","Q"&amp;ROUNDUP(MONTH(C149)/3,0))</f>
        <v/>
      </c>
    </row>
    <row r="150">
      <c r="A150" s="19" t="n">
        <v>46225</v>
      </c>
      <c r="C150" s="19" t="n">
        <v>46225</v>
      </c>
      <c r="D150" t="inlineStr">
        <is>
          <t>NDL Chrzanów, Leśnictwo Szczakowa</t>
        </is>
      </c>
      <c r="E150" t="inlineStr">
        <is>
          <t>ZUŻYCIE</t>
        </is>
      </c>
      <c r="F150" t="inlineStr">
        <is>
          <t>PZ/29</t>
        </is>
      </c>
      <c r="G150" t="inlineStr">
        <is>
          <t>NIE</t>
        </is>
      </c>
      <c r="H150" t="inlineStr">
        <is>
          <t>Deklaracja</t>
        </is>
      </c>
      <c r="I150" s="20" t="n">
        <v>80.12</v>
      </c>
      <c r="J150" t="inlineStr">
        <is>
          <t>MP</t>
        </is>
      </c>
      <c r="K150" s="21" t="n">
        <v>0</v>
      </c>
      <c r="L150" s="21" t="n">
        <v>0</v>
      </c>
      <c r="M150" s="21" t="n">
        <v>0</v>
      </c>
      <c r="N150" t="inlineStr">
        <is>
          <t>Zrębka Produkcyjna Leśna</t>
        </is>
      </c>
      <c r="O150" t="inlineStr">
        <is>
          <t>B</t>
        </is>
      </c>
      <c r="P150" t="inlineStr">
        <is>
          <t>własne</t>
        </is>
      </c>
      <c r="Q150" s="21" t="n">
        <v>10</v>
      </c>
      <c r="T150" s="22" t="n">
        <v>0</v>
      </c>
      <c r="U150" s="21" t="n">
        <v>0</v>
      </c>
      <c r="V150" s="21" t="n">
        <v>0</v>
      </c>
      <c r="W150" t="inlineStr">
        <is>
          <t>Magazyn Zabrze</t>
        </is>
      </c>
      <c r="Y150" t="inlineStr">
        <is>
          <t>Automatyczne zużycie surowca do produkcji</t>
        </is>
      </c>
      <c r="AA150" s="23" t="n">
        <v>46226.36417824074</v>
      </c>
      <c r="AB150" t="inlineStr">
        <is>
          <t>OP-MIGR-00149</t>
        </is>
      </c>
      <c r="AD150" t="inlineStr">
        <is>
          <t>AKTYWNY</t>
        </is>
      </c>
      <c r="AE150" s="20">
        <f>IF(I150="",0,IF(ISNUMBER(SEARCH("MP",UPPER(J150))),I150,IF(ISNUMBER(SEARCH("TON",UPPER(J150))),I150/Przelicznik_MP_tona,IF(ISNUMBER(SEARCH("M3",UPPER(J150))),I150*Przelicznik_M3_MP,IF(ISNUMBER(SEARCH("GJ",UPPER(J150))),I150/Przelicznik_GJ_tona/Przelicznik_MP_tona,I150)))))</f>
        <v/>
      </c>
      <c r="AF150" s="20">
        <f>IF(I150="",0,IF(ISNUMBER(SEARCH("TON",UPPER(J150))),I150,IF(ISNUMBER(SEARCH("GJ",UPPER(J150))),I150/Przelicznik_GJ_tona,AE150*Przelicznik_MP_tona)))</f>
        <v/>
      </c>
      <c r="AG150" s="20">
        <f>AF150*Przelicznik_GJ_tona</f>
        <v/>
      </c>
      <c r="AH150" s="20">
        <f>IF(UPPER(AD150)="SKORYGOWANY",0,IF(OR(UPPER(E150)="TRANSPORT",UPPER(E150)="MM"),0,IF(UPPER(G150)&lt;&gt;"TAK",0,IF(OR(UPPER(E150)="ZAKUP",UPPER(E150)="PRODUKCJA"),AE150,IF(OR(UPPER(E150)="SPRZEDAŻ",UPPER(E150)="ZUŻYCIE"),-AE150,0)))))</f>
        <v/>
      </c>
      <c r="AI150" s="20">
        <f>IF(UPPER(AD150)="SKORYGOWANY",0,IF(OR(UPPER(E150)="TRANSPORT",UPPER(E150)="MM"),0,IF(UPPER(G150)&lt;&gt;"TAK",0,IF(OR(UPPER(E150)="ZAKUP",UPPER(E150)="PRODUKCJA"),AF150,IF(OR(UPPER(E150)="SPRZEDAŻ",UPPER(E150)="ZUŻYCIE"),-AF150,0)))))</f>
        <v/>
      </c>
      <c r="AJ150" s="21">
        <f>IF(UPPER(AD150)="SKORYGOWANY",0,IF(UPPER(E150)="ZAKUP",IF(L150&lt;&gt;"",L150,I150*K150),0))</f>
        <v/>
      </c>
      <c r="AK150" s="21">
        <f>IF(UPPER(AD150)="SKORYGOWANY",0,IF(UPPER(E150)="SPRZEDAŻ",IF(L150&lt;&gt;"",L150,I150*M150),0))</f>
        <v/>
      </c>
      <c r="AL150" s="21">
        <f>AE150*Q150</f>
        <v/>
      </c>
      <c r="AM150">
        <f>IF(R150="","",IF(LOWER(R150)="brak","Brak",IF(OR(ISNUMBER(SEARCH("własn",LOWER(R150))),ISNUMBER(SEARCH("wlasn",LOWER(R150))),ISNUMBER(SEARCH("wojciechowski",LOWER(R150)))),"Własny","Zewnętrzny")))</f>
        <v/>
      </c>
      <c r="AN150" s="24">
        <f>IF(C150="","",YEAR(C150))</f>
        <v/>
      </c>
      <c r="AO150" s="24">
        <f>IF(C150="","",MONTH(C150))</f>
        <v/>
      </c>
      <c r="AP150">
        <f>IF(C150="","",UPPER(TEXT(C150,"mmmm")))</f>
        <v/>
      </c>
      <c r="AQ150">
        <f>IF(C150="","","Q"&amp;ROUNDUP(MONTH(C150)/3,0))</f>
        <v/>
      </c>
    </row>
    <row r="151">
      <c r="A151" s="19" t="n">
        <v>46225</v>
      </c>
      <c r="B151" t="inlineStr">
        <is>
          <t>Jaworzno</t>
        </is>
      </c>
      <c r="C151" s="19" t="n">
        <v>46225</v>
      </c>
      <c r="D151" t="inlineStr">
        <is>
          <t>Magazyn Zabrze</t>
        </is>
      </c>
      <c r="E151" t="inlineStr">
        <is>
          <t>ZAKUP</t>
        </is>
      </c>
      <c r="F151" t="inlineStr">
        <is>
          <t>PZ/29</t>
        </is>
      </c>
      <c r="G151" t="inlineStr">
        <is>
          <t>TAK</t>
        </is>
      </c>
      <c r="H151" t="inlineStr">
        <is>
          <t>Deklaracja</t>
        </is>
      </c>
      <c r="I151" s="20" t="n">
        <v>80.12</v>
      </c>
      <c r="J151" t="inlineStr">
        <is>
          <t>MP</t>
        </is>
      </c>
      <c r="K151" s="21" t="n">
        <v>0</v>
      </c>
      <c r="L151" s="21" t="n">
        <v>0</v>
      </c>
      <c r="M151" s="21" t="n">
        <v>0</v>
      </c>
      <c r="N151" t="inlineStr">
        <is>
          <t>Zrębka Produkcyjna Leśna</t>
        </is>
      </c>
      <c r="O151" t="inlineStr">
        <is>
          <t>B</t>
        </is>
      </c>
      <c r="Q151" s="21" t="n">
        <v>0</v>
      </c>
      <c r="R151" t="inlineStr">
        <is>
          <t>Nowatrans</t>
        </is>
      </c>
      <c r="S151" t="inlineStr">
        <is>
          <t>ST 9995P</t>
        </is>
      </c>
      <c r="T151" s="22" t="n">
        <v>122</v>
      </c>
      <c r="U151" s="21" t="n">
        <v>6.56</v>
      </c>
      <c r="V151" s="21" t="n">
        <v>800</v>
      </c>
      <c r="W151" t="inlineStr">
        <is>
          <t>Magazyn Zabrze</t>
        </is>
      </c>
      <c r="Z151" t="inlineStr">
        <is>
          <t>Roesner Mateusz</t>
        </is>
      </c>
      <c r="AA151" s="23" t="n">
        <v>46226.365</v>
      </c>
      <c r="AB151" t="inlineStr">
        <is>
          <t>OP-MIGR-00150</t>
        </is>
      </c>
      <c r="AD151" t="inlineStr">
        <is>
          <t>AKTYWNY</t>
        </is>
      </c>
      <c r="AE151" s="20">
        <f>IF(I151="",0,IF(ISNUMBER(SEARCH("MP",UPPER(J151))),I151,IF(ISNUMBER(SEARCH("TON",UPPER(J151))),I151/Przelicznik_MP_tona,IF(ISNUMBER(SEARCH("M3",UPPER(J151))),I151*Przelicznik_M3_MP,IF(ISNUMBER(SEARCH("GJ",UPPER(J151))),I151/Przelicznik_GJ_tona/Przelicznik_MP_tona,I151)))))</f>
        <v/>
      </c>
      <c r="AF151" s="20">
        <f>IF(I151="",0,IF(ISNUMBER(SEARCH("TON",UPPER(J151))),I151,IF(ISNUMBER(SEARCH("GJ",UPPER(J151))),I151/Przelicznik_GJ_tona,AE151*Przelicznik_MP_tona)))</f>
        <v/>
      </c>
      <c r="AG151" s="20">
        <f>AF151*Przelicznik_GJ_tona</f>
        <v/>
      </c>
      <c r="AH151" s="20">
        <f>IF(UPPER(AD151)="SKORYGOWANY",0,IF(OR(UPPER(E151)="TRANSPORT",UPPER(E151)="MM"),0,IF(UPPER(G151)&lt;&gt;"TAK",0,IF(OR(UPPER(E151)="ZAKUP",UPPER(E151)="PRODUKCJA"),AE151,IF(OR(UPPER(E151)="SPRZEDAŻ",UPPER(E151)="ZUŻYCIE"),-AE151,0)))))</f>
        <v/>
      </c>
      <c r="AI151" s="20">
        <f>IF(UPPER(AD151)="SKORYGOWANY",0,IF(OR(UPPER(E151)="TRANSPORT",UPPER(E151)="MM"),0,IF(UPPER(G151)&lt;&gt;"TAK",0,IF(OR(UPPER(E151)="ZAKUP",UPPER(E151)="PRODUKCJA"),AF151,IF(OR(UPPER(E151)="SPRZEDAŻ",UPPER(E151)="ZUŻYCIE"),-AF151,0)))))</f>
        <v/>
      </c>
      <c r="AJ151" s="21">
        <f>IF(UPPER(AD151)="SKORYGOWANY",0,IF(UPPER(E151)="ZAKUP",IF(L151&lt;&gt;"",L151,I151*K151),0))</f>
        <v/>
      </c>
      <c r="AK151" s="21">
        <f>IF(UPPER(AD151)="SKORYGOWANY",0,IF(UPPER(E151)="SPRZEDAŻ",IF(L151&lt;&gt;"",L151,I151*M151),0))</f>
        <v/>
      </c>
      <c r="AL151" s="21">
        <f>AE151*Q151</f>
        <v/>
      </c>
      <c r="AM151">
        <f>IF(R151="","",IF(LOWER(R151)="brak","Brak",IF(OR(ISNUMBER(SEARCH("własn",LOWER(R151))),ISNUMBER(SEARCH("wlasn",LOWER(R151))),ISNUMBER(SEARCH("wojciechowski",LOWER(R151)))),"Własny","Zewnętrzny")))</f>
        <v/>
      </c>
      <c r="AN151" s="24">
        <f>IF(C151="","",YEAR(C151))</f>
        <v/>
      </c>
      <c r="AO151" s="24">
        <f>IF(C151="","",MONTH(C151))</f>
        <v/>
      </c>
      <c r="AP151">
        <f>IF(C151="","",UPPER(TEXT(C151,"mmmm")))</f>
        <v/>
      </c>
      <c r="AQ151">
        <f>IF(C151="","","Q"&amp;ROUNDUP(MONTH(C151)/3,0))</f>
        <v/>
      </c>
    </row>
    <row r="152">
      <c r="A152" s="19" t="n">
        <v>46225</v>
      </c>
      <c r="C152" s="19" t="n">
        <v>46225</v>
      </c>
      <c r="D152" t="inlineStr">
        <is>
          <t>Lander Agro</t>
        </is>
      </c>
      <c r="E152" t="inlineStr">
        <is>
          <t>ZAKUP</t>
        </is>
      </c>
      <c r="F152" t="inlineStr">
        <is>
          <t>PZ/17/D</t>
        </is>
      </c>
      <c r="G152" t="inlineStr">
        <is>
          <t>TAK</t>
        </is>
      </c>
      <c r="H152" t="inlineStr">
        <is>
          <t>KZR</t>
        </is>
      </c>
      <c r="I152" s="20" t="n">
        <v>15.56</v>
      </c>
      <c r="J152" t="inlineStr">
        <is>
          <t>M3</t>
        </is>
      </c>
      <c r="K152" s="21" t="n">
        <v>230</v>
      </c>
      <c r="L152" s="21" t="n">
        <v>3578.8</v>
      </c>
      <c r="M152" s="21" t="n">
        <v>0</v>
      </c>
      <c r="N152" t="inlineStr">
        <is>
          <t>Drewno opałowe z lasu</t>
        </is>
      </c>
      <c r="Q152" s="21" t="n">
        <v>0</v>
      </c>
      <c r="T152" s="22" t="n">
        <v>0</v>
      </c>
      <c r="U152" s="21" t="n">
        <v>0</v>
      </c>
      <c r="V152" s="21" t="n">
        <v>0</v>
      </c>
      <c r="W152" t="inlineStr">
        <is>
          <t>Magazyn Zabrze</t>
        </is>
      </c>
      <c r="Y152" t="inlineStr">
        <is>
          <t>Waga b/d</t>
        </is>
      </c>
      <c r="Z152" t="inlineStr">
        <is>
          <t>Roesner Mateusz</t>
        </is>
      </c>
      <c r="AA152" s="23" t="n">
        <v>46226.37150462963</v>
      </c>
      <c r="AB152" t="inlineStr">
        <is>
          <t>OP-MIGR-00151</t>
        </is>
      </c>
      <c r="AD152" t="inlineStr">
        <is>
          <t>AKTYWNY</t>
        </is>
      </c>
      <c r="AE152" s="20">
        <f>IF(I152="",0,IF(ISNUMBER(SEARCH("MP",UPPER(J152))),I152,IF(ISNUMBER(SEARCH("TON",UPPER(J152))),I152/Przelicznik_MP_tona,IF(ISNUMBER(SEARCH("M3",UPPER(J152))),I152*Przelicznik_M3_MP,IF(ISNUMBER(SEARCH("GJ",UPPER(J152))),I152/Przelicznik_GJ_tona/Przelicznik_MP_tona,I152)))))</f>
        <v/>
      </c>
      <c r="AF152" s="20">
        <f>IF(I152="",0,IF(ISNUMBER(SEARCH("TON",UPPER(J152))),I152,IF(ISNUMBER(SEARCH("GJ",UPPER(J152))),I152/Przelicznik_GJ_tona,AE152*Przelicznik_MP_tona)))</f>
        <v/>
      </c>
      <c r="AG152" s="20">
        <f>AF152*Przelicznik_GJ_tona</f>
        <v/>
      </c>
      <c r="AH152" s="20">
        <f>IF(UPPER(AD152)="SKORYGOWANY",0,IF(OR(UPPER(E152)="TRANSPORT",UPPER(E152)="MM"),0,IF(UPPER(G152)&lt;&gt;"TAK",0,IF(OR(UPPER(E152)="ZAKUP",UPPER(E152)="PRODUKCJA"),AE152,IF(OR(UPPER(E152)="SPRZEDAŻ",UPPER(E152)="ZUŻYCIE"),-AE152,0)))))</f>
        <v/>
      </c>
      <c r="AI152" s="20">
        <f>IF(UPPER(AD152)="SKORYGOWANY",0,IF(OR(UPPER(E152)="TRANSPORT",UPPER(E152)="MM"),0,IF(UPPER(G152)&lt;&gt;"TAK",0,IF(OR(UPPER(E152)="ZAKUP",UPPER(E152)="PRODUKCJA"),AF152,IF(OR(UPPER(E152)="SPRZEDAŻ",UPPER(E152)="ZUŻYCIE"),-AF152,0)))))</f>
        <v/>
      </c>
      <c r="AJ152" s="21">
        <f>IF(UPPER(AD152)="SKORYGOWANY",0,IF(UPPER(E152)="ZAKUP",IF(L152&lt;&gt;"",L152,I152*K152),0))</f>
        <v/>
      </c>
      <c r="AK152" s="21">
        <f>IF(UPPER(AD152)="SKORYGOWANY",0,IF(UPPER(E152)="SPRZEDAŻ",IF(L152&lt;&gt;"",L152,I152*M152),0))</f>
        <v/>
      </c>
      <c r="AL152" s="21">
        <f>AE152*Q152</f>
        <v/>
      </c>
      <c r="AM152">
        <f>IF(R152="","",IF(LOWER(R152)="brak","Brak",IF(OR(ISNUMBER(SEARCH("własn",LOWER(R152))),ISNUMBER(SEARCH("wlasn",LOWER(R152))),ISNUMBER(SEARCH("wojciechowski",LOWER(R152)))),"Własny","Zewnętrzny")))</f>
        <v/>
      </c>
      <c r="AN152" s="24">
        <f>IF(C152="","",YEAR(C152))</f>
        <v/>
      </c>
      <c r="AO152" s="24">
        <f>IF(C152="","",MONTH(C152))</f>
        <v/>
      </c>
      <c r="AP152">
        <f>IF(C152="","",UPPER(TEXT(C152,"mmmm")))</f>
        <v/>
      </c>
      <c r="AQ152">
        <f>IF(C152="","","Q"&amp;ROUNDUP(MONTH(C152)/3,0))</f>
        <v/>
      </c>
    </row>
    <row r="153">
      <c r="A153" s="19" t="n">
        <v>46226</v>
      </c>
      <c r="C153" s="19" t="n">
        <v>46226</v>
      </c>
      <c r="D153" t="inlineStr">
        <is>
          <t>Lander Agro</t>
        </is>
      </c>
      <c r="E153" t="inlineStr">
        <is>
          <t>ZAKUP</t>
        </is>
      </c>
      <c r="F153" t="inlineStr">
        <is>
          <t>PZ/18/D</t>
        </is>
      </c>
      <c r="G153" t="inlineStr">
        <is>
          <t>TAK</t>
        </is>
      </c>
      <c r="H153" t="inlineStr">
        <is>
          <t>KZR</t>
        </is>
      </c>
      <c r="I153" s="20" t="n">
        <v>15.3</v>
      </c>
      <c r="J153" t="inlineStr">
        <is>
          <t>M3</t>
        </is>
      </c>
      <c r="K153" s="21" t="n">
        <v>230</v>
      </c>
      <c r="L153" s="21" t="n">
        <v>3519</v>
      </c>
      <c r="M153" s="21" t="n">
        <v>0</v>
      </c>
      <c r="N153" t="inlineStr">
        <is>
          <t>Drewno opałowe z lasu</t>
        </is>
      </c>
      <c r="Q153" s="21" t="n">
        <v>0</v>
      </c>
      <c r="T153" s="22" t="n">
        <v>0</v>
      </c>
      <c r="U153" s="21" t="n">
        <v>0</v>
      </c>
      <c r="V153" s="21" t="n">
        <v>0</v>
      </c>
      <c r="W153" t="inlineStr">
        <is>
          <t>Magazyn Zabrze</t>
        </is>
      </c>
      <c r="Y153" t="inlineStr">
        <is>
          <t>Waga b/d</t>
        </is>
      </c>
      <c r="Z153" t="inlineStr">
        <is>
          <t>Roesner Mateusz</t>
        </is>
      </c>
      <c r="AA153" s="23" t="n">
        <v>46229.83993055556</v>
      </c>
      <c r="AB153" t="inlineStr">
        <is>
          <t>OP-MIGR-00152</t>
        </is>
      </c>
      <c r="AD153" t="inlineStr">
        <is>
          <t>AKTYWNY</t>
        </is>
      </c>
      <c r="AE153" s="20">
        <f>IF(I153="",0,IF(ISNUMBER(SEARCH("MP",UPPER(J153))),I153,IF(ISNUMBER(SEARCH("TON",UPPER(J153))),I153/Przelicznik_MP_tona,IF(ISNUMBER(SEARCH("M3",UPPER(J153))),I153*Przelicznik_M3_MP,IF(ISNUMBER(SEARCH("GJ",UPPER(J153))),I153/Przelicznik_GJ_tona/Przelicznik_MP_tona,I153)))))</f>
        <v/>
      </c>
      <c r="AF153" s="20">
        <f>IF(I153="",0,IF(ISNUMBER(SEARCH("TON",UPPER(J153))),I153,IF(ISNUMBER(SEARCH("GJ",UPPER(J153))),I153/Przelicznik_GJ_tona,AE153*Przelicznik_MP_tona)))</f>
        <v/>
      </c>
      <c r="AG153" s="20">
        <f>AF153*Przelicznik_GJ_tona</f>
        <v/>
      </c>
      <c r="AH153" s="20">
        <f>IF(UPPER(AD153)="SKORYGOWANY",0,IF(OR(UPPER(E153)="TRANSPORT",UPPER(E153)="MM"),0,IF(UPPER(G153)&lt;&gt;"TAK",0,IF(OR(UPPER(E153)="ZAKUP",UPPER(E153)="PRODUKCJA"),AE153,IF(OR(UPPER(E153)="SPRZEDAŻ",UPPER(E153)="ZUŻYCIE"),-AE153,0)))))</f>
        <v/>
      </c>
      <c r="AI153" s="20">
        <f>IF(UPPER(AD153)="SKORYGOWANY",0,IF(OR(UPPER(E153)="TRANSPORT",UPPER(E153)="MM"),0,IF(UPPER(G153)&lt;&gt;"TAK",0,IF(OR(UPPER(E153)="ZAKUP",UPPER(E153)="PRODUKCJA"),AF153,IF(OR(UPPER(E153)="SPRZEDAŻ",UPPER(E153)="ZUŻYCIE"),-AF153,0)))))</f>
        <v/>
      </c>
      <c r="AJ153" s="21">
        <f>IF(UPPER(AD153)="SKORYGOWANY",0,IF(UPPER(E153)="ZAKUP",IF(L153&lt;&gt;"",L153,I153*K153),0))</f>
        <v/>
      </c>
      <c r="AK153" s="21">
        <f>IF(UPPER(AD153)="SKORYGOWANY",0,IF(UPPER(E153)="SPRZEDAŻ",IF(L153&lt;&gt;"",L153,I153*M153),0))</f>
        <v/>
      </c>
      <c r="AL153" s="21">
        <f>AE153*Q153</f>
        <v/>
      </c>
      <c r="AM153">
        <f>IF(R153="","",IF(LOWER(R153)="brak","Brak",IF(OR(ISNUMBER(SEARCH("własn",LOWER(R153))),ISNUMBER(SEARCH("wlasn",LOWER(R153))),ISNUMBER(SEARCH("wojciechowski",LOWER(R153)))),"Własny","Zewnętrzny")))</f>
        <v/>
      </c>
      <c r="AN153" s="24">
        <f>IF(C153="","",YEAR(C153))</f>
        <v/>
      </c>
      <c r="AO153" s="24">
        <f>IF(C153="","",MONTH(C153))</f>
        <v/>
      </c>
      <c r="AP153">
        <f>IF(C153="","",UPPER(TEXT(C153,"mmmm")))</f>
        <v/>
      </c>
      <c r="AQ153">
        <f>IF(C153="","","Q"&amp;ROUNDUP(MONTH(C153)/3,0))</f>
        <v/>
      </c>
    </row>
    <row r="154">
      <c r="A154" s="19" t="n">
        <v>46226</v>
      </c>
      <c r="C154" s="19" t="n">
        <v>46226</v>
      </c>
      <c r="D154" t="inlineStr">
        <is>
          <t>Lander Agro</t>
        </is>
      </c>
      <c r="E154" t="inlineStr">
        <is>
          <t>ZAKUP</t>
        </is>
      </c>
      <c r="F154" t="inlineStr">
        <is>
          <t>PZ/19/D</t>
        </is>
      </c>
      <c r="G154" t="inlineStr">
        <is>
          <t>TAK</t>
        </is>
      </c>
      <c r="H154" t="inlineStr">
        <is>
          <t>KZR</t>
        </is>
      </c>
      <c r="I154" s="20" t="n">
        <v>15.08</v>
      </c>
      <c r="J154" t="inlineStr">
        <is>
          <t>M3</t>
        </is>
      </c>
      <c r="K154" s="21" t="n">
        <v>230</v>
      </c>
      <c r="L154" s="21" t="n">
        <v>3468.4</v>
      </c>
      <c r="M154" s="21" t="n">
        <v>0</v>
      </c>
      <c r="N154" t="inlineStr">
        <is>
          <t>Drewno opałowe z lasu</t>
        </is>
      </c>
      <c r="Q154" s="21" t="n">
        <v>0</v>
      </c>
      <c r="T154" s="22" t="n">
        <v>0</v>
      </c>
      <c r="U154" s="21" t="n">
        <v>0</v>
      </c>
      <c r="V154" s="21" t="n">
        <v>0</v>
      </c>
      <c r="W154" t="inlineStr">
        <is>
          <t>Magazyn Zabrze</t>
        </is>
      </c>
      <c r="Y154" t="inlineStr">
        <is>
          <t>Waga b/d</t>
        </is>
      </c>
      <c r="Z154" t="inlineStr">
        <is>
          <t>Roesner Mateusz</t>
        </is>
      </c>
      <c r="AA154" s="23" t="n">
        <v>46229.84068287037</v>
      </c>
      <c r="AB154" t="inlineStr">
        <is>
          <t>OP-MIGR-00153</t>
        </is>
      </c>
      <c r="AD154" t="inlineStr">
        <is>
          <t>AKTYWNY</t>
        </is>
      </c>
      <c r="AE154" s="20">
        <f>IF(I154="",0,IF(ISNUMBER(SEARCH("MP",UPPER(J154))),I154,IF(ISNUMBER(SEARCH("TON",UPPER(J154))),I154/Przelicznik_MP_tona,IF(ISNUMBER(SEARCH("M3",UPPER(J154))),I154*Przelicznik_M3_MP,IF(ISNUMBER(SEARCH("GJ",UPPER(J154))),I154/Przelicznik_GJ_tona/Przelicznik_MP_tona,I154)))))</f>
        <v/>
      </c>
      <c r="AF154" s="20">
        <f>IF(I154="",0,IF(ISNUMBER(SEARCH("TON",UPPER(J154))),I154,IF(ISNUMBER(SEARCH("GJ",UPPER(J154))),I154/Przelicznik_GJ_tona,AE154*Przelicznik_MP_tona)))</f>
        <v/>
      </c>
      <c r="AG154" s="20">
        <f>AF154*Przelicznik_GJ_tona</f>
        <v/>
      </c>
      <c r="AH154" s="20">
        <f>IF(UPPER(AD154)="SKORYGOWANY",0,IF(OR(UPPER(E154)="TRANSPORT",UPPER(E154)="MM"),0,IF(UPPER(G154)&lt;&gt;"TAK",0,IF(OR(UPPER(E154)="ZAKUP",UPPER(E154)="PRODUKCJA"),AE154,IF(OR(UPPER(E154)="SPRZEDAŻ",UPPER(E154)="ZUŻYCIE"),-AE154,0)))))</f>
        <v/>
      </c>
      <c r="AI154" s="20">
        <f>IF(UPPER(AD154)="SKORYGOWANY",0,IF(OR(UPPER(E154)="TRANSPORT",UPPER(E154)="MM"),0,IF(UPPER(G154)&lt;&gt;"TAK",0,IF(OR(UPPER(E154)="ZAKUP",UPPER(E154)="PRODUKCJA"),AF154,IF(OR(UPPER(E154)="SPRZEDAŻ",UPPER(E154)="ZUŻYCIE"),-AF154,0)))))</f>
        <v/>
      </c>
      <c r="AJ154" s="21">
        <f>IF(UPPER(AD154)="SKORYGOWANY",0,IF(UPPER(E154)="ZAKUP",IF(L154&lt;&gt;"",L154,I154*K154),0))</f>
        <v/>
      </c>
      <c r="AK154" s="21">
        <f>IF(UPPER(AD154)="SKORYGOWANY",0,IF(UPPER(E154)="SPRZEDAŻ",IF(L154&lt;&gt;"",L154,I154*M154),0))</f>
        <v/>
      </c>
      <c r="AL154" s="21">
        <f>AE154*Q154</f>
        <v/>
      </c>
      <c r="AM154">
        <f>IF(R154="","",IF(LOWER(R154)="brak","Brak",IF(OR(ISNUMBER(SEARCH("własn",LOWER(R154))),ISNUMBER(SEARCH("wlasn",LOWER(R154))),ISNUMBER(SEARCH("wojciechowski",LOWER(R154)))),"Własny","Zewnętrzny")))</f>
        <v/>
      </c>
      <c r="AN154" s="24">
        <f>IF(C154="","",YEAR(C154))</f>
        <v/>
      </c>
      <c r="AO154" s="24">
        <f>IF(C154="","",MONTH(C154))</f>
        <v/>
      </c>
      <c r="AP154">
        <f>IF(C154="","",UPPER(TEXT(C154,"mmmm")))</f>
        <v/>
      </c>
      <c r="AQ154">
        <f>IF(C154="","","Q"&amp;ROUNDUP(MONTH(C154)/3,0))</f>
        <v/>
      </c>
    </row>
    <row r="155">
      <c r="A155" s="19" t="n">
        <v>46226</v>
      </c>
      <c r="C155" s="19" t="n">
        <v>46226</v>
      </c>
      <c r="D155" t="inlineStr">
        <is>
          <t>Lander Agro</t>
        </is>
      </c>
      <c r="E155" t="inlineStr">
        <is>
          <t>ZAKUP</t>
        </is>
      </c>
      <c r="F155" t="inlineStr">
        <is>
          <t>PZ/20/D</t>
        </is>
      </c>
      <c r="G155" t="inlineStr">
        <is>
          <t>TAK</t>
        </is>
      </c>
      <c r="H155" t="inlineStr">
        <is>
          <t>KZR</t>
        </is>
      </c>
      <c r="I155" s="20" t="n">
        <v>28.99</v>
      </c>
      <c r="J155" t="inlineStr">
        <is>
          <t>M3</t>
        </is>
      </c>
      <c r="K155" s="21" t="n">
        <v>230</v>
      </c>
      <c r="L155" s="21" t="n">
        <v>6667.7</v>
      </c>
      <c r="M155" s="21" t="n">
        <v>0</v>
      </c>
      <c r="N155" t="inlineStr">
        <is>
          <t>Drewno opałowe z lasu</t>
        </is>
      </c>
      <c r="Q155" s="21" t="n">
        <v>0</v>
      </c>
      <c r="T155" s="22" t="n">
        <v>0</v>
      </c>
      <c r="U155" s="21" t="n">
        <v>0</v>
      </c>
      <c r="V155" s="21" t="n">
        <v>0</v>
      </c>
      <c r="W155" t="inlineStr">
        <is>
          <t>Magazyn Zabrze</t>
        </is>
      </c>
      <c r="Y155" t="inlineStr">
        <is>
          <t>Waga b/d</t>
        </is>
      </c>
      <c r="Z155" t="inlineStr">
        <is>
          <t>Roesner Mateusz</t>
        </is>
      </c>
      <c r="AA155" s="23" t="n">
        <v>46229.84145833334</v>
      </c>
      <c r="AB155" t="inlineStr">
        <is>
          <t>OP-MIGR-00154</t>
        </is>
      </c>
      <c r="AD155" t="inlineStr">
        <is>
          <t>AKTYWNY</t>
        </is>
      </c>
      <c r="AE155" s="20">
        <f>IF(I155="",0,IF(ISNUMBER(SEARCH("MP",UPPER(J155))),I155,IF(ISNUMBER(SEARCH("TON",UPPER(J155))),I155/Przelicznik_MP_tona,IF(ISNUMBER(SEARCH("M3",UPPER(J155))),I155*Przelicznik_M3_MP,IF(ISNUMBER(SEARCH("GJ",UPPER(J155))),I155/Przelicznik_GJ_tona/Przelicznik_MP_tona,I155)))))</f>
        <v/>
      </c>
      <c r="AF155" s="20">
        <f>IF(I155="",0,IF(ISNUMBER(SEARCH("TON",UPPER(J155))),I155,IF(ISNUMBER(SEARCH("GJ",UPPER(J155))),I155/Przelicznik_GJ_tona,AE155*Przelicznik_MP_tona)))</f>
        <v/>
      </c>
      <c r="AG155" s="20">
        <f>AF155*Przelicznik_GJ_tona</f>
        <v/>
      </c>
      <c r="AH155" s="20">
        <f>IF(UPPER(AD155)="SKORYGOWANY",0,IF(OR(UPPER(E155)="TRANSPORT",UPPER(E155)="MM"),0,IF(UPPER(G155)&lt;&gt;"TAK",0,IF(OR(UPPER(E155)="ZAKUP",UPPER(E155)="PRODUKCJA"),AE155,IF(OR(UPPER(E155)="SPRZEDAŻ",UPPER(E155)="ZUŻYCIE"),-AE155,0)))))</f>
        <v/>
      </c>
      <c r="AI155" s="20">
        <f>IF(UPPER(AD155)="SKORYGOWANY",0,IF(OR(UPPER(E155)="TRANSPORT",UPPER(E155)="MM"),0,IF(UPPER(G155)&lt;&gt;"TAK",0,IF(OR(UPPER(E155)="ZAKUP",UPPER(E155)="PRODUKCJA"),AF155,IF(OR(UPPER(E155)="SPRZEDAŻ",UPPER(E155)="ZUŻYCIE"),-AF155,0)))))</f>
        <v/>
      </c>
      <c r="AJ155" s="21">
        <f>IF(UPPER(AD155)="SKORYGOWANY",0,IF(UPPER(E155)="ZAKUP",IF(L155&lt;&gt;"",L155,I155*K155),0))</f>
        <v/>
      </c>
      <c r="AK155" s="21">
        <f>IF(UPPER(AD155)="SKORYGOWANY",0,IF(UPPER(E155)="SPRZEDAŻ",IF(L155&lt;&gt;"",L155,I155*M155),0))</f>
        <v/>
      </c>
      <c r="AL155" s="21">
        <f>AE155*Q155</f>
        <v/>
      </c>
      <c r="AM155">
        <f>IF(R155="","",IF(LOWER(R155)="brak","Brak",IF(OR(ISNUMBER(SEARCH("własn",LOWER(R155))),ISNUMBER(SEARCH("wlasn",LOWER(R155))),ISNUMBER(SEARCH("wojciechowski",LOWER(R155)))),"Własny","Zewnętrzny")))</f>
        <v/>
      </c>
      <c r="AN155" s="24">
        <f>IF(C155="","",YEAR(C155))</f>
        <v/>
      </c>
      <c r="AO155" s="24">
        <f>IF(C155="","",MONTH(C155))</f>
        <v/>
      </c>
      <c r="AP155">
        <f>IF(C155="","",UPPER(TEXT(C155,"mmmm")))</f>
        <v/>
      </c>
      <c r="AQ155">
        <f>IF(C155="","","Q"&amp;ROUNDUP(MONTH(C155)/3,0))</f>
        <v/>
      </c>
    </row>
    <row r="156">
      <c r="A156" s="19" t="n">
        <v>46226</v>
      </c>
      <c r="C156" s="19" t="n">
        <v>46226</v>
      </c>
      <c r="D156" t="inlineStr">
        <is>
          <t>Lander Agro</t>
        </is>
      </c>
      <c r="E156" t="inlineStr">
        <is>
          <t>ZAKUP</t>
        </is>
      </c>
      <c r="F156" t="inlineStr">
        <is>
          <t>PZ/21/D</t>
        </is>
      </c>
      <c r="G156" t="inlineStr">
        <is>
          <t>TAK</t>
        </is>
      </c>
      <c r="H156" t="inlineStr">
        <is>
          <t>KZR</t>
        </is>
      </c>
      <c r="I156" s="20" t="n">
        <v>28.01</v>
      </c>
      <c r="J156" t="inlineStr">
        <is>
          <t>M3</t>
        </is>
      </c>
      <c r="K156" s="21" t="n">
        <v>230</v>
      </c>
      <c r="L156" s="21" t="n">
        <v>6442.3</v>
      </c>
      <c r="M156" s="21" t="n">
        <v>0</v>
      </c>
      <c r="N156" t="inlineStr">
        <is>
          <t>Drewno opałowe z lasu</t>
        </is>
      </c>
      <c r="Q156" s="21" t="n">
        <v>0</v>
      </c>
      <c r="T156" s="22" t="n">
        <v>0</v>
      </c>
      <c r="U156" s="21" t="n">
        <v>0</v>
      </c>
      <c r="V156" s="21" t="n">
        <v>0</v>
      </c>
      <c r="W156" t="inlineStr">
        <is>
          <t>Magazyn Zabrze</t>
        </is>
      </c>
      <c r="Y156" t="inlineStr">
        <is>
          <t>Waga b/d</t>
        </is>
      </c>
      <c r="Z156" t="inlineStr">
        <is>
          <t>Roesner Mateusz</t>
        </is>
      </c>
      <c r="AA156" s="23" t="n">
        <v>46230.7396875</v>
      </c>
      <c r="AB156" t="inlineStr">
        <is>
          <t>OP-MIGR-00155</t>
        </is>
      </c>
      <c r="AD156" t="inlineStr">
        <is>
          <t>AKTYWNY</t>
        </is>
      </c>
      <c r="AE156" s="20">
        <f>IF(I156="",0,IF(ISNUMBER(SEARCH("MP",UPPER(J156))),I156,IF(ISNUMBER(SEARCH("TON",UPPER(J156))),I156/Przelicznik_MP_tona,IF(ISNUMBER(SEARCH("M3",UPPER(J156))),I156*Przelicznik_M3_MP,IF(ISNUMBER(SEARCH("GJ",UPPER(J156))),I156/Przelicznik_GJ_tona/Przelicznik_MP_tona,I156)))))</f>
        <v/>
      </c>
      <c r="AF156" s="20">
        <f>IF(I156="",0,IF(ISNUMBER(SEARCH("TON",UPPER(J156))),I156,IF(ISNUMBER(SEARCH("GJ",UPPER(J156))),I156/Przelicznik_GJ_tona,AE156*Przelicznik_MP_tona)))</f>
        <v/>
      </c>
      <c r="AG156" s="20">
        <f>AF156*Przelicznik_GJ_tona</f>
        <v/>
      </c>
      <c r="AH156" s="20">
        <f>IF(UPPER(AD156)="SKORYGOWANY",0,IF(OR(UPPER(E156)="TRANSPORT",UPPER(E156)="MM"),0,IF(UPPER(G156)&lt;&gt;"TAK",0,IF(OR(UPPER(E156)="ZAKUP",UPPER(E156)="PRODUKCJA"),AE156,IF(OR(UPPER(E156)="SPRZEDAŻ",UPPER(E156)="ZUŻYCIE"),-AE156,0)))))</f>
        <v/>
      </c>
      <c r="AI156" s="20">
        <f>IF(UPPER(AD156)="SKORYGOWANY",0,IF(OR(UPPER(E156)="TRANSPORT",UPPER(E156)="MM"),0,IF(UPPER(G156)&lt;&gt;"TAK",0,IF(OR(UPPER(E156)="ZAKUP",UPPER(E156)="PRODUKCJA"),AF156,IF(OR(UPPER(E156)="SPRZEDAŻ",UPPER(E156)="ZUŻYCIE"),-AF156,0)))))</f>
        <v/>
      </c>
      <c r="AJ156" s="21">
        <f>IF(UPPER(AD156)="SKORYGOWANY",0,IF(UPPER(E156)="ZAKUP",IF(L156&lt;&gt;"",L156,I156*K156),0))</f>
        <v/>
      </c>
      <c r="AK156" s="21">
        <f>IF(UPPER(AD156)="SKORYGOWANY",0,IF(UPPER(E156)="SPRZEDAŻ",IF(L156&lt;&gt;"",L156,I156*M156),0))</f>
        <v/>
      </c>
      <c r="AL156" s="21">
        <f>AE156*Q156</f>
        <v/>
      </c>
      <c r="AM156">
        <f>IF(R156="","",IF(LOWER(R156)="brak","Brak",IF(OR(ISNUMBER(SEARCH("własn",LOWER(R156))),ISNUMBER(SEARCH("wlasn",LOWER(R156))),ISNUMBER(SEARCH("wojciechowski",LOWER(R156)))),"Własny","Zewnętrzny")))</f>
        <v/>
      </c>
      <c r="AN156" s="24">
        <f>IF(C156="","",YEAR(C156))</f>
        <v/>
      </c>
      <c r="AO156" s="24">
        <f>IF(C156="","",MONTH(C156))</f>
        <v/>
      </c>
      <c r="AP156">
        <f>IF(C156="","",UPPER(TEXT(C156,"mmmm")))</f>
        <v/>
      </c>
      <c r="AQ156">
        <f>IF(C156="","","Q"&amp;ROUNDUP(MONTH(C156)/3,0))</f>
        <v/>
      </c>
    </row>
    <row r="157">
      <c r="A157" s="19" t="n">
        <v>46226</v>
      </c>
      <c r="C157" s="19" t="n">
        <v>46226</v>
      </c>
      <c r="D157" t="inlineStr">
        <is>
          <t>Lander Agro</t>
        </is>
      </c>
      <c r="E157" t="inlineStr">
        <is>
          <t>ZAKUP</t>
        </is>
      </c>
      <c r="F157" t="inlineStr">
        <is>
          <t>PZ/22/D</t>
        </is>
      </c>
      <c r="G157" t="inlineStr">
        <is>
          <t>TAK</t>
        </is>
      </c>
      <c r="H157" t="inlineStr">
        <is>
          <t>KZR</t>
        </is>
      </c>
      <c r="I157" s="20" t="n">
        <v>29.99</v>
      </c>
      <c r="J157" t="inlineStr">
        <is>
          <t>M3</t>
        </is>
      </c>
      <c r="K157" s="21" t="n">
        <v>230</v>
      </c>
      <c r="L157" s="21" t="n">
        <v>6897.7</v>
      </c>
      <c r="M157" s="21" t="n">
        <v>0</v>
      </c>
      <c r="N157" t="inlineStr">
        <is>
          <t>Drewno opałowe z lasu</t>
        </is>
      </c>
      <c r="Q157" s="21" t="n">
        <v>0</v>
      </c>
      <c r="T157" s="22" t="n">
        <v>0</v>
      </c>
      <c r="U157" s="21" t="n">
        <v>0</v>
      </c>
      <c r="V157" s="21" t="n">
        <v>0</v>
      </c>
      <c r="W157" t="inlineStr">
        <is>
          <t>Magazyn Zabrze</t>
        </is>
      </c>
      <c r="Y157" t="inlineStr">
        <is>
          <t>Waga b/d</t>
        </is>
      </c>
      <c r="Z157" t="inlineStr">
        <is>
          <t>Roesner Mateusz</t>
        </is>
      </c>
      <c r="AA157" s="23" t="n">
        <v>46230.74028935185</v>
      </c>
      <c r="AB157" t="inlineStr">
        <is>
          <t>OP-MIGR-00156</t>
        </is>
      </c>
      <c r="AD157" t="inlineStr">
        <is>
          <t>AKTYWNY</t>
        </is>
      </c>
      <c r="AE157" s="20">
        <f>IF(I157="",0,IF(ISNUMBER(SEARCH("MP",UPPER(J157))),I157,IF(ISNUMBER(SEARCH("TON",UPPER(J157))),I157/Przelicznik_MP_tona,IF(ISNUMBER(SEARCH("M3",UPPER(J157))),I157*Przelicznik_M3_MP,IF(ISNUMBER(SEARCH("GJ",UPPER(J157))),I157/Przelicznik_GJ_tona/Przelicznik_MP_tona,I157)))))</f>
        <v/>
      </c>
      <c r="AF157" s="20">
        <f>IF(I157="",0,IF(ISNUMBER(SEARCH("TON",UPPER(J157))),I157,IF(ISNUMBER(SEARCH("GJ",UPPER(J157))),I157/Przelicznik_GJ_tona,AE157*Przelicznik_MP_tona)))</f>
        <v/>
      </c>
      <c r="AG157" s="20">
        <f>AF157*Przelicznik_GJ_tona</f>
        <v/>
      </c>
      <c r="AH157" s="20">
        <f>IF(UPPER(AD157)="SKORYGOWANY",0,IF(OR(UPPER(E157)="TRANSPORT",UPPER(E157)="MM"),0,IF(UPPER(G157)&lt;&gt;"TAK",0,IF(OR(UPPER(E157)="ZAKUP",UPPER(E157)="PRODUKCJA"),AE157,IF(OR(UPPER(E157)="SPRZEDAŻ",UPPER(E157)="ZUŻYCIE"),-AE157,0)))))</f>
        <v/>
      </c>
      <c r="AI157" s="20">
        <f>IF(UPPER(AD157)="SKORYGOWANY",0,IF(OR(UPPER(E157)="TRANSPORT",UPPER(E157)="MM"),0,IF(UPPER(G157)&lt;&gt;"TAK",0,IF(OR(UPPER(E157)="ZAKUP",UPPER(E157)="PRODUKCJA"),AF157,IF(OR(UPPER(E157)="SPRZEDAŻ",UPPER(E157)="ZUŻYCIE"),-AF157,0)))))</f>
        <v/>
      </c>
      <c r="AJ157" s="21">
        <f>IF(UPPER(AD157)="SKORYGOWANY",0,IF(UPPER(E157)="ZAKUP",IF(L157&lt;&gt;"",L157,I157*K157),0))</f>
        <v/>
      </c>
      <c r="AK157" s="21">
        <f>IF(UPPER(AD157)="SKORYGOWANY",0,IF(UPPER(E157)="SPRZEDAŻ",IF(L157&lt;&gt;"",L157,I157*M157),0))</f>
        <v/>
      </c>
      <c r="AL157" s="21">
        <f>AE157*Q157</f>
        <v/>
      </c>
      <c r="AM157">
        <f>IF(R157="","",IF(LOWER(R157)="brak","Brak",IF(OR(ISNUMBER(SEARCH("własn",LOWER(R157))),ISNUMBER(SEARCH("wlasn",LOWER(R157))),ISNUMBER(SEARCH("wojciechowski",LOWER(R157)))),"Własny","Zewnętrzny")))</f>
        <v/>
      </c>
      <c r="AN157" s="24">
        <f>IF(C157="","",YEAR(C157))</f>
        <v/>
      </c>
      <c r="AO157" s="24">
        <f>IF(C157="","",MONTH(C157))</f>
        <v/>
      </c>
      <c r="AP157">
        <f>IF(C157="","",UPPER(TEXT(C157,"mmmm")))</f>
        <v/>
      </c>
      <c r="AQ157">
        <f>IF(C157="","","Q"&amp;ROUNDUP(MONTH(C157)/3,0))</f>
        <v/>
      </c>
    </row>
    <row r="158">
      <c r="A158" s="19" t="n">
        <v>46226</v>
      </c>
      <c r="C158" s="19" t="n">
        <v>46226</v>
      </c>
      <c r="D158" t="inlineStr">
        <is>
          <t>Fioskip Adam Skipioł</t>
        </is>
      </c>
      <c r="E158" t="inlineStr">
        <is>
          <t>ZAKUP</t>
        </is>
      </c>
      <c r="F158" t="inlineStr">
        <is>
          <t>PZ/30</t>
        </is>
      </c>
      <c r="G158" t="inlineStr">
        <is>
          <t>TAK</t>
        </is>
      </c>
      <c r="H158" t="inlineStr">
        <is>
          <t>KZR</t>
        </is>
      </c>
      <c r="I158" s="20" t="n">
        <v>80</v>
      </c>
      <c r="J158" t="inlineStr">
        <is>
          <t>MP</t>
        </is>
      </c>
      <c r="K158" s="21" t="n">
        <v>40</v>
      </c>
      <c r="L158" s="21" t="n">
        <v>3200</v>
      </c>
      <c r="M158" s="21" t="n">
        <v>0</v>
      </c>
      <c r="N158" t="inlineStr">
        <is>
          <t>Drewno przemysłowe z wycinek inwest.</t>
        </is>
      </c>
      <c r="O158" t="inlineStr">
        <is>
          <t>B</t>
        </is>
      </c>
      <c r="Q158" s="21" t="n">
        <v>0</v>
      </c>
      <c r="T158" s="22" t="n">
        <v>0</v>
      </c>
      <c r="U158" s="21" t="n">
        <v>0</v>
      </c>
      <c r="V158" s="21" t="n">
        <v>0</v>
      </c>
      <c r="W158" t="inlineStr">
        <is>
          <t>Magazyn Zabrze</t>
        </is>
      </c>
      <c r="Z158" t="inlineStr">
        <is>
          <t>Roesner Mateusz</t>
        </is>
      </c>
      <c r="AA158" s="23" t="n">
        <v>46233.62601851852</v>
      </c>
      <c r="AB158" t="inlineStr">
        <is>
          <t>OP-MIGR-00157</t>
        </is>
      </c>
      <c r="AD158" t="inlineStr">
        <is>
          <t>AKTYWNY</t>
        </is>
      </c>
      <c r="AE158" s="20">
        <f>IF(I158="",0,IF(ISNUMBER(SEARCH("MP",UPPER(J158))),I158,IF(ISNUMBER(SEARCH("TON",UPPER(J158))),I158/Przelicznik_MP_tona,IF(ISNUMBER(SEARCH("M3",UPPER(J158))),I158*Przelicznik_M3_MP,IF(ISNUMBER(SEARCH("GJ",UPPER(J158))),I158/Przelicznik_GJ_tona/Przelicznik_MP_tona,I158)))))</f>
        <v/>
      </c>
      <c r="AF158" s="20">
        <f>IF(I158="",0,IF(ISNUMBER(SEARCH("TON",UPPER(J158))),I158,IF(ISNUMBER(SEARCH("GJ",UPPER(J158))),I158/Przelicznik_GJ_tona,AE158*Przelicznik_MP_tona)))</f>
        <v/>
      </c>
      <c r="AG158" s="20">
        <f>AF158*Przelicznik_GJ_tona</f>
        <v/>
      </c>
      <c r="AH158" s="20">
        <f>IF(UPPER(AD158)="SKORYGOWANY",0,IF(OR(UPPER(E158)="TRANSPORT",UPPER(E158)="MM"),0,IF(UPPER(G158)&lt;&gt;"TAK",0,IF(OR(UPPER(E158)="ZAKUP",UPPER(E158)="PRODUKCJA"),AE158,IF(OR(UPPER(E158)="SPRZEDAŻ",UPPER(E158)="ZUŻYCIE"),-AE158,0)))))</f>
        <v/>
      </c>
      <c r="AI158" s="20">
        <f>IF(UPPER(AD158)="SKORYGOWANY",0,IF(OR(UPPER(E158)="TRANSPORT",UPPER(E158)="MM"),0,IF(UPPER(G158)&lt;&gt;"TAK",0,IF(OR(UPPER(E158)="ZAKUP",UPPER(E158)="PRODUKCJA"),AF158,IF(OR(UPPER(E158)="SPRZEDAŻ",UPPER(E158)="ZUŻYCIE"),-AF158,0)))))</f>
        <v/>
      </c>
      <c r="AJ158" s="21">
        <f>IF(UPPER(AD158)="SKORYGOWANY",0,IF(UPPER(E158)="ZAKUP",IF(L158&lt;&gt;"",L158,I158*K158),0))</f>
        <v/>
      </c>
      <c r="AK158" s="21">
        <f>IF(UPPER(AD158)="SKORYGOWANY",0,IF(UPPER(E158)="SPRZEDAŻ",IF(L158&lt;&gt;"",L158,I158*M158),0))</f>
        <v/>
      </c>
      <c r="AL158" s="21">
        <f>AE158*Q158</f>
        <v/>
      </c>
      <c r="AM158">
        <f>IF(R158="","",IF(LOWER(R158)="brak","Brak",IF(OR(ISNUMBER(SEARCH("własn",LOWER(R158))),ISNUMBER(SEARCH("wlasn",LOWER(R158))),ISNUMBER(SEARCH("wojciechowski",LOWER(R158)))),"Własny","Zewnętrzny")))</f>
        <v/>
      </c>
      <c r="AN158" s="24">
        <f>IF(C158="","",YEAR(C158))</f>
        <v/>
      </c>
      <c r="AO158" s="24">
        <f>IF(C158="","",MONTH(C158))</f>
        <v/>
      </c>
      <c r="AP158">
        <f>IF(C158="","",UPPER(TEXT(C158,"mmmm")))</f>
        <v/>
      </c>
      <c r="AQ158">
        <f>IF(C158="","","Q"&amp;ROUNDUP(MONTH(C158)/3,0))</f>
        <v/>
      </c>
    </row>
    <row r="159">
      <c r="A159" s="19" t="n">
        <v>46226</v>
      </c>
      <c r="C159" s="19" t="n">
        <v>46226</v>
      </c>
      <c r="D159" t="inlineStr">
        <is>
          <t>Magazyn Zabrze</t>
        </is>
      </c>
      <c r="E159" t="inlineStr">
        <is>
          <t>PRODUKCJA</t>
        </is>
      </c>
      <c r="F159" t="inlineStr">
        <is>
          <t>PZ/30</t>
        </is>
      </c>
      <c r="G159" t="inlineStr">
        <is>
          <t>TAK</t>
        </is>
      </c>
      <c r="H159" t="inlineStr">
        <is>
          <t>KZR</t>
        </is>
      </c>
      <c r="I159" s="20" t="n">
        <v>80</v>
      </c>
      <c r="J159" t="inlineStr">
        <is>
          <t>MP</t>
        </is>
      </c>
      <c r="K159" s="21" t="n">
        <v>0</v>
      </c>
      <c r="L159" s="21" t="n">
        <v>0</v>
      </c>
      <c r="M159" s="21" t="n">
        <v>0</v>
      </c>
      <c r="N159" t="inlineStr">
        <is>
          <t>Zrębka Produkcyjna Inwestycyjna</t>
        </is>
      </c>
      <c r="O159" t="inlineStr">
        <is>
          <t>B</t>
        </is>
      </c>
      <c r="P159" t="inlineStr">
        <is>
          <t>własne</t>
        </is>
      </c>
      <c r="Q159" s="21" t="n">
        <v>10</v>
      </c>
      <c r="T159" s="22" t="n">
        <v>0</v>
      </c>
      <c r="U159" s="21" t="n">
        <v>0</v>
      </c>
      <c r="V159" s="21" t="n">
        <v>0</v>
      </c>
      <c r="W159" t="inlineStr">
        <is>
          <t>Magazyn Zabrze</t>
        </is>
      </c>
      <c r="Z159" t="inlineStr">
        <is>
          <t>Roesner Mateusz</t>
        </is>
      </c>
      <c r="AA159" s="23" t="n">
        <v>46233.62701388889</v>
      </c>
      <c r="AB159" t="inlineStr">
        <is>
          <t>OP-MIGR-00158</t>
        </is>
      </c>
      <c r="AD159" t="inlineStr">
        <is>
          <t>AKTYWNY</t>
        </is>
      </c>
      <c r="AE159" s="20">
        <f>IF(I159="",0,IF(ISNUMBER(SEARCH("MP",UPPER(J159))),I159,IF(ISNUMBER(SEARCH("TON",UPPER(J159))),I159/Przelicznik_MP_tona,IF(ISNUMBER(SEARCH("M3",UPPER(J159))),I159*Przelicznik_M3_MP,IF(ISNUMBER(SEARCH("GJ",UPPER(J159))),I159/Przelicznik_GJ_tona/Przelicznik_MP_tona,I159)))))</f>
        <v/>
      </c>
      <c r="AF159" s="20">
        <f>IF(I159="",0,IF(ISNUMBER(SEARCH("TON",UPPER(J159))),I159,IF(ISNUMBER(SEARCH("GJ",UPPER(J159))),I159/Przelicznik_GJ_tona,AE159*Przelicznik_MP_tona)))</f>
        <v/>
      </c>
      <c r="AG159" s="20">
        <f>AF159*Przelicznik_GJ_tona</f>
        <v/>
      </c>
      <c r="AH159" s="20">
        <f>IF(UPPER(AD159)="SKORYGOWANY",0,IF(OR(UPPER(E159)="TRANSPORT",UPPER(E159)="MM"),0,IF(UPPER(G159)&lt;&gt;"TAK",0,IF(OR(UPPER(E159)="ZAKUP",UPPER(E159)="PRODUKCJA"),AE159,IF(OR(UPPER(E159)="SPRZEDAŻ",UPPER(E159)="ZUŻYCIE"),-AE159,0)))))</f>
        <v/>
      </c>
      <c r="AI159" s="20">
        <f>IF(UPPER(AD159)="SKORYGOWANY",0,IF(OR(UPPER(E159)="TRANSPORT",UPPER(E159)="MM"),0,IF(UPPER(G159)&lt;&gt;"TAK",0,IF(OR(UPPER(E159)="ZAKUP",UPPER(E159)="PRODUKCJA"),AF159,IF(OR(UPPER(E159)="SPRZEDAŻ",UPPER(E159)="ZUŻYCIE"),-AF159,0)))))</f>
        <v/>
      </c>
      <c r="AJ159" s="21">
        <f>IF(UPPER(AD159)="SKORYGOWANY",0,IF(UPPER(E159)="ZAKUP",IF(L159&lt;&gt;"",L159,I159*K159),0))</f>
        <v/>
      </c>
      <c r="AK159" s="21">
        <f>IF(UPPER(AD159)="SKORYGOWANY",0,IF(UPPER(E159)="SPRZEDAŻ",IF(L159&lt;&gt;"",L159,I159*M159),0))</f>
        <v/>
      </c>
      <c r="AL159" s="21">
        <f>AE159*Q159</f>
        <v/>
      </c>
      <c r="AM159">
        <f>IF(R159="","",IF(LOWER(R159)="brak","Brak",IF(OR(ISNUMBER(SEARCH("własn",LOWER(R159))),ISNUMBER(SEARCH("wlasn",LOWER(R159))),ISNUMBER(SEARCH("wojciechowski",LOWER(R159)))),"Własny","Zewnętrzny")))</f>
        <v/>
      </c>
      <c r="AN159" s="24">
        <f>IF(C159="","",YEAR(C159))</f>
        <v/>
      </c>
      <c r="AO159" s="24">
        <f>IF(C159="","",MONTH(C159))</f>
        <v/>
      </c>
      <c r="AP159">
        <f>IF(C159="","",UPPER(TEXT(C159,"mmmm")))</f>
        <v/>
      </c>
      <c r="AQ159">
        <f>IF(C159="","","Q"&amp;ROUNDUP(MONTH(C159)/3,0))</f>
        <v/>
      </c>
    </row>
    <row r="160">
      <c r="A160" s="19" t="n">
        <v>46226</v>
      </c>
      <c r="C160" s="19" t="n">
        <v>46226</v>
      </c>
      <c r="D160" t="inlineStr">
        <is>
          <t>Magazyn Zabrze</t>
        </is>
      </c>
      <c r="E160" t="inlineStr">
        <is>
          <t>ZUŻYCIE</t>
        </is>
      </c>
      <c r="F160" t="inlineStr">
        <is>
          <t>PZ/30</t>
        </is>
      </c>
      <c r="G160" t="inlineStr">
        <is>
          <t>TAK</t>
        </is>
      </c>
      <c r="H160" t="inlineStr">
        <is>
          <t>KZR</t>
        </is>
      </c>
      <c r="I160" s="20" t="n">
        <v>80</v>
      </c>
      <c r="J160" t="inlineStr">
        <is>
          <t>MP</t>
        </is>
      </c>
      <c r="K160" s="21" t="n">
        <v>0</v>
      </c>
      <c r="L160" s="21" t="n">
        <v>0</v>
      </c>
      <c r="M160" s="21" t="n">
        <v>0</v>
      </c>
      <c r="N160" t="inlineStr">
        <is>
          <t>Zrębka Produkcyjna Inwestycyjna</t>
        </is>
      </c>
      <c r="O160" t="inlineStr">
        <is>
          <t>B</t>
        </is>
      </c>
      <c r="P160" t="inlineStr">
        <is>
          <t>własne</t>
        </is>
      </c>
      <c r="Q160" s="21" t="n">
        <v>10</v>
      </c>
      <c r="T160" s="22" t="n">
        <v>0</v>
      </c>
      <c r="U160" s="21" t="n">
        <v>0</v>
      </c>
      <c r="V160" s="21" t="n">
        <v>0</v>
      </c>
      <c r="W160" t="inlineStr">
        <is>
          <t>Magazyn Zabrze</t>
        </is>
      </c>
      <c r="Y160" t="inlineStr">
        <is>
          <t>Automatyczne zużycie surowca do produkcji</t>
        </is>
      </c>
      <c r="AA160" s="23" t="n">
        <v>46233.62701388889</v>
      </c>
      <c r="AB160" t="inlineStr">
        <is>
          <t>OP-MIGR-00159</t>
        </is>
      </c>
      <c r="AD160" t="inlineStr">
        <is>
          <t>AKTYWNY</t>
        </is>
      </c>
      <c r="AE160" s="20">
        <f>IF(I160="",0,IF(ISNUMBER(SEARCH("MP",UPPER(J160))),I160,IF(ISNUMBER(SEARCH("TON",UPPER(J160))),I160/Przelicznik_MP_tona,IF(ISNUMBER(SEARCH("M3",UPPER(J160))),I160*Przelicznik_M3_MP,IF(ISNUMBER(SEARCH("GJ",UPPER(J160))),I160/Przelicznik_GJ_tona/Przelicznik_MP_tona,I160)))))</f>
        <v/>
      </c>
      <c r="AF160" s="20">
        <f>IF(I160="",0,IF(ISNUMBER(SEARCH("TON",UPPER(J160))),I160,IF(ISNUMBER(SEARCH("GJ",UPPER(J160))),I160/Przelicznik_GJ_tona,AE160*Przelicznik_MP_tona)))</f>
        <v/>
      </c>
      <c r="AG160" s="20">
        <f>AF160*Przelicznik_GJ_tona</f>
        <v/>
      </c>
      <c r="AH160" s="20">
        <f>IF(UPPER(AD160)="SKORYGOWANY",0,IF(OR(UPPER(E160)="TRANSPORT",UPPER(E160)="MM"),0,IF(UPPER(G160)&lt;&gt;"TAK",0,IF(OR(UPPER(E160)="ZAKUP",UPPER(E160)="PRODUKCJA"),AE160,IF(OR(UPPER(E160)="SPRZEDAŻ",UPPER(E160)="ZUŻYCIE"),-AE160,0)))))</f>
        <v/>
      </c>
      <c r="AI160" s="20">
        <f>IF(UPPER(AD160)="SKORYGOWANY",0,IF(OR(UPPER(E160)="TRANSPORT",UPPER(E160)="MM"),0,IF(UPPER(G160)&lt;&gt;"TAK",0,IF(OR(UPPER(E160)="ZAKUP",UPPER(E160)="PRODUKCJA"),AF160,IF(OR(UPPER(E160)="SPRZEDAŻ",UPPER(E160)="ZUŻYCIE"),-AF160,0)))))</f>
        <v/>
      </c>
      <c r="AJ160" s="21">
        <f>IF(UPPER(AD160)="SKORYGOWANY",0,IF(UPPER(E160)="ZAKUP",IF(L160&lt;&gt;"",L160,I160*K160),0))</f>
        <v/>
      </c>
      <c r="AK160" s="21">
        <f>IF(UPPER(AD160)="SKORYGOWANY",0,IF(UPPER(E160)="SPRZEDAŻ",IF(L160&lt;&gt;"",L160,I160*M160),0))</f>
        <v/>
      </c>
      <c r="AL160" s="21">
        <f>AE160*Q160</f>
        <v/>
      </c>
      <c r="AM160">
        <f>IF(R160="","",IF(LOWER(R160)="brak","Brak",IF(OR(ISNUMBER(SEARCH("własn",LOWER(R160))),ISNUMBER(SEARCH("wlasn",LOWER(R160))),ISNUMBER(SEARCH("wojciechowski",LOWER(R160)))),"Własny","Zewnętrzny")))</f>
        <v/>
      </c>
      <c r="AN160" s="24">
        <f>IF(C160="","",YEAR(C160))</f>
        <v/>
      </c>
      <c r="AO160" s="24">
        <f>IF(C160="","",MONTH(C160))</f>
        <v/>
      </c>
      <c r="AP160">
        <f>IF(C160="","",UPPER(TEXT(C160,"mmmm")))</f>
        <v/>
      </c>
      <c r="AQ160">
        <f>IF(C160="","","Q"&amp;ROUNDUP(MONTH(C160)/3,0))</f>
        <v/>
      </c>
    </row>
    <row r="161">
      <c r="A161" s="19" t="n">
        <v>46226</v>
      </c>
      <c r="B161" t="inlineStr">
        <is>
          <t>Pszczyna</t>
        </is>
      </c>
      <c r="C161" s="19" t="n">
        <v>46226</v>
      </c>
      <c r="D161" t="inlineStr">
        <is>
          <t>Magazyn Zabrze</t>
        </is>
      </c>
      <c r="E161" t="inlineStr">
        <is>
          <t>ZAKUP</t>
        </is>
      </c>
      <c r="F161" t="inlineStr">
        <is>
          <t>PZ/30</t>
        </is>
      </c>
      <c r="G161" t="inlineStr">
        <is>
          <t>TAK</t>
        </is>
      </c>
      <c r="H161" t="inlineStr">
        <is>
          <t>KZR</t>
        </is>
      </c>
      <c r="I161" s="20" t="n">
        <v>80</v>
      </c>
      <c r="J161" t="inlineStr">
        <is>
          <t>MP</t>
        </is>
      </c>
      <c r="K161" s="21" t="n">
        <v>0</v>
      </c>
      <c r="L161" s="21" t="n">
        <v>0</v>
      </c>
      <c r="M161" s="21" t="n">
        <v>0</v>
      </c>
      <c r="N161" t="inlineStr">
        <is>
          <t>Zrębka Produkcyjna Inwestycyjna</t>
        </is>
      </c>
      <c r="O161" t="inlineStr">
        <is>
          <t>B</t>
        </is>
      </c>
      <c r="Q161" s="21" t="n">
        <v>0</v>
      </c>
      <c r="R161" t="inlineStr">
        <is>
          <t>własny (Kretek)</t>
        </is>
      </c>
      <c r="S161" t="inlineStr">
        <is>
          <t>SK 7J885</t>
        </is>
      </c>
      <c r="T161" s="22" t="n">
        <v>140</v>
      </c>
      <c r="U161" s="21" t="n">
        <v>5</v>
      </c>
      <c r="V161" s="21" t="n">
        <v>700</v>
      </c>
      <c r="W161" t="inlineStr">
        <is>
          <t>Magazyn Zabrze</t>
        </is>
      </c>
      <c r="Z161" t="inlineStr">
        <is>
          <t>Roesner Mateusz</t>
        </is>
      </c>
      <c r="AA161" s="23" t="n">
        <v>46233.62763888889</v>
      </c>
      <c r="AB161" t="inlineStr">
        <is>
          <t>OP-MIGR-00160</t>
        </is>
      </c>
      <c r="AD161" t="inlineStr">
        <is>
          <t>AKTYWNY</t>
        </is>
      </c>
      <c r="AE161" s="20">
        <f>IF(I161="",0,IF(ISNUMBER(SEARCH("MP",UPPER(J161))),I161,IF(ISNUMBER(SEARCH("TON",UPPER(J161))),I161/Przelicznik_MP_tona,IF(ISNUMBER(SEARCH("M3",UPPER(J161))),I161*Przelicznik_M3_MP,IF(ISNUMBER(SEARCH("GJ",UPPER(J161))),I161/Przelicznik_GJ_tona/Przelicznik_MP_tona,I161)))))</f>
        <v/>
      </c>
      <c r="AF161" s="20">
        <f>IF(I161="",0,IF(ISNUMBER(SEARCH("TON",UPPER(J161))),I161,IF(ISNUMBER(SEARCH("GJ",UPPER(J161))),I161/Przelicznik_GJ_tona,AE161*Przelicznik_MP_tona)))</f>
        <v/>
      </c>
      <c r="AG161" s="20">
        <f>AF161*Przelicznik_GJ_tona</f>
        <v/>
      </c>
      <c r="AH161" s="20">
        <f>IF(UPPER(AD161)="SKORYGOWANY",0,IF(OR(UPPER(E161)="TRANSPORT",UPPER(E161)="MM"),0,IF(UPPER(G161)&lt;&gt;"TAK",0,IF(OR(UPPER(E161)="ZAKUP",UPPER(E161)="PRODUKCJA"),AE161,IF(OR(UPPER(E161)="SPRZEDAŻ",UPPER(E161)="ZUŻYCIE"),-AE161,0)))))</f>
        <v/>
      </c>
      <c r="AI161" s="20">
        <f>IF(UPPER(AD161)="SKORYGOWANY",0,IF(OR(UPPER(E161)="TRANSPORT",UPPER(E161)="MM"),0,IF(UPPER(G161)&lt;&gt;"TAK",0,IF(OR(UPPER(E161)="ZAKUP",UPPER(E161)="PRODUKCJA"),AF161,IF(OR(UPPER(E161)="SPRZEDAŻ",UPPER(E161)="ZUŻYCIE"),-AF161,0)))))</f>
        <v/>
      </c>
      <c r="AJ161" s="21">
        <f>IF(UPPER(AD161)="SKORYGOWANY",0,IF(UPPER(E161)="ZAKUP",IF(L161&lt;&gt;"",L161,I161*K161),0))</f>
        <v/>
      </c>
      <c r="AK161" s="21">
        <f>IF(UPPER(AD161)="SKORYGOWANY",0,IF(UPPER(E161)="SPRZEDAŻ",IF(L161&lt;&gt;"",L161,I161*M161),0))</f>
        <v/>
      </c>
      <c r="AL161" s="21">
        <f>AE161*Q161</f>
        <v/>
      </c>
      <c r="AM161">
        <f>IF(R161="","",IF(LOWER(R161)="brak","Brak",IF(OR(ISNUMBER(SEARCH("własn",LOWER(R161))),ISNUMBER(SEARCH("wlasn",LOWER(R161))),ISNUMBER(SEARCH("wojciechowski",LOWER(R161)))),"Własny","Zewnętrzny")))</f>
        <v/>
      </c>
      <c r="AN161" s="24">
        <f>IF(C161="","",YEAR(C161))</f>
        <v/>
      </c>
      <c r="AO161" s="24">
        <f>IF(C161="","",MONTH(C161))</f>
        <v/>
      </c>
      <c r="AP161">
        <f>IF(C161="","",UPPER(TEXT(C161,"mmmm")))</f>
        <v/>
      </c>
      <c r="AQ161">
        <f>IF(C161="","","Q"&amp;ROUNDUP(MONTH(C161)/3,0))</f>
        <v/>
      </c>
    </row>
    <row r="162">
      <c r="A162" s="19" t="n">
        <v>46227</v>
      </c>
      <c r="C162" s="19" t="n">
        <v>46227</v>
      </c>
      <c r="D162" t="inlineStr">
        <is>
          <t>Lander Agro</t>
        </is>
      </c>
      <c r="E162" t="inlineStr">
        <is>
          <t>ZAKUP</t>
        </is>
      </c>
      <c r="F162" t="inlineStr">
        <is>
          <t>PZ/23/D</t>
        </is>
      </c>
      <c r="G162" t="inlineStr">
        <is>
          <t>TAK</t>
        </is>
      </c>
      <c r="H162" t="inlineStr">
        <is>
          <t>KZR</t>
        </is>
      </c>
      <c r="I162" s="20" t="n">
        <v>15.09</v>
      </c>
      <c r="J162" t="inlineStr">
        <is>
          <t>M3</t>
        </is>
      </c>
      <c r="K162" s="21" t="n">
        <v>230</v>
      </c>
      <c r="L162" s="21" t="n">
        <v>3470.7</v>
      </c>
      <c r="M162" s="21" t="n">
        <v>0</v>
      </c>
      <c r="N162" t="inlineStr">
        <is>
          <t>Drewno opałowe z lasu</t>
        </is>
      </c>
      <c r="Q162" s="21" t="n">
        <v>0</v>
      </c>
      <c r="T162" s="22" t="n">
        <v>0</v>
      </c>
      <c r="U162" s="21" t="n">
        <v>0</v>
      </c>
      <c r="V162" s="21" t="n">
        <v>0</v>
      </c>
      <c r="W162" t="inlineStr">
        <is>
          <t>Magazyn Zabrze</t>
        </is>
      </c>
      <c r="Y162" t="inlineStr">
        <is>
          <t>Waga b/d</t>
        </is>
      </c>
      <c r="Z162" t="inlineStr">
        <is>
          <t>Roesner Mateusz</t>
        </is>
      </c>
      <c r="AA162" s="23" t="n">
        <v>46229.84216435185</v>
      </c>
      <c r="AB162" t="inlineStr">
        <is>
          <t>OP-MIGR-00161</t>
        </is>
      </c>
      <c r="AD162" t="inlineStr">
        <is>
          <t>AKTYWNY</t>
        </is>
      </c>
      <c r="AE162" s="20">
        <f>IF(I162="",0,IF(ISNUMBER(SEARCH("MP",UPPER(J162))),I162,IF(ISNUMBER(SEARCH("TON",UPPER(J162))),I162/Przelicznik_MP_tona,IF(ISNUMBER(SEARCH("M3",UPPER(J162))),I162*Przelicznik_M3_MP,IF(ISNUMBER(SEARCH("GJ",UPPER(J162))),I162/Przelicznik_GJ_tona/Przelicznik_MP_tona,I162)))))</f>
        <v/>
      </c>
      <c r="AF162" s="20">
        <f>IF(I162="",0,IF(ISNUMBER(SEARCH("TON",UPPER(J162))),I162,IF(ISNUMBER(SEARCH("GJ",UPPER(J162))),I162/Przelicznik_GJ_tona,AE162*Przelicznik_MP_tona)))</f>
        <v/>
      </c>
      <c r="AG162" s="20">
        <f>AF162*Przelicznik_GJ_tona</f>
        <v/>
      </c>
      <c r="AH162" s="20">
        <f>IF(UPPER(AD162)="SKORYGOWANY",0,IF(OR(UPPER(E162)="TRANSPORT",UPPER(E162)="MM"),0,IF(UPPER(G162)&lt;&gt;"TAK",0,IF(OR(UPPER(E162)="ZAKUP",UPPER(E162)="PRODUKCJA"),AE162,IF(OR(UPPER(E162)="SPRZEDAŻ",UPPER(E162)="ZUŻYCIE"),-AE162,0)))))</f>
        <v/>
      </c>
      <c r="AI162" s="20">
        <f>IF(UPPER(AD162)="SKORYGOWANY",0,IF(OR(UPPER(E162)="TRANSPORT",UPPER(E162)="MM"),0,IF(UPPER(G162)&lt;&gt;"TAK",0,IF(OR(UPPER(E162)="ZAKUP",UPPER(E162)="PRODUKCJA"),AF162,IF(OR(UPPER(E162)="SPRZEDAŻ",UPPER(E162)="ZUŻYCIE"),-AF162,0)))))</f>
        <v/>
      </c>
      <c r="AJ162" s="21">
        <f>IF(UPPER(AD162)="SKORYGOWANY",0,IF(UPPER(E162)="ZAKUP",IF(L162&lt;&gt;"",L162,I162*K162),0))</f>
        <v/>
      </c>
      <c r="AK162" s="21">
        <f>IF(UPPER(AD162)="SKORYGOWANY",0,IF(UPPER(E162)="SPRZEDAŻ",IF(L162&lt;&gt;"",L162,I162*M162),0))</f>
        <v/>
      </c>
      <c r="AL162" s="21">
        <f>AE162*Q162</f>
        <v/>
      </c>
      <c r="AM162">
        <f>IF(R162="","",IF(LOWER(R162)="brak","Brak",IF(OR(ISNUMBER(SEARCH("własn",LOWER(R162))),ISNUMBER(SEARCH("wlasn",LOWER(R162))),ISNUMBER(SEARCH("wojciechowski",LOWER(R162)))),"Własny","Zewnętrzny")))</f>
        <v/>
      </c>
      <c r="AN162" s="24">
        <f>IF(C162="","",YEAR(C162))</f>
        <v/>
      </c>
      <c r="AO162" s="24">
        <f>IF(C162="","",MONTH(C162))</f>
        <v/>
      </c>
      <c r="AP162">
        <f>IF(C162="","",UPPER(TEXT(C162,"mmmm")))</f>
        <v/>
      </c>
      <c r="AQ162">
        <f>IF(C162="","","Q"&amp;ROUNDUP(MONTH(C162)/3,0))</f>
        <v/>
      </c>
    </row>
    <row r="163">
      <c r="A163" s="19" t="n">
        <v>46227</v>
      </c>
      <c r="C163" s="19" t="n">
        <v>46227</v>
      </c>
      <c r="D163" t="inlineStr">
        <is>
          <t>Walber</t>
        </is>
      </c>
      <c r="E163" t="inlineStr">
        <is>
          <t>ZAKUP</t>
        </is>
      </c>
      <c r="F163" t="inlineStr">
        <is>
          <t>PZ/31</t>
        </is>
      </c>
      <c r="G163" t="inlineStr">
        <is>
          <t>TAK</t>
        </is>
      </c>
      <c r="H163" t="inlineStr">
        <is>
          <t>KZR</t>
        </is>
      </c>
      <c r="I163" s="20" t="n">
        <v>24.36</v>
      </c>
      <c r="J163" t="inlineStr">
        <is>
          <t>TON</t>
        </is>
      </c>
      <c r="K163" s="21" t="n">
        <v>275</v>
      </c>
      <c r="L163" s="21" t="n">
        <v>6699</v>
      </c>
      <c r="M163" s="21" t="n">
        <v>0</v>
      </c>
      <c r="N163" t="inlineStr">
        <is>
          <t>Zrębka towar</t>
        </is>
      </c>
      <c r="O163" t="inlineStr">
        <is>
          <t>B</t>
        </is>
      </c>
      <c r="Q163" s="21" t="n">
        <v>0</v>
      </c>
      <c r="T163" s="22" t="n">
        <v>0</v>
      </c>
      <c r="U163" s="21" t="n">
        <v>0</v>
      </c>
      <c r="V163" s="21" t="n">
        <v>0</v>
      </c>
      <c r="W163" t="inlineStr">
        <is>
          <t>Magazyn Zabrze</t>
        </is>
      </c>
      <c r="Y163" t="inlineStr">
        <is>
          <t>75 mp</t>
        </is>
      </c>
      <c r="Z163" t="inlineStr">
        <is>
          <t>Roesner Mateusz</t>
        </is>
      </c>
      <c r="AA163" s="23" t="n">
        <v>46229.84535879629</v>
      </c>
      <c r="AB163" t="inlineStr">
        <is>
          <t>OP-MIGR-00162</t>
        </is>
      </c>
      <c r="AD163" t="inlineStr">
        <is>
          <t>AKTYWNY</t>
        </is>
      </c>
      <c r="AE163" s="20">
        <f>IF(I163="",0,IF(ISNUMBER(SEARCH("MP",UPPER(J163))),I163,IF(ISNUMBER(SEARCH("TON",UPPER(J163))),I163/Przelicznik_MP_tona,IF(ISNUMBER(SEARCH("M3",UPPER(J163))),I163*Przelicznik_M3_MP,IF(ISNUMBER(SEARCH("GJ",UPPER(J163))),I163/Przelicznik_GJ_tona/Przelicznik_MP_tona,I163)))))</f>
        <v/>
      </c>
      <c r="AF163" s="20">
        <f>IF(I163="",0,IF(ISNUMBER(SEARCH("TON",UPPER(J163))),I163,IF(ISNUMBER(SEARCH("GJ",UPPER(J163))),I163/Przelicznik_GJ_tona,AE163*Przelicznik_MP_tona)))</f>
        <v/>
      </c>
      <c r="AG163" s="20">
        <f>AF163*Przelicznik_GJ_tona</f>
        <v/>
      </c>
      <c r="AH163" s="20">
        <f>IF(UPPER(AD163)="SKORYGOWANY",0,IF(OR(UPPER(E163)="TRANSPORT",UPPER(E163)="MM"),0,IF(UPPER(G163)&lt;&gt;"TAK",0,IF(OR(UPPER(E163)="ZAKUP",UPPER(E163)="PRODUKCJA"),AE163,IF(OR(UPPER(E163)="SPRZEDAŻ",UPPER(E163)="ZUŻYCIE"),-AE163,0)))))</f>
        <v/>
      </c>
      <c r="AI163" s="20">
        <f>IF(UPPER(AD163)="SKORYGOWANY",0,IF(OR(UPPER(E163)="TRANSPORT",UPPER(E163)="MM"),0,IF(UPPER(G163)&lt;&gt;"TAK",0,IF(OR(UPPER(E163)="ZAKUP",UPPER(E163)="PRODUKCJA"),AF163,IF(OR(UPPER(E163)="SPRZEDAŻ",UPPER(E163)="ZUŻYCIE"),-AF163,0)))))</f>
        <v/>
      </c>
      <c r="AJ163" s="21">
        <f>IF(UPPER(AD163)="SKORYGOWANY",0,IF(UPPER(E163)="ZAKUP",IF(L163&lt;&gt;"",L163,I163*K163),0))</f>
        <v/>
      </c>
      <c r="AK163" s="21">
        <f>IF(UPPER(AD163)="SKORYGOWANY",0,IF(UPPER(E163)="SPRZEDAŻ",IF(L163&lt;&gt;"",L163,I163*M163),0))</f>
        <v/>
      </c>
      <c r="AL163" s="21">
        <f>AE163*Q163</f>
        <v/>
      </c>
      <c r="AM163">
        <f>IF(R163="","",IF(LOWER(R163)="brak","Brak",IF(OR(ISNUMBER(SEARCH("własn",LOWER(R163))),ISNUMBER(SEARCH("wlasn",LOWER(R163))),ISNUMBER(SEARCH("wojciechowski",LOWER(R163)))),"Własny","Zewnętrzny")))</f>
        <v/>
      </c>
      <c r="AN163" s="24">
        <f>IF(C163="","",YEAR(C163))</f>
        <v/>
      </c>
      <c r="AO163" s="24">
        <f>IF(C163="","",MONTH(C163))</f>
        <v/>
      </c>
      <c r="AP163">
        <f>IF(C163="","",UPPER(TEXT(C163,"mmmm")))</f>
        <v/>
      </c>
      <c r="AQ163">
        <f>IF(C163="","","Q"&amp;ROUNDUP(MONTH(C163)/3,0))</f>
        <v/>
      </c>
    </row>
    <row r="164">
      <c r="A164" s="19" t="n">
        <v>46227</v>
      </c>
      <c r="C164" s="19" t="n">
        <v>46227</v>
      </c>
      <c r="D164" t="inlineStr">
        <is>
          <t>Walber</t>
        </is>
      </c>
      <c r="E164" t="inlineStr">
        <is>
          <t>ZAKUP</t>
        </is>
      </c>
      <c r="F164" t="inlineStr">
        <is>
          <t>PZ/32</t>
        </is>
      </c>
      <c r="G164" t="inlineStr">
        <is>
          <t>TAK</t>
        </is>
      </c>
      <c r="H164" t="inlineStr">
        <is>
          <t>KZR</t>
        </is>
      </c>
      <c r="I164" s="20" t="n">
        <v>23.18</v>
      </c>
      <c r="J164" t="inlineStr">
        <is>
          <t>TON</t>
        </is>
      </c>
      <c r="K164" s="21" t="n">
        <v>275</v>
      </c>
      <c r="L164" s="21" t="n">
        <v>6374.5</v>
      </c>
      <c r="M164" s="21" t="n">
        <v>0</v>
      </c>
      <c r="N164" t="inlineStr">
        <is>
          <t>Zrębka towar</t>
        </is>
      </c>
      <c r="O164" t="inlineStr">
        <is>
          <t>B</t>
        </is>
      </c>
      <c r="Q164" s="21" t="n">
        <v>0</v>
      </c>
      <c r="T164" s="22" t="n">
        <v>0</v>
      </c>
      <c r="U164" s="21" t="n">
        <v>0</v>
      </c>
      <c r="V164" s="21" t="n">
        <v>0</v>
      </c>
      <c r="W164" t="inlineStr">
        <is>
          <t>Magazyn Zabrze</t>
        </is>
      </c>
      <c r="Y164" t="inlineStr">
        <is>
          <t>82 mp</t>
        </is>
      </c>
      <c r="Z164" t="inlineStr">
        <is>
          <t>Roesner Mateusz</t>
        </is>
      </c>
      <c r="AA164" s="23" t="n">
        <v>46229.84650462963</v>
      </c>
      <c r="AB164" t="inlineStr">
        <is>
          <t>OP-MIGR-00163</t>
        </is>
      </c>
      <c r="AD164" t="inlineStr">
        <is>
          <t>AKTYWNY</t>
        </is>
      </c>
      <c r="AE164" s="20">
        <f>IF(I164="",0,IF(ISNUMBER(SEARCH("MP",UPPER(J164))),I164,IF(ISNUMBER(SEARCH("TON",UPPER(J164))),I164/Przelicznik_MP_tona,IF(ISNUMBER(SEARCH("M3",UPPER(J164))),I164*Przelicznik_M3_MP,IF(ISNUMBER(SEARCH("GJ",UPPER(J164))),I164/Przelicznik_GJ_tona/Przelicznik_MP_tona,I164)))))</f>
        <v/>
      </c>
      <c r="AF164" s="20">
        <f>IF(I164="",0,IF(ISNUMBER(SEARCH("TON",UPPER(J164))),I164,IF(ISNUMBER(SEARCH("GJ",UPPER(J164))),I164/Przelicznik_GJ_tona,AE164*Przelicznik_MP_tona)))</f>
        <v/>
      </c>
      <c r="AG164" s="20">
        <f>AF164*Przelicznik_GJ_tona</f>
        <v/>
      </c>
      <c r="AH164" s="20">
        <f>IF(UPPER(AD164)="SKORYGOWANY",0,IF(OR(UPPER(E164)="TRANSPORT",UPPER(E164)="MM"),0,IF(UPPER(G164)&lt;&gt;"TAK",0,IF(OR(UPPER(E164)="ZAKUP",UPPER(E164)="PRODUKCJA"),AE164,IF(OR(UPPER(E164)="SPRZEDAŻ",UPPER(E164)="ZUŻYCIE"),-AE164,0)))))</f>
        <v/>
      </c>
      <c r="AI164" s="20">
        <f>IF(UPPER(AD164)="SKORYGOWANY",0,IF(OR(UPPER(E164)="TRANSPORT",UPPER(E164)="MM"),0,IF(UPPER(G164)&lt;&gt;"TAK",0,IF(OR(UPPER(E164)="ZAKUP",UPPER(E164)="PRODUKCJA"),AF164,IF(OR(UPPER(E164)="SPRZEDAŻ",UPPER(E164)="ZUŻYCIE"),-AF164,0)))))</f>
        <v/>
      </c>
      <c r="AJ164" s="21">
        <f>IF(UPPER(AD164)="SKORYGOWANY",0,IF(UPPER(E164)="ZAKUP",IF(L164&lt;&gt;"",L164,I164*K164),0))</f>
        <v/>
      </c>
      <c r="AK164" s="21">
        <f>IF(UPPER(AD164)="SKORYGOWANY",0,IF(UPPER(E164)="SPRZEDAŻ",IF(L164&lt;&gt;"",L164,I164*M164),0))</f>
        <v/>
      </c>
      <c r="AL164" s="21">
        <f>AE164*Q164</f>
        <v/>
      </c>
      <c r="AM164">
        <f>IF(R164="","",IF(LOWER(R164)="brak","Brak",IF(OR(ISNUMBER(SEARCH("własn",LOWER(R164))),ISNUMBER(SEARCH("wlasn",LOWER(R164))),ISNUMBER(SEARCH("wojciechowski",LOWER(R164)))),"Własny","Zewnętrzny")))</f>
        <v/>
      </c>
      <c r="AN164" s="24">
        <f>IF(C164="","",YEAR(C164))</f>
        <v/>
      </c>
      <c r="AO164" s="24">
        <f>IF(C164="","",MONTH(C164))</f>
        <v/>
      </c>
      <c r="AP164">
        <f>IF(C164="","",UPPER(TEXT(C164,"mmmm")))</f>
        <v/>
      </c>
      <c r="AQ164">
        <f>IF(C164="","","Q"&amp;ROUNDUP(MONTH(C164)/3,0))</f>
        <v/>
      </c>
    </row>
    <row r="165">
      <c r="A165" s="19" t="n">
        <v>46227</v>
      </c>
      <c r="C165" s="19" t="n">
        <v>46227</v>
      </c>
      <c r="D165" t="inlineStr">
        <is>
          <t>Walber</t>
        </is>
      </c>
      <c r="E165" t="inlineStr">
        <is>
          <t>ZAKUP</t>
        </is>
      </c>
      <c r="F165" t="inlineStr">
        <is>
          <t>PZ/33</t>
        </is>
      </c>
      <c r="G165" t="inlineStr">
        <is>
          <t>TAK</t>
        </is>
      </c>
      <c r="H165" t="inlineStr">
        <is>
          <t>KZR</t>
        </is>
      </c>
      <c r="I165" s="20" t="n">
        <v>23.52</v>
      </c>
      <c r="J165" t="inlineStr">
        <is>
          <t>TON</t>
        </is>
      </c>
      <c r="K165" s="21" t="n">
        <v>275</v>
      </c>
      <c r="L165" s="21" t="n">
        <v>6468</v>
      </c>
      <c r="M165" s="21" t="n">
        <v>0</v>
      </c>
      <c r="N165" t="inlineStr">
        <is>
          <t>Zrębka towar</t>
        </is>
      </c>
      <c r="O165" t="inlineStr">
        <is>
          <t>B</t>
        </is>
      </c>
      <c r="Q165" s="21" t="n">
        <v>0</v>
      </c>
      <c r="T165" s="22" t="n">
        <v>0</v>
      </c>
      <c r="U165" s="21" t="n">
        <v>0</v>
      </c>
      <c r="V165" s="21" t="n">
        <v>0</v>
      </c>
      <c r="W165" t="inlineStr">
        <is>
          <t>Magazyn Zabrze</t>
        </is>
      </c>
      <c r="Y165" t="inlineStr">
        <is>
          <t>78 mp</t>
        </is>
      </c>
      <c r="Z165" t="inlineStr">
        <is>
          <t>Roesner Mateusz</t>
        </is>
      </c>
      <c r="AA165" s="23" t="n">
        <v>46229.84766203703</v>
      </c>
      <c r="AB165" t="inlineStr">
        <is>
          <t>OP-MIGR-00164</t>
        </is>
      </c>
      <c r="AD165" t="inlineStr">
        <is>
          <t>AKTYWNY</t>
        </is>
      </c>
      <c r="AE165" s="20">
        <f>IF(I165="",0,IF(ISNUMBER(SEARCH("MP",UPPER(J165))),I165,IF(ISNUMBER(SEARCH("TON",UPPER(J165))),I165/Przelicznik_MP_tona,IF(ISNUMBER(SEARCH("M3",UPPER(J165))),I165*Przelicznik_M3_MP,IF(ISNUMBER(SEARCH("GJ",UPPER(J165))),I165/Przelicznik_GJ_tona/Przelicznik_MP_tona,I165)))))</f>
        <v/>
      </c>
      <c r="AF165" s="20">
        <f>IF(I165="",0,IF(ISNUMBER(SEARCH("TON",UPPER(J165))),I165,IF(ISNUMBER(SEARCH("GJ",UPPER(J165))),I165/Przelicznik_GJ_tona,AE165*Przelicznik_MP_tona)))</f>
        <v/>
      </c>
      <c r="AG165" s="20">
        <f>AF165*Przelicznik_GJ_tona</f>
        <v/>
      </c>
      <c r="AH165" s="20">
        <f>IF(UPPER(AD165)="SKORYGOWANY",0,IF(OR(UPPER(E165)="TRANSPORT",UPPER(E165)="MM"),0,IF(UPPER(G165)&lt;&gt;"TAK",0,IF(OR(UPPER(E165)="ZAKUP",UPPER(E165)="PRODUKCJA"),AE165,IF(OR(UPPER(E165)="SPRZEDAŻ",UPPER(E165)="ZUŻYCIE"),-AE165,0)))))</f>
        <v/>
      </c>
      <c r="AI165" s="20">
        <f>IF(UPPER(AD165)="SKORYGOWANY",0,IF(OR(UPPER(E165)="TRANSPORT",UPPER(E165)="MM"),0,IF(UPPER(G165)&lt;&gt;"TAK",0,IF(OR(UPPER(E165)="ZAKUP",UPPER(E165)="PRODUKCJA"),AF165,IF(OR(UPPER(E165)="SPRZEDAŻ",UPPER(E165)="ZUŻYCIE"),-AF165,0)))))</f>
        <v/>
      </c>
      <c r="AJ165" s="21">
        <f>IF(UPPER(AD165)="SKORYGOWANY",0,IF(UPPER(E165)="ZAKUP",IF(L165&lt;&gt;"",L165,I165*K165),0))</f>
        <v/>
      </c>
      <c r="AK165" s="21">
        <f>IF(UPPER(AD165)="SKORYGOWANY",0,IF(UPPER(E165)="SPRZEDAŻ",IF(L165&lt;&gt;"",L165,I165*M165),0))</f>
        <v/>
      </c>
      <c r="AL165" s="21">
        <f>AE165*Q165</f>
        <v/>
      </c>
      <c r="AM165">
        <f>IF(R165="","",IF(LOWER(R165)="brak","Brak",IF(OR(ISNUMBER(SEARCH("własn",LOWER(R165))),ISNUMBER(SEARCH("wlasn",LOWER(R165))),ISNUMBER(SEARCH("wojciechowski",LOWER(R165)))),"Własny","Zewnętrzny")))</f>
        <v/>
      </c>
      <c r="AN165" s="24">
        <f>IF(C165="","",YEAR(C165))</f>
        <v/>
      </c>
      <c r="AO165" s="24">
        <f>IF(C165="","",MONTH(C165))</f>
        <v/>
      </c>
      <c r="AP165">
        <f>IF(C165="","",UPPER(TEXT(C165,"mmmm")))</f>
        <v/>
      </c>
      <c r="AQ165">
        <f>IF(C165="","","Q"&amp;ROUNDUP(MONTH(C165)/3,0))</f>
        <v/>
      </c>
    </row>
    <row r="166">
      <c r="A166" s="19" t="n">
        <v>46227</v>
      </c>
      <c r="C166" s="19" t="n">
        <v>46227</v>
      </c>
      <c r="D166" t="inlineStr">
        <is>
          <t>Walber</t>
        </is>
      </c>
      <c r="E166" t="inlineStr">
        <is>
          <t>ZAKUP</t>
        </is>
      </c>
      <c r="F166" t="inlineStr">
        <is>
          <t>PZ/34</t>
        </is>
      </c>
      <c r="G166" t="inlineStr">
        <is>
          <t>TAK</t>
        </is>
      </c>
      <c r="H166" t="inlineStr">
        <is>
          <t>KZR</t>
        </is>
      </c>
      <c r="I166" s="20" t="n">
        <v>23.78</v>
      </c>
      <c r="J166" t="inlineStr">
        <is>
          <t>TON</t>
        </is>
      </c>
      <c r="K166" s="21" t="n">
        <v>275</v>
      </c>
      <c r="L166" s="21" t="n">
        <v>6539.5</v>
      </c>
      <c r="M166" s="21" t="n">
        <v>0</v>
      </c>
      <c r="N166" t="inlineStr">
        <is>
          <t>Zrębka towar</t>
        </is>
      </c>
      <c r="O166" t="inlineStr">
        <is>
          <t>B</t>
        </is>
      </c>
      <c r="Q166" s="21" t="n">
        <v>0</v>
      </c>
      <c r="T166" s="22" t="n">
        <v>0</v>
      </c>
      <c r="U166" s="21" t="n">
        <v>0</v>
      </c>
      <c r="V166" s="21" t="n">
        <v>0</v>
      </c>
      <c r="W166" t="inlineStr">
        <is>
          <t>Magazyn Zabrze</t>
        </is>
      </c>
      <c r="Y166" t="inlineStr">
        <is>
          <t>75 mp</t>
        </is>
      </c>
      <c r="Z166" t="inlineStr">
        <is>
          <t>Roesner Mateusz</t>
        </is>
      </c>
      <c r="AA166" s="23" t="n">
        <v>46229.84842592593</v>
      </c>
      <c r="AB166" t="inlineStr">
        <is>
          <t>OP-MIGR-00165</t>
        </is>
      </c>
      <c r="AD166" t="inlineStr">
        <is>
          <t>AKTYWNY</t>
        </is>
      </c>
      <c r="AE166" s="20">
        <f>IF(I166="",0,IF(ISNUMBER(SEARCH("MP",UPPER(J166))),I166,IF(ISNUMBER(SEARCH("TON",UPPER(J166))),I166/Przelicznik_MP_tona,IF(ISNUMBER(SEARCH("M3",UPPER(J166))),I166*Przelicznik_M3_MP,IF(ISNUMBER(SEARCH("GJ",UPPER(J166))),I166/Przelicznik_GJ_tona/Przelicznik_MP_tona,I166)))))</f>
        <v/>
      </c>
      <c r="AF166" s="20">
        <f>IF(I166="",0,IF(ISNUMBER(SEARCH("TON",UPPER(J166))),I166,IF(ISNUMBER(SEARCH("GJ",UPPER(J166))),I166/Przelicznik_GJ_tona,AE166*Przelicznik_MP_tona)))</f>
        <v/>
      </c>
      <c r="AG166" s="20">
        <f>AF166*Przelicznik_GJ_tona</f>
        <v/>
      </c>
      <c r="AH166" s="20">
        <f>IF(UPPER(AD166)="SKORYGOWANY",0,IF(OR(UPPER(E166)="TRANSPORT",UPPER(E166)="MM"),0,IF(UPPER(G166)&lt;&gt;"TAK",0,IF(OR(UPPER(E166)="ZAKUP",UPPER(E166)="PRODUKCJA"),AE166,IF(OR(UPPER(E166)="SPRZEDAŻ",UPPER(E166)="ZUŻYCIE"),-AE166,0)))))</f>
        <v/>
      </c>
      <c r="AI166" s="20">
        <f>IF(UPPER(AD166)="SKORYGOWANY",0,IF(OR(UPPER(E166)="TRANSPORT",UPPER(E166)="MM"),0,IF(UPPER(G166)&lt;&gt;"TAK",0,IF(OR(UPPER(E166)="ZAKUP",UPPER(E166)="PRODUKCJA"),AF166,IF(OR(UPPER(E166)="SPRZEDAŻ",UPPER(E166)="ZUŻYCIE"),-AF166,0)))))</f>
        <v/>
      </c>
      <c r="AJ166" s="21">
        <f>IF(UPPER(AD166)="SKORYGOWANY",0,IF(UPPER(E166)="ZAKUP",IF(L166&lt;&gt;"",L166,I166*K166),0))</f>
        <v/>
      </c>
      <c r="AK166" s="21">
        <f>IF(UPPER(AD166)="SKORYGOWANY",0,IF(UPPER(E166)="SPRZEDAŻ",IF(L166&lt;&gt;"",L166,I166*M166),0))</f>
        <v/>
      </c>
      <c r="AL166" s="21">
        <f>AE166*Q166</f>
        <v/>
      </c>
      <c r="AM166">
        <f>IF(R166="","",IF(LOWER(R166)="brak","Brak",IF(OR(ISNUMBER(SEARCH("własn",LOWER(R166))),ISNUMBER(SEARCH("wlasn",LOWER(R166))),ISNUMBER(SEARCH("wojciechowski",LOWER(R166)))),"Własny","Zewnętrzny")))</f>
        <v/>
      </c>
      <c r="AN166" s="24">
        <f>IF(C166="","",YEAR(C166))</f>
        <v/>
      </c>
      <c r="AO166" s="24">
        <f>IF(C166="","",MONTH(C166))</f>
        <v/>
      </c>
      <c r="AP166">
        <f>IF(C166="","",UPPER(TEXT(C166,"mmmm")))</f>
        <v/>
      </c>
      <c r="AQ166">
        <f>IF(C166="","","Q"&amp;ROUNDUP(MONTH(C166)/3,0))</f>
        <v/>
      </c>
    </row>
    <row r="167">
      <c r="A167" s="19" t="n">
        <v>46227</v>
      </c>
      <c r="C167" s="19" t="n">
        <v>46227</v>
      </c>
      <c r="D167" t="inlineStr">
        <is>
          <t>Walber</t>
        </is>
      </c>
      <c r="E167" t="inlineStr">
        <is>
          <t>ZAKUP</t>
        </is>
      </c>
      <c r="F167" t="inlineStr">
        <is>
          <t>PZ/35</t>
        </is>
      </c>
      <c r="G167" t="inlineStr">
        <is>
          <t>TAK</t>
        </is>
      </c>
      <c r="H167" t="inlineStr">
        <is>
          <t>KZR</t>
        </is>
      </c>
      <c r="I167" s="20" t="n">
        <v>23.9</v>
      </c>
      <c r="J167" t="inlineStr">
        <is>
          <t>TON</t>
        </is>
      </c>
      <c r="K167" s="21" t="n">
        <v>275</v>
      </c>
      <c r="L167" s="21" t="n">
        <v>6594.5</v>
      </c>
      <c r="M167" s="21" t="n">
        <v>0</v>
      </c>
      <c r="N167" t="inlineStr">
        <is>
          <t>Zrębka towar</t>
        </is>
      </c>
      <c r="O167" t="inlineStr">
        <is>
          <t>B</t>
        </is>
      </c>
      <c r="Q167" s="21" t="n">
        <v>0</v>
      </c>
      <c r="T167" s="22" t="n">
        <v>0</v>
      </c>
      <c r="U167" s="21" t="n">
        <v>0</v>
      </c>
      <c r="V167" s="21" t="n">
        <v>0</v>
      </c>
      <c r="W167" t="inlineStr">
        <is>
          <t>Magazyn Zabrze</t>
        </is>
      </c>
      <c r="Y167" t="inlineStr">
        <is>
          <t>75 mp</t>
        </is>
      </c>
      <c r="Z167" t="inlineStr">
        <is>
          <t>Roesner Mateusz</t>
        </is>
      </c>
      <c r="AA167" s="23" t="n">
        <v>46229.84979166667</v>
      </c>
      <c r="AB167" t="inlineStr">
        <is>
          <t>OP-MIGR-00166</t>
        </is>
      </c>
      <c r="AD167" t="inlineStr">
        <is>
          <t>AKTYWNY</t>
        </is>
      </c>
      <c r="AE167" s="20">
        <f>IF(I167="",0,IF(ISNUMBER(SEARCH("MP",UPPER(J167))),I167,IF(ISNUMBER(SEARCH("TON",UPPER(J167))),I167/Przelicznik_MP_tona,IF(ISNUMBER(SEARCH("M3",UPPER(J167))),I167*Przelicznik_M3_MP,IF(ISNUMBER(SEARCH("GJ",UPPER(J167))),I167/Przelicznik_GJ_tona/Przelicznik_MP_tona,I167)))))</f>
        <v/>
      </c>
      <c r="AF167" s="20">
        <f>IF(I167="",0,IF(ISNUMBER(SEARCH("TON",UPPER(J167))),I167,IF(ISNUMBER(SEARCH("GJ",UPPER(J167))),I167/Przelicznik_GJ_tona,AE167*Przelicznik_MP_tona)))</f>
        <v/>
      </c>
      <c r="AG167" s="20">
        <f>AF167*Przelicznik_GJ_tona</f>
        <v/>
      </c>
      <c r="AH167" s="20">
        <f>IF(UPPER(AD167)="SKORYGOWANY",0,IF(OR(UPPER(E167)="TRANSPORT",UPPER(E167)="MM"),0,IF(UPPER(G167)&lt;&gt;"TAK",0,IF(OR(UPPER(E167)="ZAKUP",UPPER(E167)="PRODUKCJA"),AE167,IF(OR(UPPER(E167)="SPRZEDAŻ",UPPER(E167)="ZUŻYCIE"),-AE167,0)))))</f>
        <v/>
      </c>
      <c r="AI167" s="20">
        <f>IF(UPPER(AD167)="SKORYGOWANY",0,IF(OR(UPPER(E167)="TRANSPORT",UPPER(E167)="MM"),0,IF(UPPER(G167)&lt;&gt;"TAK",0,IF(OR(UPPER(E167)="ZAKUP",UPPER(E167)="PRODUKCJA"),AF167,IF(OR(UPPER(E167)="SPRZEDAŻ",UPPER(E167)="ZUŻYCIE"),-AF167,0)))))</f>
        <v/>
      </c>
      <c r="AJ167" s="21">
        <f>IF(UPPER(AD167)="SKORYGOWANY",0,IF(UPPER(E167)="ZAKUP",IF(L167&lt;&gt;"",L167,I167*K167),0))</f>
        <v/>
      </c>
      <c r="AK167" s="21">
        <f>IF(UPPER(AD167)="SKORYGOWANY",0,IF(UPPER(E167)="SPRZEDAŻ",IF(L167&lt;&gt;"",L167,I167*M167),0))</f>
        <v/>
      </c>
      <c r="AL167" s="21">
        <f>AE167*Q167</f>
        <v/>
      </c>
      <c r="AM167">
        <f>IF(R167="","",IF(LOWER(R167)="brak","Brak",IF(OR(ISNUMBER(SEARCH("własn",LOWER(R167))),ISNUMBER(SEARCH("wlasn",LOWER(R167))),ISNUMBER(SEARCH("wojciechowski",LOWER(R167)))),"Własny","Zewnętrzny")))</f>
        <v/>
      </c>
      <c r="AN167" s="24">
        <f>IF(C167="","",YEAR(C167))</f>
        <v/>
      </c>
      <c r="AO167" s="24">
        <f>IF(C167="","",MONTH(C167))</f>
        <v/>
      </c>
      <c r="AP167">
        <f>IF(C167="","",UPPER(TEXT(C167,"mmmm")))</f>
        <v/>
      </c>
      <c r="AQ167">
        <f>IF(C167="","","Q"&amp;ROUNDUP(MONTH(C167)/3,0))</f>
        <v/>
      </c>
    </row>
    <row r="168">
      <c r="A168" s="19" t="n">
        <v>46227</v>
      </c>
      <c r="B168" t="inlineStr">
        <is>
          <t>Gdańsk</t>
        </is>
      </c>
      <c r="C168" s="19" t="n">
        <v>46227</v>
      </c>
      <c r="D168" t="inlineStr">
        <is>
          <t>Port Północny Gdańsk</t>
        </is>
      </c>
      <c r="E168" t="inlineStr">
        <is>
          <t>ZAKUP</t>
        </is>
      </c>
      <c r="F168" t="inlineStr">
        <is>
          <t>PZ/3/ŁN</t>
        </is>
      </c>
      <c r="G168" t="inlineStr">
        <is>
          <t>TAK</t>
        </is>
      </c>
      <c r="H168" t="inlineStr">
        <is>
          <t>KZR</t>
        </is>
      </c>
      <c r="I168" s="20" t="n">
        <v>1185.4</v>
      </c>
      <c r="J168" t="inlineStr">
        <is>
          <t>TON</t>
        </is>
      </c>
      <c r="K168" s="21" t="n">
        <v>0</v>
      </c>
      <c r="L168" s="21" t="n">
        <v>0</v>
      </c>
      <c r="M168" s="21" t="n">
        <v>0</v>
      </c>
      <c r="N168" t="inlineStr">
        <is>
          <t>Łupiny nerkowca</t>
        </is>
      </c>
      <c r="Q168" s="21" t="n">
        <v>0</v>
      </c>
      <c r="R168" t="inlineStr">
        <is>
          <t>DB Cargo</t>
        </is>
      </c>
      <c r="T168" s="22" t="n">
        <v>0</v>
      </c>
      <c r="U168" s="21" t="n">
        <v>0</v>
      </c>
      <c r="V168" s="21" t="n">
        <v>0</v>
      </c>
      <c r="W168" t="inlineStr">
        <is>
          <t>Magazyn Zabrze</t>
        </is>
      </c>
      <c r="Y168" t="inlineStr">
        <is>
          <t>43 Wagony</t>
        </is>
      </c>
      <c r="Z168" t="inlineStr">
        <is>
          <t>Roesner Mateusz</t>
        </is>
      </c>
      <c r="AA168" s="23" t="n">
        <v>46231.305625</v>
      </c>
      <c r="AB168" t="inlineStr">
        <is>
          <t>OP-MIGR-00167</t>
        </is>
      </c>
      <c r="AD168" t="inlineStr">
        <is>
          <t>AKTYWNY</t>
        </is>
      </c>
      <c r="AE168" s="20">
        <f>IF(I168="",0,IF(ISNUMBER(SEARCH("MP",UPPER(J168))),I168,IF(ISNUMBER(SEARCH("TON",UPPER(J168))),I168/Przelicznik_MP_tona,IF(ISNUMBER(SEARCH("M3",UPPER(J168))),I168*Przelicznik_M3_MP,IF(ISNUMBER(SEARCH("GJ",UPPER(J168))),I168/Przelicznik_GJ_tona/Przelicznik_MP_tona,I168)))))</f>
        <v/>
      </c>
      <c r="AF168" s="20">
        <f>IF(I168="",0,IF(ISNUMBER(SEARCH("TON",UPPER(J168))),I168,IF(ISNUMBER(SEARCH("GJ",UPPER(J168))),I168/Przelicznik_GJ_tona,AE168*Przelicznik_MP_tona)))</f>
        <v/>
      </c>
      <c r="AG168" s="20">
        <f>AF168*Przelicznik_GJ_tona</f>
        <v/>
      </c>
      <c r="AH168" s="20">
        <f>IF(UPPER(AD168)="SKORYGOWANY",0,IF(OR(UPPER(E168)="TRANSPORT",UPPER(E168)="MM"),0,IF(UPPER(G168)&lt;&gt;"TAK",0,IF(OR(UPPER(E168)="ZAKUP",UPPER(E168)="PRODUKCJA"),AE168,IF(OR(UPPER(E168)="SPRZEDAŻ",UPPER(E168)="ZUŻYCIE"),-AE168,0)))))</f>
        <v/>
      </c>
      <c r="AI168" s="20">
        <f>IF(UPPER(AD168)="SKORYGOWANY",0,IF(OR(UPPER(E168)="TRANSPORT",UPPER(E168)="MM"),0,IF(UPPER(G168)&lt;&gt;"TAK",0,IF(OR(UPPER(E168)="ZAKUP",UPPER(E168)="PRODUKCJA"),AF168,IF(OR(UPPER(E168)="SPRZEDAŻ",UPPER(E168)="ZUŻYCIE"),-AF168,0)))))</f>
        <v/>
      </c>
      <c r="AJ168" s="21">
        <f>IF(UPPER(AD168)="SKORYGOWANY",0,IF(UPPER(E168)="ZAKUP",IF(L168&lt;&gt;"",L168,I168*K168),0))</f>
        <v/>
      </c>
      <c r="AK168" s="21">
        <f>IF(UPPER(AD168)="SKORYGOWANY",0,IF(UPPER(E168)="SPRZEDAŻ",IF(L168&lt;&gt;"",L168,I168*M168),0))</f>
        <v/>
      </c>
      <c r="AL168" s="21">
        <f>AE168*Q168</f>
        <v/>
      </c>
      <c r="AM168">
        <f>IF(R168="","",IF(LOWER(R168)="brak","Brak",IF(OR(ISNUMBER(SEARCH("własn",LOWER(R168))),ISNUMBER(SEARCH("wlasn",LOWER(R168))),ISNUMBER(SEARCH("wojciechowski",LOWER(R168)))),"Własny","Zewnętrzny")))</f>
        <v/>
      </c>
      <c r="AN168" s="24">
        <f>IF(C168="","",YEAR(C168))</f>
        <v/>
      </c>
      <c r="AO168" s="24">
        <f>IF(C168="","",MONTH(C168))</f>
        <v/>
      </c>
      <c r="AP168">
        <f>IF(C168="","",UPPER(TEXT(C168,"mmmm")))</f>
        <v/>
      </c>
      <c r="AQ168">
        <f>IF(C168="","","Q"&amp;ROUNDUP(MONTH(C168)/3,0))</f>
        <v/>
      </c>
    </row>
    <row r="169">
      <c r="A169" s="19" t="n">
        <v>46230</v>
      </c>
      <c r="C169" s="19" t="n">
        <v>46230</v>
      </c>
      <c r="D169" t="inlineStr">
        <is>
          <t>Grandpol</t>
        </is>
      </c>
      <c r="E169" t="inlineStr">
        <is>
          <t>ZAKUP</t>
        </is>
      </c>
      <c r="F169" t="inlineStr">
        <is>
          <t>PZ/36</t>
        </is>
      </c>
      <c r="G169" t="inlineStr">
        <is>
          <t>TAK</t>
        </is>
      </c>
      <c r="H169" t="inlineStr">
        <is>
          <t>KZR</t>
        </is>
      </c>
      <c r="I169" s="20" t="n">
        <v>57</v>
      </c>
      <c r="J169" t="inlineStr">
        <is>
          <t>MP</t>
        </is>
      </c>
      <c r="K169" s="21" t="n">
        <v>40</v>
      </c>
      <c r="L169" s="21" t="n">
        <v>2280</v>
      </c>
      <c r="M169" s="21" t="n">
        <v>0</v>
      </c>
      <c r="N169" t="inlineStr">
        <is>
          <t>Drewno przemysłowe z wycinek inwest.</t>
        </is>
      </c>
      <c r="O169" t="inlineStr">
        <is>
          <t>B</t>
        </is>
      </c>
      <c r="Q169" s="21" t="n">
        <v>0</v>
      </c>
      <c r="T169" s="22" t="n">
        <v>0</v>
      </c>
      <c r="U169" s="21" t="n">
        <v>0</v>
      </c>
      <c r="V169" s="21" t="n">
        <v>0</v>
      </c>
      <c r="W169" t="inlineStr">
        <is>
          <t>Magazyn Zabrze</t>
        </is>
      </c>
      <c r="Z169" t="inlineStr">
        <is>
          <t>Roesner Mateusz</t>
        </is>
      </c>
      <c r="AA169" s="23" t="n">
        <v>46233.85913194445</v>
      </c>
      <c r="AB169" t="inlineStr">
        <is>
          <t>OP-MIGR-00168</t>
        </is>
      </c>
      <c r="AD169" t="inlineStr">
        <is>
          <t>AKTYWNY</t>
        </is>
      </c>
      <c r="AE169" s="20">
        <f>IF(I169="",0,IF(ISNUMBER(SEARCH("MP",UPPER(J169))),I169,IF(ISNUMBER(SEARCH("TON",UPPER(J169))),I169/Przelicznik_MP_tona,IF(ISNUMBER(SEARCH("M3",UPPER(J169))),I169*Przelicznik_M3_MP,IF(ISNUMBER(SEARCH("GJ",UPPER(J169))),I169/Przelicznik_GJ_tona/Przelicznik_MP_tona,I169)))))</f>
        <v/>
      </c>
      <c r="AF169" s="20">
        <f>IF(I169="",0,IF(ISNUMBER(SEARCH("TON",UPPER(J169))),I169,IF(ISNUMBER(SEARCH("GJ",UPPER(J169))),I169/Przelicznik_GJ_tona,AE169*Przelicznik_MP_tona)))</f>
        <v/>
      </c>
      <c r="AG169" s="20">
        <f>AF169*Przelicznik_GJ_tona</f>
        <v/>
      </c>
      <c r="AH169" s="20">
        <f>IF(UPPER(AD169)="SKORYGOWANY",0,IF(OR(UPPER(E169)="TRANSPORT",UPPER(E169)="MM"),0,IF(UPPER(G169)&lt;&gt;"TAK",0,IF(OR(UPPER(E169)="ZAKUP",UPPER(E169)="PRODUKCJA"),AE169,IF(OR(UPPER(E169)="SPRZEDAŻ",UPPER(E169)="ZUŻYCIE"),-AE169,0)))))</f>
        <v/>
      </c>
      <c r="AI169" s="20">
        <f>IF(UPPER(AD169)="SKORYGOWANY",0,IF(OR(UPPER(E169)="TRANSPORT",UPPER(E169)="MM"),0,IF(UPPER(G169)&lt;&gt;"TAK",0,IF(OR(UPPER(E169)="ZAKUP",UPPER(E169)="PRODUKCJA"),AF169,IF(OR(UPPER(E169)="SPRZEDAŻ",UPPER(E169)="ZUŻYCIE"),-AF169,0)))))</f>
        <v/>
      </c>
      <c r="AJ169" s="21">
        <f>IF(UPPER(AD169)="SKORYGOWANY",0,IF(UPPER(E169)="ZAKUP",IF(L169&lt;&gt;"",L169,I169*K169),0))</f>
        <v/>
      </c>
      <c r="AK169" s="21">
        <f>IF(UPPER(AD169)="SKORYGOWANY",0,IF(UPPER(E169)="SPRZEDAŻ",IF(L169&lt;&gt;"",L169,I169*M169),0))</f>
        <v/>
      </c>
      <c r="AL169" s="21">
        <f>AE169*Q169</f>
        <v/>
      </c>
      <c r="AM169">
        <f>IF(R169="","",IF(LOWER(R169)="brak","Brak",IF(OR(ISNUMBER(SEARCH("własn",LOWER(R169))),ISNUMBER(SEARCH("wlasn",LOWER(R169))),ISNUMBER(SEARCH("wojciechowski",LOWER(R169)))),"Własny","Zewnętrzny")))</f>
        <v/>
      </c>
      <c r="AN169" s="24">
        <f>IF(C169="","",YEAR(C169))</f>
        <v/>
      </c>
      <c r="AO169" s="24">
        <f>IF(C169="","",MONTH(C169))</f>
        <v/>
      </c>
      <c r="AP169">
        <f>IF(C169="","",UPPER(TEXT(C169,"mmmm")))</f>
        <v/>
      </c>
      <c r="AQ169">
        <f>IF(C169="","","Q"&amp;ROUNDUP(MONTH(C169)/3,0))</f>
        <v/>
      </c>
    </row>
    <row r="170">
      <c r="A170" s="19" t="n">
        <v>46230</v>
      </c>
      <c r="C170" s="19" t="n">
        <v>46230</v>
      </c>
      <c r="D170" t="inlineStr">
        <is>
          <t>Magazyn Zabrze</t>
        </is>
      </c>
      <c r="E170" t="inlineStr">
        <is>
          <t>PRODUKCJA</t>
        </is>
      </c>
      <c r="F170" t="inlineStr">
        <is>
          <t>PZ/36</t>
        </is>
      </c>
      <c r="G170" t="inlineStr">
        <is>
          <t>TAK</t>
        </is>
      </c>
      <c r="H170" t="inlineStr">
        <is>
          <t>KZR</t>
        </is>
      </c>
      <c r="I170" s="20" t="n">
        <v>57</v>
      </c>
      <c r="J170" t="inlineStr">
        <is>
          <t>MP</t>
        </is>
      </c>
      <c r="K170" s="21" t="n">
        <v>0</v>
      </c>
      <c r="L170" s="21" t="n">
        <v>0</v>
      </c>
      <c r="M170" s="21" t="n">
        <v>0</v>
      </c>
      <c r="N170" t="inlineStr">
        <is>
          <t>Zrębka Produkcyjna Inwestycyjna</t>
        </is>
      </c>
      <c r="O170" t="inlineStr">
        <is>
          <t>B</t>
        </is>
      </c>
      <c r="P170" t="inlineStr">
        <is>
          <t>własne</t>
        </is>
      </c>
      <c r="Q170" s="21" t="n">
        <v>10</v>
      </c>
      <c r="T170" s="22" t="n">
        <v>0</v>
      </c>
      <c r="U170" s="21" t="n">
        <v>0</v>
      </c>
      <c r="V170" s="21" t="n">
        <v>0</v>
      </c>
      <c r="W170" t="inlineStr">
        <is>
          <t>Magazyn Zabrze</t>
        </is>
      </c>
      <c r="Z170" t="inlineStr">
        <is>
          <t>Roesner Mateusz</t>
        </is>
      </c>
      <c r="AA170" s="23" t="n">
        <v>46233.85982638889</v>
      </c>
      <c r="AB170" t="inlineStr">
        <is>
          <t>OP-MIGR-00169</t>
        </is>
      </c>
      <c r="AD170" t="inlineStr">
        <is>
          <t>AKTYWNY</t>
        </is>
      </c>
      <c r="AE170" s="20">
        <f>IF(I170="",0,IF(ISNUMBER(SEARCH("MP",UPPER(J170))),I170,IF(ISNUMBER(SEARCH("TON",UPPER(J170))),I170/Przelicznik_MP_tona,IF(ISNUMBER(SEARCH("M3",UPPER(J170))),I170*Przelicznik_M3_MP,IF(ISNUMBER(SEARCH("GJ",UPPER(J170))),I170/Przelicznik_GJ_tona/Przelicznik_MP_tona,I170)))))</f>
        <v/>
      </c>
      <c r="AF170" s="20">
        <f>IF(I170="",0,IF(ISNUMBER(SEARCH("TON",UPPER(J170))),I170,IF(ISNUMBER(SEARCH("GJ",UPPER(J170))),I170/Przelicznik_GJ_tona,AE170*Przelicznik_MP_tona)))</f>
        <v/>
      </c>
      <c r="AG170" s="20">
        <f>AF170*Przelicznik_GJ_tona</f>
        <v/>
      </c>
      <c r="AH170" s="20">
        <f>IF(UPPER(AD170)="SKORYGOWANY",0,IF(OR(UPPER(E170)="TRANSPORT",UPPER(E170)="MM"),0,IF(UPPER(G170)&lt;&gt;"TAK",0,IF(OR(UPPER(E170)="ZAKUP",UPPER(E170)="PRODUKCJA"),AE170,IF(OR(UPPER(E170)="SPRZEDAŻ",UPPER(E170)="ZUŻYCIE"),-AE170,0)))))</f>
        <v/>
      </c>
      <c r="AI170" s="20">
        <f>IF(UPPER(AD170)="SKORYGOWANY",0,IF(OR(UPPER(E170)="TRANSPORT",UPPER(E170)="MM"),0,IF(UPPER(G170)&lt;&gt;"TAK",0,IF(OR(UPPER(E170)="ZAKUP",UPPER(E170)="PRODUKCJA"),AF170,IF(OR(UPPER(E170)="SPRZEDAŻ",UPPER(E170)="ZUŻYCIE"),-AF170,0)))))</f>
        <v/>
      </c>
      <c r="AJ170" s="21">
        <f>IF(UPPER(AD170)="SKORYGOWANY",0,IF(UPPER(E170)="ZAKUP",IF(L170&lt;&gt;"",L170,I170*K170),0))</f>
        <v/>
      </c>
      <c r="AK170" s="21">
        <f>IF(UPPER(AD170)="SKORYGOWANY",0,IF(UPPER(E170)="SPRZEDAŻ",IF(L170&lt;&gt;"",L170,I170*M170),0))</f>
        <v/>
      </c>
      <c r="AL170" s="21">
        <f>AE170*Q170</f>
        <v/>
      </c>
      <c r="AM170">
        <f>IF(R170="","",IF(LOWER(R170)="brak","Brak",IF(OR(ISNUMBER(SEARCH("własn",LOWER(R170))),ISNUMBER(SEARCH("wlasn",LOWER(R170))),ISNUMBER(SEARCH("wojciechowski",LOWER(R170)))),"Własny","Zewnętrzny")))</f>
        <v/>
      </c>
      <c r="AN170" s="24">
        <f>IF(C170="","",YEAR(C170))</f>
        <v/>
      </c>
      <c r="AO170" s="24">
        <f>IF(C170="","",MONTH(C170))</f>
        <v/>
      </c>
      <c r="AP170">
        <f>IF(C170="","",UPPER(TEXT(C170,"mmmm")))</f>
        <v/>
      </c>
      <c r="AQ170">
        <f>IF(C170="","","Q"&amp;ROUNDUP(MONTH(C170)/3,0))</f>
        <v/>
      </c>
    </row>
    <row r="171">
      <c r="A171" s="19" t="n">
        <v>46230</v>
      </c>
      <c r="C171" s="19" t="n">
        <v>46230</v>
      </c>
      <c r="D171" t="inlineStr">
        <is>
          <t>Magazyn Zabrze</t>
        </is>
      </c>
      <c r="E171" t="inlineStr">
        <is>
          <t>ZUŻYCIE</t>
        </is>
      </c>
      <c r="F171" t="inlineStr">
        <is>
          <t>PZ/36</t>
        </is>
      </c>
      <c r="G171" t="inlineStr">
        <is>
          <t>TAK</t>
        </is>
      </c>
      <c r="H171" t="inlineStr">
        <is>
          <t>KZR</t>
        </is>
      </c>
      <c r="I171" s="20" t="n">
        <v>57</v>
      </c>
      <c r="J171" t="inlineStr">
        <is>
          <t>MP</t>
        </is>
      </c>
      <c r="K171" s="21" t="n">
        <v>0</v>
      </c>
      <c r="L171" s="21" t="n">
        <v>0</v>
      </c>
      <c r="M171" s="21" t="n">
        <v>0</v>
      </c>
      <c r="N171" t="inlineStr">
        <is>
          <t>Zrębka Produkcyjna Inwestycyjna</t>
        </is>
      </c>
      <c r="O171" t="inlineStr">
        <is>
          <t>B</t>
        </is>
      </c>
      <c r="P171" t="inlineStr">
        <is>
          <t>własne</t>
        </is>
      </c>
      <c r="Q171" s="21" t="n">
        <v>10</v>
      </c>
      <c r="T171" s="22" t="n">
        <v>0</v>
      </c>
      <c r="U171" s="21" t="n">
        <v>0</v>
      </c>
      <c r="V171" s="21" t="n">
        <v>0</v>
      </c>
      <c r="W171" t="inlineStr">
        <is>
          <t>Magazyn Zabrze</t>
        </is>
      </c>
      <c r="Y171" t="inlineStr">
        <is>
          <t>Automatyczne zużycie surowca do produkcji</t>
        </is>
      </c>
      <c r="AA171" s="23" t="n">
        <v>46233.85982638889</v>
      </c>
      <c r="AB171" t="inlineStr">
        <is>
          <t>OP-MIGR-00170</t>
        </is>
      </c>
      <c r="AD171" t="inlineStr">
        <is>
          <t>AKTYWNY</t>
        </is>
      </c>
      <c r="AE171" s="20">
        <f>IF(I171="",0,IF(ISNUMBER(SEARCH("MP",UPPER(J171))),I171,IF(ISNUMBER(SEARCH("TON",UPPER(J171))),I171/Przelicznik_MP_tona,IF(ISNUMBER(SEARCH("M3",UPPER(J171))),I171*Przelicznik_M3_MP,IF(ISNUMBER(SEARCH("GJ",UPPER(J171))),I171/Przelicznik_GJ_tona/Przelicznik_MP_tona,I171)))))</f>
        <v/>
      </c>
      <c r="AF171" s="20">
        <f>IF(I171="",0,IF(ISNUMBER(SEARCH("TON",UPPER(J171))),I171,IF(ISNUMBER(SEARCH("GJ",UPPER(J171))),I171/Przelicznik_GJ_tona,AE171*Przelicznik_MP_tona)))</f>
        <v/>
      </c>
      <c r="AG171" s="20">
        <f>AF171*Przelicznik_GJ_tona</f>
        <v/>
      </c>
      <c r="AH171" s="20">
        <f>IF(UPPER(AD171)="SKORYGOWANY",0,IF(OR(UPPER(E171)="TRANSPORT",UPPER(E171)="MM"),0,IF(UPPER(G171)&lt;&gt;"TAK",0,IF(OR(UPPER(E171)="ZAKUP",UPPER(E171)="PRODUKCJA"),AE171,IF(OR(UPPER(E171)="SPRZEDAŻ",UPPER(E171)="ZUŻYCIE"),-AE171,0)))))</f>
        <v/>
      </c>
      <c r="AI171" s="20">
        <f>IF(UPPER(AD171)="SKORYGOWANY",0,IF(OR(UPPER(E171)="TRANSPORT",UPPER(E171)="MM"),0,IF(UPPER(G171)&lt;&gt;"TAK",0,IF(OR(UPPER(E171)="ZAKUP",UPPER(E171)="PRODUKCJA"),AF171,IF(OR(UPPER(E171)="SPRZEDAŻ",UPPER(E171)="ZUŻYCIE"),-AF171,0)))))</f>
        <v/>
      </c>
      <c r="AJ171" s="21">
        <f>IF(UPPER(AD171)="SKORYGOWANY",0,IF(UPPER(E171)="ZAKUP",IF(L171&lt;&gt;"",L171,I171*K171),0))</f>
        <v/>
      </c>
      <c r="AK171" s="21">
        <f>IF(UPPER(AD171)="SKORYGOWANY",0,IF(UPPER(E171)="SPRZEDAŻ",IF(L171&lt;&gt;"",L171,I171*M171),0))</f>
        <v/>
      </c>
      <c r="AL171" s="21">
        <f>AE171*Q171</f>
        <v/>
      </c>
      <c r="AM171">
        <f>IF(R171="","",IF(LOWER(R171)="brak","Brak",IF(OR(ISNUMBER(SEARCH("własn",LOWER(R171))),ISNUMBER(SEARCH("wlasn",LOWER(R171))),ISNUMBER(SEARCH("wojciechowski",LOWER(R171)))),"Własny","Zewnętrzny")))</f>
        <v/>
      </c>
      <c r="AN171" s="24">
        <f>IF(C171="","",YEAR(C171))</f>
        <v/>
      </c>
      <c r="AO171" s="24">
        <f>IF(C171="","",MONTH(C171))</f>
        <v/>
      </c>
      <c r="AP171">
        <f>IF(C171="","",UPPER(TEXT(C171,"mmmm")))</f>
        <v/>
      </c>
      <c r="AQ171">
        <f>IF(C171="","","Q"&amp;ROUNDUP(MONTH(C171)/3,0))</f>
        <v/>
      </c>
    </row>
    <row r="172">
      <c r="A172" s="19" t="n">
        <v>46230</v>
      </c>
      <c r="B172" t="inlineStr">
        <is>
          <t>Ściborzyce</t>
        </is>
      </c>
      <c r="C172" s="19" t="n">
        <v>46230</v>
      </c>
      <c r="D172" t="inlineStr">
        <is>
          <t>Magazyn Zabrze</t>
        </is>
      </c>
      <c r="E172" t="inlineStr">
        <is>
          <t>ZAKUP</t>
        </is>
      </c>
      <c r="F172" t="inlineStr">
        <is>
          <t>PZ/36</t>
        </is>
      </c>
      <c r="G172" t="inlineStr">
        <is>
          <t>TAK</t>
        </is>
      </c>
      <c r="H172" t="inlineStr">
        <is>
          <t>KZR</t>
        </is>
      </c>
      <c r="I172" s="20" t="n">
        <v>57</v>
      </c>
      <c r="J172" t="inlineStr">
        <is>
          <t>MP</t>
        </is>
      </c>
      <c r="K172" s="21" t="n">
        <v>0</v>
      </c>
      <c r="L172" s="21" t="n">
        <v>0</v>
      </c>
      <c r="M172" s="21" t="n">
        <v>0</v>
      </c>
      <c r="N172" t="inlineStr">
        <is>
          <t>Zrębka Produkcyjna Inwestycyjna</t>
        </is>
      </c>
      <c r="O172" t="inlineStr">
        <is>
          <t>B</t>
        </is>
      </c>
      <c r="Q172" s="21" t="n">
        <v>0</v>
      </c>
      <c r="R172" t="inlineStr">
        <is>
          <t>własny (Wiór)</t>
        </is>
      </c>
      <c r="S172" t="inlineStr">
        <is>
          <t>SK 7H433</t>
        </is>
      </c>
      <c r="T172" s="22" t="n">
        <v>200</v>
      </c>
      <c r="U172" s="21" t="n">
        <v>6</v>
      </c>
      <c r="V172" s="21" t="n">
        <v>1200</v>
      </c>
      <c r="W172" t="inlineStr">
        <is>
          <t>Magazyn Zabrze</t>
        </is>
      </c>
      <c r="Z172" t="inlineStr">
        <is>
          <t>Roesner Mateusz</t>
        </is>
      </c>
      <c r="AA172" s="23" t="n">
        <v>46233.86199074074</v>
      </c>
      <c r="AB172" t="inlineStr">
        <is>
          <t>OP-MIGR-00171</t>
        </is>
      </c>
      <c r="AD172" t="inlineStr">
        <is>
          <t>AKTYWNY</t>
        </is>
      </c>
      <c r="AE172" s="20">
        <f>IF(I172="",0,IF(ISNUMBER(SEARCH("MP",UPPER(J172))),I172,IF(ISNUMBER(SEARCH("TON",UPPER(J172))),I172/Przelicznik_MP_tona,IF(ISNUMBER(SEARCH("M3",UPPER(J172))),I172*Przelicznik_M3_MP,IF(ISNUMBER(SEARCH("GJ",UPPER(J172))),I172/Przelicznik_GJ_tona/Przelicznik_MP_tona,I172)))))</f>
        <v/>
      </c>
      <c r="AF172" s="20">
        <f>IF(I172="",0,IF(ISNUMBER(SEARCH("TON",UPPER(J172))),I172,IF(ISNUMBER(SEARCH("GJ",UPPER(J172))),I172/Przelicznik_GJ_tona,AE172*Przelicznik_MP_tona)))</f>
        <v/>
      </c>
      <c r="AG172" s="20">
        <f>AF172*Przelicznik_GJ_tona</f>
        <v/>
      </c>
      <c r="AH172" s="20">
        <f>IF(UPPER(AD172)="SKORYGOWANY",0,IF(OR(UPPER(E172)="TRANSPORT",UPPER(E172)="MM"),0,IF(UPPER(G172)&lt;&gt;"TAK",0,IF(OR(UPPER(E172)="ZAKUP",UPPER(E172)="PRODUKCJA"),AE172,IF(OR(UPPER(E172)="SPRZEDAŻ",UPPER(E172)="ZUŻYCIE"),-AE172,0)))))</f>
        <v/>
      </c>
      <c r="AI172" s="20">
        <f>IF(UPPER(AD172)="SKORYGOWANY",0,IF(OR(UPPER(E172)="TRANSPORT",UPPER(E172)="MM"),0,IF(UPPER(G172)&lt;&gt;"TAK",0,IF(OR(UPPER(E172)="ZAKUP",UPPER(E172)="PRODUKCJA"),AF172,IF(OR(UPPER(E172)="SPRZEDAŻ",UPPER(E172)="ZUŻYCIE"),-AF172,0)))))</f>
        <v/>
      </c>
      <c r="AJ172" s="21">
        <f>IF(UPPER(AD172)="SKORYGOWANY",0,IF(UPPER(E172)="ZAKUP",IF(L172&lt;&gt;"",L172,I172*K172),0))</f>
        <v/>
      </c>
      <c r="AK172" s="21">
        <f>IF(UPPER(AD172)="SKORYGOWANY",0,IF(UPPER(E172)="SPRZEDAŻ",IF(L172&lt;&gt;"",L172,I172*M172),0))</f>
        <v/>
      </c>
      <c r="AL172" s="21">
        <f>AE172*Q172</f>
        <v/>
      </c>
      <c r="AM172">
        <f>IF(R172="","",IF(LOWER(R172)="brak","Brak",IF(OR(ISNUMBER(SEARCH("własn",LOWER(R172))),ISNUMBER(SEARCH("wlasn",LOWER(R172))),ISNUMBER(SEARCH("wojciechowski",LOWER(R172)))),"Własny","Zewnętrzny")))</f>
        <v/>
      </c>
      <c r="AN172" s="24">
        <f>IF(C172="","",YEAR(C172))</f>
        <v/>
      </c>
      <c r="AO172" s="24">
        <f>IF(C172="","",MONTH(C172))</f>
        <v/>
      </c>
      <c r="AP172">
        <f>IF(C172="","",UPPER(TEXT(C172,"mmmm")))</f>
        <v/>
      </c>
      <c r="AQ172">
        <f>IF(C172="","","Q"&amp;ROUNDUP(MONTH(C172)/3,0))</f>
        <v/>
      </c>
    </row>
    <row r="173">
      <c r="A173" s="19" t="n">
        <v>46230</v>
      </c>
      <c r="C173" s="19" t="n">
        <v>46230</v>
      </c>
      <c r="D173" t="inlineStr">
        <is>
          <t>Grandpol</t>
        </is>
      </c>
      <c r="E173" t="inlineStr">
        <is>
          <t>ZAKUP</t>
        </is>
      </c>
      <c r="F173" t="inlineStr">
        <is>
          <t>PZ/37</t>
        </is>
      </c>
      <c r="G173" t="inlineStr">
        <is>
          <t>TAK</t>
        </is>
      </c>
      <c r="H173" t="inlineStr">
        <is>
          <t>KZR</t>
        </is>
      </c>
      <c r="I173" s="20" t="n">
        <v>86</v>
      </c>
      <c r="J173" t="inlineStr">
        <is>
          <t>MP</t>
        </is>
      </c>
      <c r="K173" s="21" t="n">
        <v>45</v>
      </c>
      <c r="L173" s="21" t="n">
        <v>3870</v>
      </c>
      <c r="M173" s="21" t="n">
        <v>0</v>
      </c>
      <c r="N173" t="inlineStr">
        <is>
          <t>Drewno przemysłowe z wycinek inwest.</t>
        </is>
      </c>
      <c r="O173" t="inlineStr">
        <is>
          <t>B</t>
        </is>
      </c>
      <c r="Q173" s="21" t="n">
        <v>0</v>
      </c>
      <c r="T173" s="22" t="n">
        <v>0</v>
      </c>
      <c r="U173" s="21" t="n">
        <v>0</v>
      </c>
      <c r="V173" s="21" t="n">
        <v>0</v>
      </c>
      <c r="W173" t="inlineStr">
        <is>
          <t>Magazyn Zabrze</t>
        </is>
      </c>
      <c r="Z173" t="inlineStr">
        <is>
          <t>Roesner Mateusz</t>
        </is>
      </c>
      <c r="AA173" s="23" t="n">
        <v>46234.2800462963</v>
      </c>
      <c r="AB173" t="inlineStr">
        <is>
          <t>OP-MIGR-00172</t>
        </is>
      </c>
      <c r="AD173" t="inlineStr">
        <is>
          <t>AKTYWNY</t>
        </is>
      </c>
      <c r="AE173" s="20">
        <f>IF(I173="",0,IF(ISNUMBER(SEARCH("MP",UPPER(J173))),I173,IF(ISNUMBER(SEARCH("TON",UPPER(J173))),I173/Przelicznik_MP_tona,IF(ISNUMBER(SEARCH("M3",UPPER(J173))),I173*Przelicznik_M3_MP,IF(ISNUMBER(SEARCH("GJ",UPPER(J173))),I173/Przelicznik_GJ_tona/Przelicznik_MP_tona,I173)))))</f>
        <v/>
      </c>
      <c r="AF173" s="20">
        <f>IF(I173="",0,IF(ISNUMBER(SEARCH("TON",UPPER(J173))),I173,IF(ISNUMBER(SEARCH("GJ",UPPER(J173))),I173/Przelicznik_GJ_tona,AE173*Przelicznik_MP_tona)))</f>
        <v/>
      </c>
      <c r="AG173" s="20">
        <f>AF173*Przelicznik_GJ_tona</f>
        <v/>
      </c>
      <c r="AH173" s="20">
        <f>IF(UPPER(AD173)="SKORYGOWANY",0,IF(OR(UPPER(E173)="TRANSPORT",UPPER(E173)="MM"),0,IF(UPPER(G173)&lt;&gt;"TAK",0,IF(OR(UPPER(E173)="ZAKUP",UPPER(E173)="PRODUKCJA"),AE173,IF(OR(UPPER(E173)="SPRZEDAŻ",UPPER(E173)="ZUŻYCIE"),-AE173,0)))))</f>
        <v/>
      </c>
      <c r="AI173" s="20">
        <f>IF(UPPER(AD173)="SKORYGOWANY",0,IF(OR(UPPER(E173)="TRANSPORT",UPPER(E173)="MM"),0,IF(UPPER(G173)&lt;&gt;"TAK",0,IF(OR(UPPER(E173)="ZAKUP",UPPER(E173)="PRODUKCJA"),AF173,IF(OR(UPPER(E173)="SPRZEDAŻ",UPPER(E173)="ZUŻYCIE"),-AF173,0)))))</f>
        <v/>
      </c>
      <c r="AJ173" s="21">
        <f>IF(UPPER(AD173)="SKORYGOWANY",0,IF(UPPER(E173)="ZAKUP",IF(L173&lt;&gt;"",L173,I173*K173),0))</f>
        <v/>
      </c>
      <c r="AK173" s="21">
        <f>IF(UPPER(AD173)="SKORYGOWANY",0,IF(UPPER(E173)="SPRZEDAŻ",IF(L173&lt;&gt;"",L173,I173*M173),0))</f>
        <v/>
      </c>
      <c r="AL173" s="21">
        <f>AE173*Q173</f>
        <v/>
      </c>
      <c r="AM173">
        <f>IF(R173="","",IF(LOWER(R173)="brak","Brak",IF(OR(ISNUMBER(SEARCH("własn",LOWER(R173))),ISNUMBER(SEARCH("wlasn",LOWER(R173))),ISNUMBER(SEARCH("wojciechowski",LOWER(R173)))),"Własny","Zewnętrzny")))</f>
        <v/>
      </c>
      <c r="AN173" s="24">
        <f>IF(C173="","",YEAR(C173))</f>
        <v/>
      </c>
      <c r="AO173" s="24">
        <f>IF(C173="","",MONTH(C173))</f>
        <v/>
      </c>
      <c r="AP173">
        <f>IF(C173="","",UPPER(TEXT(C173,"mmmm")))</f>
        <v/>
      </c>
      <c r="AQ173">
        <f>IF(C173="","","Q"&amp;ROUNDUP(MONTH(C173)/3,0))</f>
        <v/>
      </c>
    </row>
    <row r="174">
      <c r="A174" s="19" t="n">
        <v>46230</v>
      </c>
      <c r="C174" s="19" t="n">
        <v>46230</v>
      </c>
      <c r="D174" t="inlineStr">
        <is>
          <t>Magazyn Zabrze</t>
        </is>
      </c>
      <c r="E174" t="inlineStr">
        <is>
          <t>PRODUKCJA</t>
        </is>
      </c>
      <c r="F174" t="inlineStr">
        <is>
          <t>PZ/37</t>
        </is>
      </c>
      <c r="G174" t="inlineStr">
        <is>
          <t>TAK</t>
        </is>
      </c>
      <c r="H174" t="inlineStr">
        <is>
          <t>KZR</t>
        </is>
      </c>
      <c r="I174" s="20" t="n">
        <v>86</v>
      </c>
      <c r="J174" t="inlineStr">
        <is>
          <t>MP</t>
        </is>
      </c>
      <c r="K174" s="21" t="n">
        <v>0</v>
      </c>
      <c r="L174" s="21" t="n">
        <v>0</v>
      </c>
      <c r="M174" s="21" t="n">
        <v>0</v>
      </c>
      <c r="N174" t="inlineStr">
        <is>
          <t>Zrębka Produkcyjna Inwestycyjna</t>
        </is>
      </c>
      <c r="O174" t="inlineStr">
        <is>
          <t>B</t>
        </is>
      </c>
      <c r="P174" t="inlineStr">
        <is>
          <t>własne</t>
        </is>
      </c>
      <c r="Q174" s="21" t="n">
        <v>10</v>
      </c>
      <c r="T174" s="22" t="n">
        <v>0</v>
      </c>
      <c r="U174" s="21" t="n">
        <v>0</v>
      </c>
      <c r="V174" s="21" t="n">
        <v>0</v>
      </c>
      <c r="W174" t="inlineStr">
        <is>
          <t>Magazyn Zabrze</t>
        </is>
      </c>
      <c r="Z174" t="inlineStr">
        <is>
          <t>Roesner Mateusz</t>
        </is>
      </c>
      <c r="AA174" s="23" t="n">
        <v>46234.28069444445</v>
      </c>
      <c r="AB174" t="inlineStr">
        <is>
          <t>OP-MIGR-00173</t>
        </is>
      </c>
      <c r="AD174" t="inlineStr">
        <is>
          <t>AKTYWNY</t>
        </is>
      </c>
      <c r="AE174" s="20">
        <f>IF(I174="",0,IF(ISNUMBER(SEARCH("MP",UPPER(J174))),I174,IF(ISNUMBER(SEARCH("TON",UPPER(J174))),I174/Przelicznik_MP_tona,IF(ISNUMBER(SEARCH("M3",UPPER(J174))),I174*Przelicznik_M3_MP,IF(ISNUMBER(SEARCH("GJ",UPPER(J174))),I174/Przelicznik_GJ_tona/Przelicznik_MP_tona,I174)))))</f>
        <v/>
      </c>
      <c r="AF174" s="20">
        <f>IF(I174="",0,IF(ISNUMBER(SEARCH("TON",UPPER(J174))),I174,IF(ISNUMBER(SEARCH("GJ",UPPER(J174))),I174/Przelicznik_GJ_tona,AE174*Przelicznik_MP_tona)))</f>
        <v/>
      </c>
      <c r="AG174" s="20">
        <f>AF174*Przelicznik_GJ_tona</f>
        <v/>
      </c>
      <c r="AH174" s="20">
        <f>IF(UPPER(AD174)="SKORYGOWANY",0,IF(OR(UPPER(E174)="TRANSPORT",UPPER(E174)="MM"),0,IF(UPPER(G174)&lt;&gt;"TAK",0,IF(OR(UPPER(E174)="ZAKUP",UPPER(E174)="PRODUKCJA"),AE174,IF(OR(UPPER(E174)="SPRZEDAŻ",UPPER(E174)="ZUŻYCIE"),-AE174,0)))))</f>
        <v/>
      </c>
      <c r="AI174" s="20">
        <f>IF(UPPER(AD174)="SKORYGOWANY",0,IF(OR(UPPER(E174)="TRANSPORT",UPPER(E174)="MM"),0,IF(UPPER(G174)&lt;&gt;"TAK",0,IF(OR(UPPER(E174)="ZAKUP",UPPER(E174)="PRODUKCJA"),AF174,IF(OR(UPPER(E174)="SPRZEDAŻ",UPPER(E174)="ZUŻYCIE"),-AF174,0)))))</f>
        <v/>
      </c>
      <c r="AJ174" s="21">
        <f>IF(UPPER(AD174)="SKORYGOWANY",0,IF(UPPER(E174)="ZAKUP",IF(L174&lt;&gt;"",L174,I174*K174),0))</f>
        <v/>
      </c>
      <c r="AK174" s="21">
        <f>IF(UPPER(AD174)="SKORYGOWANY",0,IF(UPPER(E174)="SPRZEDAŻ",IF(L174&lt;&gt;"",L174,I174*M174),0))</f>
        <v/>
      </c>
      <c r="AL174" s="21">
        <f>AE174*Q174</f>
        <v/>
      </c>
      <c r="AM174">
        <f>IF(R174="","",IF(LOWER(R174)="brak","Brak",IF(OR(ISNUMBER(SEARCH("własn",LOWER(R174))),ISNUMBER(SEARCH("wlasn",LOWER(R174))),ISNUMBER(SEARCH("wojciechowski",LOWER(R174)))),"Własny","Zewnętrzny")))</f>
        <v/>
      </c>
      <c r="AN174" s="24">
        <f>IF(C174="","",YEAR(C174))</f>
        <v/>
      </c>
      <c r="AO174" s="24">
        <f>IF(C174="","",MONTH(C174))</f>
        <v/>
      </c>
      <c r="AP174">
        <f>IF(C174="","",UPPER(TEXT(C174,"mmmm")))</f>
        <v/>
      </c>
      <c r="AQ174">
        <f>IF(C174="","","Q"&amp;ROUNDUP(MONTH(C174)/3,0))</f>
        <v/>
      </c>
    </row>
    <row r="175">
      <c r="A175" s="19" t="n">
        <v>46230</v>
      </c>
      <c r="C175" s="19" t="n">
        <v>46230</v>
      </c>
      <c r="D175" t="inlineStr">
        <is>
          <t>Magazyn Zabrze</t>
        </is>
      </c>
      <c r="E175" t="inlineStr">
        <is>
          <t>ZUŻYCIE</t>
        </is>
      </c>
      <c r="F175" t="inlineStr">
        <is>
          <t>PZ/37</t>
        </is>
      </c>
      <c r="G175" t="inlineStr">
        <is>
          <t>TAK</t>
        </is>
      </c>
      <c r="H175" t="inlineStr">
        <is>
          <t>KZR</t>
        </is>
      </c>
      <c r="I175" s="20" t="n">
        <v>86</v>
      </c>
      <c r="J175" t="inlineStr">
        <is>
          <t>MP</t>
        </is>
      </c>
      <c r="K175" s="21" t="n">
        <v>0</v>
      </c>
      <c r="L175" s="21" t="n">
        <v>0</v>
      </c>
      <c r="M175" s="21" t="n">
        <v>0</v>
      </c>
      <c r="N175" t="inlineStr">
        <is>
          <t>Zrębka Produkcyjna Inwestycyjna</t>
        </is>
      </c>
      <c r="O175" t="inlineStr">
        <is>
          <t>B</t>
        </is>
      </c>
      <c r="P175" t="inlineStr">
        <is>
          <t>własne</t>
        </is>
      </c>
      <c r="Q175" s="21" t="n">
        <v>10</v>
      </c>
      <c r="T175" s="22" t="n">
        <v>0</v>
      </c>
      <c r="U175" s="21" t="n">
        <v>0</v>
      </c>
      <c r="V175" s="21" t="n">
        <v>0</v>
      </c>
      <c r="W175" t="inlineStr">
        <is>
          <t>Magazyn Zabrze</t>
        </is>
      </c>
      <c r="Y175" t="inlineStr">
        <is>
          <t>Automatyczne zużycie surowca do produkcji</t>
        </is>
      </c>
      <c r="AA175" s="23" t="n">
        <v>46234.28069444445</v>
      </c>
      <c r="AB175" t="inlineStr">
        <is>
          <t>OP-MIGR-00174</t>
        </is>
      </c>
      <c r="AD175" t="inlineStr">
        <is>
          <t>AKTYWNY</t>
        </is>
      </c>
      <c r="AE175" s="20">
        <f>IF(I175="",0,IF(ISNUMBER(SEARCH("MP",UPPER(J175))),I175,IF(ISNUMBER(SEARCH("TON",UPPER(J175))),I175/Przelicznik_MP_tona,IF(ISNUMBER(SEARCH("M3",UPPER(J175))),I175*Przelicznik_M3_MP,IF(ISNUMBER(SEARCH("GJ",UPPER(J175))),I175/Przelicznik_GJ_tona/Przelicznik_MP_tona,I175)))))</f>
        <v/>
      </c>
      <c r="AF175" s="20">
        <f>IF(I175="",0,IF(ISNUMBER(SEARCH("TON",UPPER(J175))),I175,IF(ISNUMBER(SEARCH("GJ",UPPER(J175))),I175/Przelicznik_GJ_tona,AE175*Przelicznik_MP_tona)))</f>
        <v/>
      </c>
      <c r="AG175" s="20">
        <f>AF175*Przelicznik_GJ_tona</f>
        <v/>
      </c>
      <c r="AH175" s="20">
        <f>IF(UPPER(AD175)="SKORYGOWANY",0,IF(OR(UPPER(E175)="TRANSPORT",UPPER(E175)="MM"),0,IF(UPPER(G175)&lt;&gt;"TAK",0,IF(OR(UPPER(E175)="ZAKUP",UPPER(E175)="PRODUKCJA"),AE175,IF(OR(UPPER(E175)="SPRZEDAŻ",UPPER(E175)="ZUŻYCIE"),-AE175,0)))))</f>
        <v/>
      </c>
      <c r="AI175" s="20">
        <f>IF(UPPER(AD175)="SKORYGOWANY",0,IF(OR(UPPER(E175)="TRANSPORT",UPPER(E175)="MM"),0,IF(UPPER(G175)&lt;&gt;"TAK",0,IF(OR(UPPER(E175)="ZAKUP",UPPER(E175)="PRODUKCJA"),AF175,IF(OR(UPPER(E175)="SPRZEDAŻ",UPPER(E175)="ZUŻYCIE"),-AF175,0)))))</f>
        <v/>
      </c>
      <c r="AJ175" s="21">
        <f>IF(UPPER(AD175)="SKORYGOWANY",0,IF(UPPER(E175)="ZAKUP",IF(L175&lt;&gt;"",L175,I175*K175),0))</f>
        <v/>
      </c>
      <c r="AK175" s="21">
        <f>IF(UPPER(AD175)="SKORYGOWANY",0,IF(UPPER(E175)="SPRZEDAŻ",IF(L175&lt;&gt;"",L175,I175*M175),0))</f>
        <v/>
      </c>
      <c r="AL175" s="21">
        <f>AE175*Q175</f>
        <v/>
      </c>
      <c r="AM175">
        <f>IF(R175="","",IF(LOWER(R175)="brak","Brak",IF(OR(ISNUMBER(SEARCH("własn",LOWER(R175))),ISNUMBER(SEARCH("wlasn",LOWER(R175))),ISNUMBER(SEARCH("wojciechowski",LOWER(R175)))),"Własny","Zewnętrzny")))</f>
        <v/>
      </c>
      <c r="AN175" s="24">
        <f>IF(C175="","",YEAR(C175))</f>
        <v/>
      </c>
      <c r="AO175" s="24">
        <f>IF(C175="","",MONTH(C175))</f>
        <v/>
      </c>
      <c r="AP175">
        <f>IF(C175="","",UPPER(TEXT(C175,"mmmm")))</f>
        <v/>
      </c>
      <c r="AQ175">
        <f>IF(C175="","","Q"&amp;ROUNDUP(MONTH(C175)/3,0))</f>
        <v/>
      </c>
    </row>
    <row r="176">
      <c r="A176" s="19" t="n">
        <v>46230</v>
      </c>
      <c r="B176" t="inlineStr">
        <is>
          <t>Ściborzyce</t>
        </is>
      </c>
      <c r="C176" s="19" t="n">
        <v>46230</v>
      </c>
      <c r="D176" t="inlineStr">
        <is>
          <t>Magazyn Zabrze</t>
        </is>
      </c>
      <c r="E176" t="inlineStr">
        <is>
          <t>ZAKUP</t>
        </is>
      </c>
      <c r="F176" t="inlineStr">
        <is>
          <t>PZ/37</t>
        </is>
      </c>
      <c r="G176" t="inlineStr">
        <is>
          <t>TAK</t>
        </is>
      </c>
      <c r="H176" t="inlineStr">
        <is>
          <t>KZR</t>
        </is>
      </c>
      <c r="I176" s="20" t="n">
        <v>86</v>
      </c>
      <c r="J176" t="inlineStr">
        <is>
          <t>MP</t>
        </is>
      </c>
      <c r="K176" s="21" t="n">
        <v>0</v>
      </c>
      <c r="L176" s="21" t="n">
        <v>0</v>
      </c>
      <c r="M176" s="21" t="n">
        <v>0</v>
      </c>
      <c r="N176" t="inlineStr">
        <is>
          <t>Zrębka Produkcyjna Inwestycyjna</t>
        </is>
      </c>
      <c r="O176" t="inlineStr">
        <is>
          <t>B</t>
        </is>
      </c>
      <c r="Q176" s="21" t="n">
        <v>0</v>
      </c>
      <c r="R176" t="inlineStr">
        <is>
          <t>własny (Wilczak)</t>
        </is>
      </c>
      <c r="S176" t="inlineStr">
        <is>
          <t>SK 7J884</t>
        </is>
      </c>
      <c r="T176" s="22" t="n">
        <v>200</v>
      </c>
      <c r="U176" s="21" t="n">
        <v>5</v>
      </c>
      <c r="V176" s="21" t="n">
        <v>1000</v>
      </c>
      <c r="W176" t="inlineStr">
        <is>
          <t>Magazyn Zabrze</t>
        </is>
      </c>
      <c r="Z176" t="inlineStr">
        <is>
          <t>Roesner Mateusz</t>
        </is>
      </c>
      <c r="AA176" s="23" t="n">
        <v>46234.28166666667</v>
      </c>
      <c r="AB176" t="inlineStr">
        <is>
          <t>OP-MIGR-00175</t>
        </is>
      </c>
      <c r="AD176" t="inlineStr">
        <is>
          <t>AKTYWNY</t>
        </is>
      </c>
      <c r="AE176" s="20">
        <f>IF(I176="",0,IF(ISNUMBER(SEARCH("MP",UPPER(J176))),I176,IF(ISNUMBER(SEARCH("TON",UPPER(J176))),I176/Przelicznik_MP_tona,IF(ISNUMBER(SEARCH("M3",UPPER(J176))),I176*Przelicznik_M3_MP,IF(ISNUMBER(SEARCH("GJ",UPPER(J176))),I176/Przelicznik_GJ_tona/Przelicznik_MP_tona,I176)))))</f>
        <v/>
      </c>
      <c r="AF176" s="20">
        <f>IF(I176="",0,IF(ISNUMBER(SEARCH("TON",UPPER(J176))),I176,IF(ISNUMBER(SEARCH("GJ",UPPER(J176))),I176/Przelicznik_GJ_tona,AE176*Przelicznik_MP_tona)))</f>
        <v/>
      </c>
      <c r="AG176" s="20">
        <f>AF176*Przelicznik_GJ_tona</f>
        <v/>
      </c>
      <c r="AH176" s="20">
        <f>IF(UPPER(AD176)="SKORYGOWANY",0,IF(OR(UPPER(E176)="TRANSPORT",UPPER(E176)="MM"),0,IF(UPPER(G176)&lt;&gt;"TAK",0,IF(OR(UPPER(E176)="ZAKUP",UPPER(E176)="PRODUKCJA"),AE176,IF(OR(UPPER(E176)="SPRZEDAŻ",UPPER(E176)="ZUŻYCIE"),-AE176,0)))))</f>
        <v/>
      </c>
      <c r="AI176" s="20">
        <f>IF(UPPER(AD176)="SKORYGOWANY",0,IF(OR(UPPER(E176)="TRANSPORT",UPPER(E176)="MM"),0,IF(UPPER(G176)&lt;&gt;"TAK",0,IF(OR(UPPER(E176)="ZAKUP",UPPER(E176)="PRODUKCJA"),AF176,IF(OR(UPPER(E176)="SPRZEDAŻ",UPPER(E176)="ZUŻYCIE"),-AF176,0)))))</f>
        <v/>
      </c>
      <c r="AJ176" s="21">
        <f>IF(UPPER(AD176)="SKORYGOWANY",0,IF(UPPER(E176)="ZAKUP",IF(L176&lt;&gt;"",L176,I176*K176),0))</f>
        <v/>
      </c>
      <c r="AK176" s="21">
        <f>IF(UPPER(AD176)="SKORYGOWANY",0,IF(UPPER(E176)="SPRZEDAŻ",IF(L176&lt;&gt;"",L176,I176*M176),0))</f>
        <v/>
      </c>
      <c r="AL176" s="21">
        <f>AE176*Q176</f>
        <v/>
      </c>
      <c r="AM176">
        <f>IF(R176="","",IF(LOWER(R176)="brak","Brak",IF(OR(ISNUMBER(SEARCH("własn",LOWER(R176))),ISNUMBER(SEARCH("wlasn",LOWER(R176))),ISNUMBER(SEARCH("wojciechowski",LOWER(R176)))),"Własny","Zewnętrzny")))</f>
        <v/>
      </c>
      <c r="AN176" s="24">
        <f>IF(C176="","",YEAR(C176))</f>
        <v/>
      </c>
      <c r="AO176" s="24">
        <f>IF(C176="","",MONTH(C176))</f>
        <v/>
      </c>
      <c r="AP176">
        <f>IF(C176="","",UPPER(TEXT(C176,"mmmm")))</f>
        <v/>
      </c>
      <c r="AQ176">
        <f>IF(C176="","","Q"&amp;ROUNDUP(MONTH(C176)/3,0))</f>
        <v/>
      </c>
    </row>
    <row r="177">
      <c r="A177" s="19" t="n">
        <v>46230</v>
      </c>
      <c r="C177" s="19" t="n">
        <v>46230</v>
      </c>
      <c r="D177" t="inlineStr">
        <is>
          <t>Grandpol</t>
        </is>
      </c>
      <c r="E177" t="inlineStr">
        <is>
          <t>ZAKUP</t>
        </is>
      </c>
      <c r="F177" t="inlineStr">
        <is>
          <t>PZ/38</t>
        </is>
      </c>
      <c r="G177" t="inlineStr">
        <is>
          <t>TAK</t>
        </is>
      </c>
      <c r="H177" t="inlineStr">
        <is>
          <t>KZR</t>
        </is>
      </c>
      <c r="I177" s="20" t="n">
        <v>88</v>
      </c>
      <c r="J177" t="inlineStr">
        <is>
          <t>MP</t>
        </is>
      </c>
      <c r="K177" s="21" t="n">
        <v>45</v>
      </c>
      <c r="L177" s="21" t="n">
        <v>3960</v>
      </c>
      <c r="M177" s="21" t="n">
        <v>0</v>
      </c>
      <c r="N177" t="inlineStr">
        <is>
          <t>Zrębka Produkcyjna Inwestycyjna</t>
        </is>
      </c>
      <c r="O177" t="inlineStr">
        <is>
          <t>B</t>
        </is>
      </c>
      <c r="Q177" s="21" t="n">
        <v>0</v>
      </c>
      <c r="T177" s="22" t="n">
        <v>0</v>
      </c>
      <c r="U177" s="21" t="n">
        <v>0</v>
      </c>
      <c r="V177" s="21" t="n">
        <v>0</v>
      </c>
      <c r="W177" t="inlineStr">
        <is>
          <t>Magazyn Zabrze</t>
        </is>
      </c>
      <c r="Z177" t="inlineStr">
        <is>
          <t>Roesner Mateusz</t>
        </is>
      </c>
      <c r="AA177" s="23" t="n">
        <v>46234.283125</v>
      </c>
      <c r="AB177" t="inlineStr">
        <is>
          <t>OP-MIGR-00176</t>
        </is>
      </c>
      <c r="AD177" t="inlineStr">
        <is>
          <t>AKTYWNY</t>
        </is>
      </c>
      <c r="AE177" s="20">
        <f>IF(I177="",0,IF(ISNUMBER(SEARCH("MP",UPPER(J177))),I177,IF(ISNUMBER(SEARCH("TON",UPPER(J177))),I177/Przelicznik_MP_tona,IF(ISNUMBER(SEARCH("M3",UPPER(J177))),I177*Przelicznik_M3_MP,IF(ISNUMBER(SEARCH("GJ",UPPER(J177))),I177/Przelicznik_GJ_tona/Przelicznik_MP_tona,I177)))))</f>
        <v/>
      </c>
      <c r="AF177" s="20">
        <f>IF(I177="",0,IF(ISNUMBER(SEARCH("TON",UPPER(J177))),I177,IF(ISNUMBER(SEARCH("GJ",UPPER(J177))),I177/Przelicznik_GJ_tona,AE177*Przelicznik_MP_tona)))</f>
        <v/>
      </c>
      <c r="AG177" s="20">
        <f>AF177*Przelicznik_GJ_tona</f>
        <v/>
      </c>
      <c r="AH177" s="20">
        <f>IF(UPPER(AD177)="SKORYGOWANY",0,IF(OR(UPPER(E177)="TRANSPORT",UPPER(E177)="MM"),0,IF(UPPER(G177)&lt;&gt;"TAK",0,IF(OR(UPPER(E177)="ZAKUP",UPPER(E177)="PRODUKCJA"),AE177,IF(OR(UPPER(E177)="SPRZEDAŻ",UPPER(E177)="ZUŻYCIE"),-AE177,0)))))</f>
        <v/>
      </c>
      <c r="AI177" s="20">
        <f>IF(UPPER(AD177)="SKORYGOWANY",0,IF(OR(UPPER(E177)="TRANSPORT",UPPER(E177)="MM"),0,IF(UPPER(G177)&lt;&gt;"TAK",0,IF(OR(UPPER(E177)="ZAKUP",UPPER(E177)="PRODUKCJA"),AF177,IF(OR(UPPER(E177)="SPRZEDAŻ",UPPER(E177)="ZUŻYCIE"),-AF177,0)))))</f>
        <v/>
      </c>
      <c r="AJ177" s="21">
        <f>IF(UPPER(AD177)="SKORYGOWANY",0,IF(UPPER(E177)="ZAKUP",IF(L177&lt;&gt;"",L177,I177*K177),0))</f>
        <v/>
      </c>
      <c r="AK177" s="21">
        <f>IF(UPPER(AD177)="SKORYGOWANY",0,IF(UPPER(E177)="SPRZEDAŻ",IF(L177&lt;&gt;"",L177,I177*M177),0))</f>
        <v/>
      </c>
      <c r="AL177" s="21">
        <f>AE177*Q177</f>
        <v/>
      </c>
      <c r="AM177">
        <f>IF(R177="","",IF(LOWER(R177)="brak","Brak",IF(OR(ISNUMBER(SEARCH("własn",LOWER(R177))),ISNUMBER(SEARCH("wlasn",LOWER(R177))),ISNUMBER(SEARCH("wojciechowski",LOWER(R177)))),"Własny","Zewnętrzny")))</f>
        <v/>
      </c>
      <c r="AN177" s="24">
        <f>IF(C177="","",YEAR(C177))</f>
        <v/>
      </c>
      <c r="AO177" s="24">
        <f>IF(C177="","",MONTH(C177))</f>
        <v/>
      </c>
      <c r="AP177">
        <f>IF(C177="","",UPPER(TEXT(C177,"mmmm")))</f>
        <v/>
      </c>
      <c r="AQ177">
        <f>IF(C177="","","Q"&amp;ROUNDUP(MONTH(C177)/3,0))</f>
        <v/>
      </c>
    </row>
    <row r="178">
      <c r="A178" s="19" t="n">
        <v>46230</v>
      </c>
      <c r="C178" s="19" t="n">
        <v>46230</v>
      </c>
      <c r="D178" t="inlineStr">
        <is>
          <t>Magazyn Zabrze</t>
        </is>
      </c>
      <c r="E178" t="inlineStr">
        <is>
          <t>PRODUKCJA</t>
        </is>
      </c>
      <c r="F178" t="inlineStr">
        <is>
          <t>PZ/38</t>
        </is>
      </c>
      <c r="G178" t="inlineStr">
        <is>
          <t>TAK</t>
        </is>
      </c>
      <c r="H178" t="inlineStr">
        <is>
          <t>KZR</t>
        </is>
      </c>
      <c r="I178" s="20" t="n">
        <v>88</v>
      </c>
      <c r="J178" t="inlineStr">
        <is>
          <t>MP</t>
        </is>
      </c>
      <c r="K178" s="21" t="n">
        <v>0</v>
      </c>
      <c r="L178" s="21" t="n">
        <v>0</v>
      </c>
      <c r="M178" s="21" t="n">
        <v>0</v>
      </c>
      <c r="N178" t="inlineStr">
        <is>
          <t>Zrębka Produkcyjna Inwestycyjna</t>
        </is>
      </c>
      <c r="O178" t="inlineStr">
        <is>
          <t>B</t>
        </is>
      </c>
      <c r="P178" t="inlineStr">
        <is>
          <t>własne</t>
        </is>
      </c>
      <c r="Q178" s="21" t="n">
        <v>10</v>
      </c>
      <c r="T178" s="22" t="n">
        <v>0</v>
      </c>
      <c r="U178" s="21" t="n">
        <v>0</v>
      </c>
      <c r="V178" s="21" t="n">
        <v>0</v>
      </c>
      <c r="W178" t="inlineStr">
        <is>
          <t>Magazyn Zabrze</t>
        </is>
      </c>
      <c r="Z178" t="inlineStr">
        <is>
          <t>Roesner Mateusz</t>
        </is>
      </c>
      <c r="AA178" s="23" t="n">
        <v>46234.28349537037</v>
      </c>
      <c r="AB178" t="inlineStr">
        <is>
          <t>OP-MIGR-00177</t>
        </is>
      </c>
      <c r="AD178" t="inlineStr">
        <is>
          <t>AKTYWNY</t>
        </is>
      </c>
      <c r="AE178" s="20">
        <f>IF(I178="",0,IF(ISNUMBER(SEARCH("MP",UPPER(J178))),I178,IF(ISNUMBER(SEARCH("TON",UPPER(J178))),I178/Przelicznik_MP_tona,IF(ISNUMBER(SEARCH("M3",UPPER(J178))),I178*Przelicznik_M3_MP,IF(ISNUMBER(SEARCH("GJ",UPPER(J178))),I178/Przelicznik_GJ_tona/Przelicznik_MP_tona,I178)))))</f>
        <v/>
      </c>
      <c r="AF178" s="20">
        <f>IF(I178="",0,IF(ISNUMBER(SEARCH("TON",UPPER(J178))),I178,IF(ISNUMBER(SEARCH("GJ",UPPER(J178))),I178/Przelicznik_GJ_tona,AE178*Przelicznik_MP_tona)))</f>
        <v/>
      </c>
      <c r="AG178" s="20">
        <f>AF178*Przelicznik_GJ_tona</f>
        <v/>
      </c>
      <c r="AH178" s="20">
        <f>IF(UPPER(AD178)="SKORYGOWANY",0,IF(OR(UPPER(E178)="TRANSPORT",UPPER(E178)="MM"),0,IF(UPPER(G178)&lt;&gt;"TAK",0,IF(OR(UPPER(E178)="ZAKUP",UPPER(E178)="PRODUKCJA"),AE178,IF(OR(UPPER(E178)="SPRZEDAŻ",UPPER(E178)="ZUŻYCIE"),-AE178,0)))))</f>
        <v/>
      </c>
      <c r="AI178" s="20">
        <f>IF(UPPER(AD178)="SKORYGOWANY",0,IF(OR(UPPER(E178)="TRANSPORT",UPPER(E178)="MM"),0,IF(UPPER(G178)&lt;&gt;"TAK",0,IF(OR(UPPER(E178)="ZAKUP",UPPER(E178)="PRODUKCJA"),AF178,IF(OR(UPPER(E178)="SPRZEDAŻ",UPPER(E178)="ZUŻYCIE"),-AF178,0)))))</f>
        <v/>
      </c>
      <c r="AJ178" s="21">
        <f>IF(UPPER(AD178)="SKORYGOWANY",0,IF(UPPER(E178)="ZAKUP",IF(L178&lt;&gt;"",L178,I178*K178),0))</f>
        <v/>
      </c>
      <c r="AK178" s="21">
        <f>IF(UPPER(AD178)="SKORYGOWANY",0,IF(UPPER(E178)="SPRZEDAŻ",IF(L178&lt;&gt;"",L178,I178*M178),0))</f>
        <v/>
      </c>
      <c r="AL178" s="21">
        <f>AE178*Q178</f>
        <v/>
      </c>
      <c r="AM178">
        <f>IF(R178="","",IF(LOWER(R178)="brak","Brak",IF(OR(ISNUMBER(SEARCH("własn",LOWER(R178))),ISNUMBER(SEARCH("wlasn",LOWER(R178))),ISNUMBER(SEARCH("wojciechowski",LOWER(R178)))),"Własny","Zewnętrzny")))</f>
        <v/>
      </c>
      <c r="AN178" s="24">
        <f>IF(C178="","",YEAR(C178))</f>
        <v/>
      </c>
      <c r="AO178" s="24">
        <f>IF(C178="","",MONTH(C178))</f>
        <v/>
      </c>
      <c r="AP178">
        <f>IF(C178="","",UPPER(TEXT(C178,"mmmm")))</f>
        <v/>
      </c>
      <c r="AQ178">
        <f>IF(C178="","","Q"&amp;ROUNDUP(MONTH(C178)/3,0))</f>
        <v/>
      </c>
    </row>
    <row r="179">
      <c r="A179" s="19" t="n">
        <v>46230</v>
      </c>
      <c r="C179" s="19" t="n">
        <v>46230</v>
      </c>
      <c r="D179" t="inlineStr">
        <is>
          <t>Magazyn Zabrze</t>
        </is>
      </c>
      <c r="E179" t="inlineStr">
        <is>
          <t>ZUŻYCIE</t>
        </is>
      </c>
      <c r="F179" t="inlineStr">
        <is>
          <t>PZ/38</t>
        </is>
      </c>
      <c r="G179" t="inlineStr">
        <is>
          <t>TAK</t>
        </is>
      </c>
      <c r="H179" t="inlineStr">
        <is>
          <t>KZR</t>
        </is>
      </c>
      <c r="I179" s="20" t="n">
        <v>88</v>
      </c>
      <c r="J179" t="inlineStr">
        <is>
          <t>MP</t>
        </is>
      </c>
      <c r="K179" s="21" t="n">
        <v>0</v>
      </c>
      <c r="L179" s="21" t="n">
        <v>0</v>
      </c>
      <c r="M179" s="21" t="n">
        <v>0</v>
      </c>
      <c r="N179" t="inlineStr">
        <is>
          <t>Zrębka Produkcyjna Inwestycyjna</t>
        </is>
      </c>
      <c r="O179" t="inlineStr">
        <is>
          <t>B</t>
        </is>
      </c>
      <c r="P179" t="inlineStr">
        <is>
          <t>własne</t>
        </is>
      </c>
      <c r="Q179" s="21" t="n">
        <v>10</v>
      </c>
      <c r="T179" s="22" t="n">
        <v>0</v>
      </c>
      <c r="U179" s="21" t="n">
        <v>0</v>
      </c>
      <c r="V179" s="21" t="n">
        <v>0</v>
      </c>
      <c r="W179" t="inlineStr">
        <is>
          <t>Magazyn Zabrze</t>
        </is>
      </c>
      <c r="Y179" t="inlineStr">
        <is>
          <t>Automatyczne zużycie surowca do produkcji</t>
        </is>
      </c>
      <c r="AA179" s="23" t="n">
        <v>46234.28349537037</v>
      </c>
      <c r="AB179" t="inlineStr">
        <is>
          <t>OP-MIGR-00178</t>
        </is>
      </c>
      <c r="AD179" t="inlineStr">
        <is>
          <t>AKTYWNY</t>
        </is>
      </c>
      <c r="AE179" s="20">
        <f>IF(I179="",0,IF(ISNUMBER(SEARCH("MP",UPPER(J179))),I179,IF(ISNUMBER(SEARCH("TON",UPPER(J179))),I179/Przelicznik_MP_tona,IF(ISNUMBER(SEARCH("M3",UPPER(J179))),I179*Przelicznik_M3_MP,IF(ISNUMBER(SEARCH("GJ",UPPER(J179))),I179/Przelicznik_GJ_tona/Przelicznik_MP_tona,I179)))))</f>
        <v/>
      </c>
      <c r="AF179" s="20">
        <f>IF(I179="",0,IF(ISNUMBER(SEARCH("TON",UPPER(J179))),I179,IF(ISNUMBER(SEARCH("GJ",UPPER(J179))),I179/Przelicznik_GJ_tona,AE179*Przelicznik_MP_tona)))</f>
        <v/>
      </c>
      <c r="AG179" s="20">
        <f>AF179*Przelicznik_GJ_tona</f>
        <v/>
      </c>
      <c r="AH179" s="20">
        <f>IF(UPPER(AD179)="SKORYGOWANY",0,IF(OR(UPPER(E179)="TRANSPORT",UPPER(E179)="MM"),0,IF(UPPER(G179)&lt;&gt;"TAK",0,IF(OR(UPPER(E179)="ZAKUP",UPPER(E179)="PRODUKCJA"),AE179,IF(OR(UPPER(E179)="SPRZEDAŻ",UPPER(E179)="ZUŻYCIE"),-AE179,0)))))</f>
        <v/>
      </c>
      <c r="AI179" s="20">
        <f>IF(UPPER(AD179)="SKORYGOWANY",0,IF(OR(UPPER(E179)="TRANSPORT",UPPER(E179)="MM"),0,IF(UPPER(G179)&lt;&gt;"TAK",0,IF(OR(UPPER(E179)="ZAKUP",UPPER(E179)="PRODUKCJA"),AF179,IF(OR(UPPER(E179)="SPRZEDAŻ",UPPER(E179)="ZUŻYCIE"),-AF179,0)))))</f>
        <v/>
      </c>
      <c r="AJ179" s="21">
        <f>IF(UPPER(AD179)="SKORYGOWANY",0,IF(UPPER(E179)="ZAKUP",IF(L179&lt;&gt;"",L179,I179*K179),0))</f>
        <v/>
      </c>
      <c r="AK179" s="21">
        <f>IF(UPPER(AD179)="SKORYGOWANY",0,IF(UPPER(E179)="SPRZEDAŻ",IF(L179&lt;&gt;"",L179,I179*M179),0))</f>
        <v/>
      </c>
      <c r="AL179" s="21">
        <f>AE179*Q179</f>
        <v/>
      </c>
      <c r="AM179">
        <f>IF(R179="","",IF(LOWER(R179)="brak","Brak",IF(OR(ISNUMBER(SEARCH("własn",LOWER(R179))),ISNUMBER(SEARCH("wlasn",LOWER(R179))),ISNUMBER(SEARCH("wojciechowski",LOWER(R179)))),"Własny","Zewnętrzny")))</f>
        <v/>
      </c>
      <c r="AN179" s="24">
        <f>IF(C179="","",YEAR(C179))</f>
        <v/>
      </c>
      <c r="AO179" s="24">
        <f>IF(C179="","",MONTH(C179))</f>
        <v/>
      </c>
      <c r="AP179">
        <f>IF(C179="","",UPPER(TEXT(C179,"mmmm")))</f>
        <v/>
      </c>
      <c r="AQ179">
        <f>IF(C179="","","Q"&amp;ROUNDUP(MONTH(C179)/3,0))</f>
        <v/>
      </c>
    </row>
    <row r="180">
      <c r="A180" s="19" t="n">
        <v>46230</v>
      </c>
      <c r="B180" t="inlineStr">
        <is>
          <t>Ściborzyce</t>
        </is>
      </c>
      <c r="C180" s="19" t="n">
        <v>46230</v>
      </c>
      <c r="D180" t="inlineStr">
        <is>
          <t>Magazyn Zabrze</t>
        </is>
      </c>
      <c r="E180" t="inlineStr">
        <is>
          <t>ZAKUP</t>
        </is>
      </c>
      <c r="F180" t="inlineStr">
        <is>
          <t>PZ/38</t>
        </is>
      </c>
      <c r="G180" t="inlineStr">
        <is>
          <t>TAK</t>
        </is>
      </c>
      <c r="H180" t="inlineStr">
        <is>
          <t>KZR</t>
        </is>
      </c>
      <c r="I180" s="20" t="n">
        <v>88</v>
      </c>
      <c r="J180" t="inlineStr">
        <is>
          <t>MP</t>
        </is>
      </c>
      <c r="K180" s="21" t="n">
        <v>0</v>
      </c>
      <c r="L180" s="21" t="n">
        <v>0</v>
      </c>
      <c r="M180" s="21" t="n">
        <v>0</v>
      </c>
      <c r="N180" t="inlineStr">
        <is>
          <t>Zrębka Produkcyjna Inwestycyjna</t>
        </is>
      </c>
      <c r="O180" t="inlineStr">
        <is>
          <t>B</t>
        </is>
      </c>
      <c r="Q180" s="21" t="n">
        <v>0</v>
      </c>
      <c r="R180" t="inlineStr">
        <is>
          <t>własny (Kretek)</t>
        </is>
      </c>
      <c r="S180" t="inlineStr">
        <is>
          <t>SK 7J885</t>
        </is>
      </c>
      <c r="T180" s="22" t="n">
        <v>200</v>
      </c>
      <c r="U180" s="21" t="n">
        <v>5</v>
      </c>
      <c r="V180" s="21" t="n">
        <v>1000</v>
      </c>
      <c r="W180" t="inlineStr">
        <is>
          <t>Magazyn Zabrze</t>
        </is>
      </c>
      <c r="Z180" t="inlineStr">
        <is>
          <t>Roesner Mateusz</t>
        </is>
      </c>
      <c r="AA180" s="23" t="n">
        <v>46234.28434027778</v>
      </c>
      <c r="AB180" t="inlineStr">
        <is>
          <t>OP-MIGR-00179</t>
        </is>
      </c>
      <c r="AD180" t="inlineStr">
        <is>
          <t>AKTYWNY</t>
        </is>
      </c>
      <c r="AE180" s="20">
        <f>IF(I180="",0,IF(ISNUMBER(SEARCH("MP",UPPER(J180))),I180,IF(ISNUMBER(SEARCH("TON",UPPER(J180))),I180/Przelicznik_MP_tona,IF(ISNUMBER(SEARCH("M3",UPPER(J180))),I180*Przelicznik_M3_MP,IF(ISNUMBER(SEARCH("GJ",UPPER(J180))),I180/Przelicznik_GJ_tona/Przelicznik_MP_tona,I180)))))</f>
        <v/>
      </c>
      <c r="AF180" s="20">
        <f>IF(I180="",0,IF(ISNUMBER(SEARCH("TON",UPPER(J180))),I180,IF(ISNUMBER(SEARCH("GJ",UPPER(J180))),I180/Przelicznik_GJ_tona,AE180*Przelicznik_MP_tona)))</f>
        <v/>
      </c>
      <c r="AG180" s="20">
        <f>AF180*Przelicznik_GJ_tona</f>
        <v/>
      </c>
      <c r="AH180" s="20">
        <f>IF(UPPER(AD180)="SKORYGOWANY",0,IF(OR(UPPER(E180)="TRANSPORT",UPPER(E180)="MM"),0,IF(UPPER(G180)&lt;&gt;"TAK",0,IF(OR(UPPER(E180)="ZAKUP",UPPER(E180)="PRODUKCJA"),AE180,IF(OR(UPPER(E180)="SPRZEDAŻ",UPPER(E180)="ZUŻYCIE"),-AE180,0)))))</f>
        <v/>
      </c>
      <c r="AI180" s="20">
        <f>IF(UPPER(AD180)="SKORYGOWANY",0,IF(OR(UPPER(E180)="TRANSPORT",UPPER(E180)="MM"),0,IF(UPPER(G180)&lt;&gt;"TAK",0,IF(OR(UPPER(E180)="ZAKUP",UPPER(E180)="PRODUKCJA"),AF180,IF(OR(UPPER(E180)="SPRZEDAŻ",UPPER(E180)="ZUŻYCIE"),-AF180,0)))))</f>
        <v/>
      </c>
      <c r="AJ180" s="21">
        <f>IF(UPPER(AD180)="SKORYGOWANY",0,IF(UPPER(E180)="ZAKUP",IF(L180&lt;&gt;"",L180,I180*K180),0))</f>
        <v/>
      </c>
      <c r="AK180" s="21">
        <f>IF(UPPER(AD180)="SKORYGOWANY",0,IF(UPPER(E180)="SPRZEDAŻ",IF(L180&lt;&gt;"",L180,I180*M180),0))</f>
        <v/>
      </c>
      <c r="AL180" s="21">
        <f>AE180*Q180</f>
        <v/>
      </c>
      <c r="AM180">
        <f>IF(R180="","",IF(LOWER(R180)="brak","Brak",IF(OR(ISNUMBER(SEARCH("własn",LOWER(R180))),ISNUMBER(SEARCH("wlasn",LOWER(R180))),ISNUMBER(SEARCH("wojciechowski",LOWER(R180)))),"Własny","Zewnętrzny")))</f>
        <v/>
      </c>
      <c r="AN180" s="24">
        <f>IF(C180="","",YEAR(C180))</f>
        <v/>
      </c>
      <c r="AO180" s="24">
        <f>IF(C180="","",MONTH(C180))</f>
        <v/>
      </c>
      <c r="AP180">
        <f>IF(C180="","",UPPER(TEXT(C180,"mmmm")))</f>
        <v/>
      </c>
      <c r="AQ180">
        <f>IF(C180="","","Q"&amp;ROUNDUP(MONTH(C180)/3,0))</f>
        <v/>
      </c>
    </row>
    <row r="181">
      <c r="A181" s="19" t="n">
        <v>46230</v>
      </c>
      <c r="C181" s="19" t="n">
        <v>46230</v>
      </c>
      <c r="D181" t="inlineStr">
        <is>
          <t>Grandpol</t>
        </is>
      </c>
      <c r="E181" t="inlineStr">
        <is>
          <t>ZAKUP</t>
        </is>
      </c>
      <c r="F181" t="inlineStr">
        <is>
          <t>PZ/39</t>
        </is>
      </c>
      <c r="G181" t="inlineStr">
        <is>
          <t>TAK</t>
        </is>
      </c>
      <c r="H181" t="inlineStr">
        <is>
          <t>KZR</t>
        </is>
      </c>
      <c r="I181" s="20" t="n">
        <v>87</v>
      </c>
      <c r="J181" t="inlineStr">
        <is>
          <t>MP</t>
        </is>
      </c>
      <c r="K181" s="21" t="n">
        <v>45</v>
      </c>
      <c r="L181" s="21" t="n">
        <v>3915</v>
      </c>
      <c r="M181" s="21" t="n">
        <v>0</v>
      </c>
      <c r="N181" t="inlineStr">
        <is>
          <t>Drewno przemysłowe z wycinek inwest.</t>
        </is>
      </c>
      <c r="O181" t="inlineStr">
        <is>
          <t>B</t>
        </is>
      </c>
      <c r="Q181" s="21" t="n">
        <v>0</v>
      </c>
      <c r="T181" s="22" t="n">
        <v>0</v>
      </c>
      <c r="U181" s="21" t="n">
        <v>0</v>
      </c>
      <c r="V181" s="21" t="n">
        <v>0</v>
      </c>
      <c r="W181" t="inlineStr">
        <is>
          <t>Magazyn Zabrze</t>
        </is>
      </c>
      <c r="Z181" t="inlineStr">
        <is>
          <t>Roesner Mateusz</t>
        </is>
      </c>
      <c r="AA181" s="23" t="n">
        <v>46234.30508101852</v>
      </c>
      <c r="AB181" t="inlineStr">
        <is>
          <t>OP-MIGR-00180</t>
        </is>
      </c>
      <c r="AD181" t="inlineStr">
        <is>
          <t>AKTYWNY</t>
        </is>
      </c>
      <c r="AE181" s="20">
        <f>IF(I181="",0,IF(ISNUMBER(SEARCH("MP",UPPER(J181))),I181,IF(ISNUMBER(SEARCH("TON",UPPER(J181))),I181/Przelicznik_MP_tona,IF(ISNUMBER(SEARCH("M3",UPPER(J181))),I181*Przelicznik_M3_MP,IF(ISNUMBER(SEARCH("GJ",UPPER(J181))),I181/Przelicznik_GJ_tona/Przelicznik_MP_tona,I181)))))</f>
        <v/>
      </c>
      <c r="AF181" s="20">
        <f>IF(I181="",0,IF(ISNUMBER(SEARCH("TON",UPPER(J181))),I181,IF(ISNUMBER(SEARCH("GJ",UPPER(J181))),I181/Przelicznik_GJ_tona,AE181*Przelicznik_MP_tona)))</f>
        <v/>
      </c>
      <c r="AG181" s="20">
        <f>AF181*Przelicznik_GJ_tona</f>
        <v/>
      </c>
      <c r="AH181" s="20">
        <f>IF(UPPER(AD181)="SKORYGOWANY",0,IF(OR(UPPER(E181)="TRANSPORT",UPPER(E181)="MM"),0,IF(UPPER(G181)&lt;&gt;"TAK",0,IF(OR(UPPER(E181)="ZAKUP",UPPER(E181)="PRODUKCJA"),AE181,IF(OR(UPPER(E181)="SPRZEDAŻ",UPPER(E181)="ZUŻYCIE"),-AE181,0)))))</f>
        <v/>
      </c>
      <c r="AI181" s="20">
        <f>IF(UPPER(AD181)="SKORYGOWANY",0,IF(OR(UPPER(E181)="TRANSPORT",UPPER(E181)="MM"),0,IF(UPPER(G181)&lt;&gt;"TAK",0,IF(OR(UPPER(E181)="ZAKUP",UPPER(E181)="PRODUKCJA"),AF181,IF(OR(UPPER(E181)="SPRZEDAŻ",UPPER(E181)="ZUŻYCIE"),-AF181,0)))))</f>
        <v/>
      </c>
      <c r="AJ181" s="21">
        <f>IF(UPPER(AD181)="SKORYGOWANY",0,IF(UPPER(E181)="ZAKUP",IF(L181&lt;&gt;"",L181,I181*K181),0))</f>
        <v/>
      </c>
      <c r="AK181" s="21">
        <f>IF(UPPER(AD181)="SKORYGOWANY",0,IF(UPPER(E181)="SPRZEDAŻ",IF(L181&lt;&gt;"",L181,I181*M181),0))</f>
        <v/>
      </c>
      <c r="AL181" s="21">
        <f>AE181*Q181</f>
        <v/>
      </c>
      <c r="AM181">
        <f>IF(R181="","",IF(LOWER(R181)="brak","Brak",IF(OR(ISNUMBER(SEARCH("własn",LOWER(R181))),ISNUMBER(SEARCH("wlasn",LOWER(R181))),ISNUMBER(SEARCH("wojciechowski",LOWER(R181)))),"Własny","Zewnętrzny")))</f>
        <v/>
      </c>
      <c r="AN181" s="24">
        <f>IF(C181="","",YEAR(C181))</f>
        <v/>
      </c>
      <c r="AO181" s="24">
        <f>IF(C181="","",MONTH(C181))</f>
        <v/>
      </c>
      <c r="AP181">
        <f>IF(C181="","",UPPER(TEXT(C181,"mmmm")))</f>
        <v/>
      </c>
      <c r="AQ181">
        <f>IF(C181="","","Q"&amp;ROUNDUP(MONTH(C181)/3,0))</f>
        <v/>
      </c>
    </row>
    <row r="182">
      <c r="A182" s="19" t="n">
        <v>46230</v>
      </c>
      <c r="C182" s="19" t="n">
        <v>46230</v>
      </c>
      <c r="D182" t="inlineStr">
        <is>
          <t>Magazyn Zabrze</t>
        </is>
      </c>
      <c r="E182" t="inlineStr">
        <is>
          <t>PRODUKCJA</t>
        </is>
      </c>
      <c r="F182" t="inlineStr">
        <is>
          <t>PZ/39</t>
        </is>
      </c>
      <c r="G182" t="inlineStr">
        <is>
          <t>TAK</t>
        </is>
      </c>
      <c r="H182" t="inlineStr">
        <is>
          <t>KZR</t>
        </is>
      </c>
      <c r="I182" s="20" t="n">
        <v>87</v>
      </c>
      <c r="J182" t="inlineStr">
        <is>
          <t>MP</t>
        </is>
      </c>
      <c r="K182" s="21" t="n">
        <v>0</v>
      </c>
      <c r="L182" s="21" t="n">
        <v>0</v>
      </c>
      <c r="M182" s="21" t="n">
        <v>0</v>
      </c>
      <c r="N182" t="inlineStr">
        <is>
          <t>Zrębka Produkcyjna Inwestycyjna</t>
        </is>
      </c>
      <c r="O182" t="inlineStr">
        <is>
          <t>B</t>
        </is>
      </c>
      <c r="P182" t="inlineStr">
        <is>
          <t>własne</t>
        </is>
      </c>
      <c r="Q182" s="21" t="n">
        <v>10</v>
      </c>
      <c r="T182" s="22" t="n">
        <v>0</v>
      </c>
      <c r="U182" s="21" t="n">
        <v>0</v>
      </c>
      <c r="V182" s="21" t="n">
        <v>0</v>
      </c>
      <c r="W182" t="inlineStr">
        <is>
          <t>Magazyn Zabrze</t>
        </is>
      </c>
      <c r="Z182" t="inlineStr">
        <is>
          <t>Roesner Mateusz</t>
        </is>
      </c>
      <c r="AA182" s="23" t="n">
        <v>46234.30545138889</v>
      </c>
      <c r="AB182" t="inlineStr">
        <is>
          <t>OP-MIGR-00181</t>
        </is>
      </c>
      <c r="AD182" t="inlineStr">
        <is>
          <t>AKTYWNY</t>
        </is>
      </c>
      <c r="AE182" s="20">
        <f>IF(I182="",0,IF(ISNUMBER(SEARCH("MP",UPPER(J182))),I182,IF(ISNUMBER(SEARCH("TON",UPPER(J182))),I182/Przelicznik_MP_tona,IF(ISNUMBER(SEARCH("M3",UPPER(J182))),I182*Przelicznik_M3_MP,IF(ISNUMBER(SEARCH("GJ",UPPER(J182))),I182/Przelicznik_GJ_tona/Przelicznik_MP_tona,I182)))))</f>
        <v/>
      </c>
      <c r="AF182" s="20">
        <f>IF(I182="",0,IF(ISNUMBER(SEARCH("TON",UPPER(J182))),I182,IF(ISNUMBER(SEARCH("GJ",UPPER(J182))),I182/Przelicznik_GJ_tona,AE182*Przelicznik_MP_tona)))</f>
        <v/>
      </c>
      <c r="AG182" s="20">
        <f>AF182*Przelicznik_GJ_tona</f>
        <v/>
      </c>
      <c r="AH182" s="20">
        <f>IF(UPPER(AD182)="SKORYGOWANY",0,IF(OR(UPPER(E182)="TRANSPORT",UPPER(E182)="MM"),0,IF(UPPER(G182)&lt;&gt;"TAK",0,IF(OR(UPPER(E182)="ZAKUP",UPPER(E182)="PRODUKCJA"),AE182,IF(OR(UPPER(E182)="SPRZEDAŻ",UPPER(E182)="ZUŻYCIE"),-AE182,0)))))</f>
        <v/>
      </c>
      <c r="AI182" s="20">
        <f>IF(UPPER(AD182)="SKORYGOWANY",0,IF(OR(UPPER(E182)="TRANSPORT",UPPER(E182)="MM"),0,IF(UPPER(G182)&lt;&gt;"TAK",0,IF(OR(UPPER(E182)="ZAKUP",UPPER(E182)="PRODUKCJA"),AF182,IF(OR(UPPER(E182)="SPRZEDAŻ",UPPER(E182)="ZUŻYCIE"),-AF182,0)))))</f>
        <v/>
      </c>
      <c r="AJ182" s="21">
        <f>IF(UPPER(AD182)="SKORYGOWANY",0,IF(UPPER(E182)="ZAKUP",IF(L182&lt;&gt;"",L182,I182*K182),0))</f>
        <v/>
      </c>
      <c r="AK182" s="21">
        <f>IF(UPPER(AD182)="SKORYGOWANY",0,IF(UPPER(E182)="SPRZEDAŻ",IF(L182&lt;&gt;"",L182,I182*M182),0))</f>
        <v/>
      </c>
      <c r="AL182" s="21">
        <f>AE182*Q182</f>
        <v/>
      </c>
      <c r="AM182">
        <f>IF(R182="","",IF(LOWER(R182)="brak","Brak",IF(OR(ISNUMBER(SEARCH("własn",LOWER(R182))),ISNUMBER(SEARCH("wlasn",LOWER(R182))),ISNUMBER(SEARCH("wojciechowski",LOWER(R182)))),"Własny","Zewnętrzny")))</f>
        <v/>
      </c>
      <c r="AN182" s="24">
        <f>IF(C182="","",YEAR(C182))</f>
        <v/>
      </c>
      <c r="AO182" s="24">
        <f>IF(C182="","",MONTH(C182))</f>
        <v/>
      </c>
      <c r="AP182">
        <f>IF(C182="","",UPPER(TEXT(C182,"mmmm")))</f>
        <v/>
      </c>
      <c r="AQ182">
        <f>IF(C182="","","Q"&amp;ROUNDUP(MONTH(C182)/3,0))</f>
        <v/>
      </c>
    </row>
    <row r="183">
      <c r="A183" s="19" t="n">
        <v>46230</v>
      </c>
      <c r="C183" s="19" t="n">
        <v>46230</v>
      </c>
      <c r="D183" t="inlineStr">
        <is>
          <t>Magazyn Zabrze</t>
        </is>
      </c>
      <c r="E183" t="inlineStr">
        <is>
          <t>ZUŻYCIE</t>
        </is>
      </c>
      <c r="F183" t="inlineStr">
        <is>
          <t>PZ/39</t>
        </is>
      </c>
      <c r="G183" t="inlineStr">
        <is>
          <t>TAK</t>
        </is>
      </c>
      <c r="H183" t="inlineStr">
        <is>
          <t>KZR</t>
        </is>
      </c>
      <c r="I183" s="20" t="n">
        <v>87</v>
      </c>
      <c r="J183" t="inlineStr">
        <is>
          <t>MP</t>
        </is>
      </c>
      <c r="K183" s="21" t="n">
        <v>0</v>
      </c>
      <c r="L183" s="21" t="n">
        <v>0</v>
      </c>
      <c r="M183" s="21" t="n">
        <v>0</v>
      </c>
      <c r="N183" t="inlineStr">
        <is>
          <t>Zrębka Produkcyjna Inwestycyjna</t>
        </is>
      </c>
      <c r="O183" t="inlineStr">
        <is>
          <t>B</t>
        </is>
      </c>
      <c r="P183" t="inlineStr">
        <is>
          <t>własne</t>
        </is>
      </c>
      <c r="Q183" s="21" t="n">
        <v>10</v>
      </c>
      <c r="T183" s="22" t="n">
        <v>0</v>
      </c>
      <c r="U183" s="21" t="n">
        <v>0</v>
      </c>
      <c r="V183" s="21" t="n">
        <v>0</v>
      </c>
      <c r="W183" t="inlineStr">
        <is>
          <t>Magazyn Zabrze</t>
        </is>
      </c>
      <c r="Y183" t="inlineStr">
        <is>
          <t>Automatyczne zużycie surowca do produkcji</t>
        </is>
      </c>
      <c r="AA183" s="23" t="n">
        <v>46234.30545138889</v>
      </c>
      <c r="AB183" t="inlineStr">
        <is>
          <t>OP-MIGR-00182</t>
        </is>
      </c>
      <c r="AD183" t="inlineStr">
        <is>
          <t>AKTYWNY</t>
        </is>
      </c>
      <c r="AE183" s="20">
        <f>IF(I183="",0,IF(ISNUMBER(SEARCH("MP",UPPER(J183))),I183,IF(ISNUMBER(SEARCH("TON",UPPER(J183))),I183/Przelicznik_MP_tona,IF(ISNUMBER(SEARCH("M3",UPPER(J183))),I183*Przelicznik_M3_MP,IF(ISNUMBER(SEARCH("GJ",UPPER(J183))),I183/Przelicznik_GJ_tona/Przelicznik_MP_tona,I183)))))</f>
        <v/>
      </c>
      <c r="AF183" s="20">
        <f>IF(I183="",0,IF(ISNUMBER(SEARCH("TON",UPPER(J183))),I183,IF(ISNUMBER(SEARCH("GJ",UPPER(J183))),I183/Przelicznik_GJ_tona,AE183*Przelicznik_MP_tona)))</f>
        <v/>
      </c>
      <c r="AG183" s="20">
        <f>AF183*Przelicznik_GJ_tona</f>
        <v/>
      </c>
      <c r="AH183" s="20">
        <f>IF(UPPER(AD183)="SKORYGOWANY",0,IF(OR(UPPER(E183)="TRANSPORT",UPPER(E183)="MM"),0,IF(UPPER(G183)&lt;&gt;"TAK",0,IF(OR(UPPER(E183)="ZAKUP",UPPER(E183)="PRODUKCJA"),AE183,IF(OR(UPPER(E183)="SPRZEDAŻ",UPPER(E183)="ZUŻYCIE"),-AE183,0)))))</f>
        <v/>
      </c>
      <c r="AI183" s="20">
        <f>IF(UPPER(AD183)="SKORYGOWANY",0,IF(OR(UPPER(E183)="TRANSPORT",UPPER(E183)="MM"),0,IF(UPPER(G183)&lt;&gt;"TAK",0,IF(OR(UPPER(E183)="ZAKUP",UPPER(E183)="PRODUKCJA"),AF183,IF(OR(UPPER(E183)="SPRZEDAŻ",UPPER(E183)="ZUŻYCIE"),-AF183,0)))))</f>
        <v/>
      </c>
      <c r="AJ183" s="21">
        <f>IF(UPPER(AD183)="SKORYGOWANY",0,IF(UPPER(E183)="ZAKUP",IF(L183&lt;&gt;"",L183,I183*K183),0))</f>
        <v/>
      </c>
      <c r="AK183" s="21">
        <f>IF(UPPER(AD183)="SKORYGOWANY",0,IF(UPPER(E183)="SPRZEDAŻ",IF(L183&lt;&gt;"",L183,I183*M183),0))</f>
        <v/>
      </c>
      <c r="AL183" s="21">
        <f>AE183*Q183</f>
        <v/>
      </c>
      <c r="AM183">
        <f>IF(R183="","",IF(LOWER(R183)="brak","Brak",IF(OR(ISNUMBER(SEARCH("własn",LOWER(R183))),ISNUMBER(SEARCH("wlasn",LOWER(R183))),ISNUMBER(SEARCH("wojciechowski",LOWER(R183)))),"Własny","Zewnętrzny")))</f>
        <v/>
      </c>
      <c r="AN183" s="24">
        <f>IF(C183="","",YEAR(C183))</f>
        <v/>
      </c>
      <c r="AO183" s="24">
        <f>IF(C183="","",MONTH(C183))</f>
        <v/>
      </c>
      <c r="AP183">
        <f>IF(C183="","",UPPER(TEXT(C183,"mmmm")))</f>
        <v/>
      </c>
      <c r="AQ183">
        <f>IF(C183="","","Q"&amp;ROUNDUP(MONTH(C183)/3,0))</f>
        <v/>
      </c>
    </row>
    <row r="184">
      <c r="A184" s="19" t="n">
        <v>46230</v>
      </c>
      <c r="B184" t="inlineStr">
        <is>
          <t>Ściborzyce</t>
        </is>
      </c>
      <c r="C184" s="19" t="n">
        <v>46230</v>
      </c>
      <c r="D184" t="inlineStr">
        <is>
          <t>Magazyn Zabrze</t>
        </is>
      </c>
      <c r="E184" t="inlineStr">
        <is>
          <t>ZAKUP</t>
        </is>
      </c>
      <c r="F184" t="inlineStr">
        <is>
          <t>PZ/39</t>
        </is>
      </c>
      <c r="G184" t="inlineStr">
        <is>
          <t>TAK</t>
        </is>
      </c>
      <c r="H184" t="inlineStr">
        <is>
          <t>KZR</t>
        </is>
      </c>
      <c r="I184" s="20" t="n">
        <v>87</v>
      </c>
      <c r="J184" t="inlineStr">
        <is>
          <t>MP</t>
        </is>
      </c>
      <c r="K184" s="21" t="n">
        <v>0</v>
      </c>
      <c r="L184" s="21" t="n">
        <v>0</v>
      </c>
      <c r="M184" s="21" t="n">
        <v>0</v>
      </c>
      <c r="N184" t="inlineStr">
        <is>
          <t>Zrębka Produkcyjna Inwestycyjna</t>
        </is>
      </c>
      <c r="O184" t="inlineStr">
        <is>
          <t>B</t>
        </is>
      </c>
      <c r="Q184" s="21" t="n">
        <v>0</v>
      </c>
      <c r="R184" t="inlineStr">
        <is>
          <t>Nowatrans</t>
        </is>
      </c>
      <c r="S184" t="inlineStr">
        <is>
          <t>WND 3546F</t>
        </is>
      </c>
      <c r="T184" s="22" t="n">
        <v>200</v>
      </c>
      <c r="U184" s="21" t="n">
        <v>6</v>
      </c>
      <c r="V184" s="21" t="n">
        <v>1200</v>
      </c>
      <c r="W184" t="inlineStr">
        <is>
          <t>Magazyn Zabrze</t>
        </is>
      </c>
      <c r="Z184" t="inlineStr">
        <is>
          <t>Roesner Mateusz</t>
        </is>
      </c>
      <c r="AA184" s="23" t="n">
        <v>46234.30613425926</v>
      </c>
      <c r="AB184" t="inlineStr">
        <is>
          <t>OP-MIGR-00183</t>
        </is>
      </c>
      <c r="AD184" t="inlineStr">
        <is>
          <t>AKTYWNY</t>
        </is>
      </c>
      <c r="AE184" s="20">
        <f>IF(I184="",0,IF(ISNUMBER(SEARCH("MP",UPPER(J184))),I184,IF(ISNUMBER(SEARCH("TON",UPPER(J184))),I184/Przelicznik_MP_tona,IF(ISNUMBER(SEARCH("M3",UPPER(J184))),I184*Przelicznik_M3_MP,IF(ISNUMBER(SEARCH("GJ",UPPER(J184))),I184/Przelicznik_GJ_tona/Przelicznik_MP_tona,I184)))))</f>
        <v/>
      </c>
      <c r="AF184" s="20">
        <f>IF(I184="",0,IF(ISNUMBER(SEARCH("TON",UPPER(J184))),I184,IF(ISNUMBER(SEARCH("GJ",UPPER(J184))),I184/Przelicznik_GJ_tona,AE184*Przelicznik_MP_tona)))</f>
        <v/>
      </c>
      <c r="AG184" s="20">
        <f>AF184*Przelicznik_GJ_tona</f>
        <v/>
      </c>
      <c r="AH184" s="20">
        <f>IF(UPPER(AD184)="SKORYGOWANY",0,IF(OR(UPPER(E184)="TRANSPORT",UPPER(E184)="MM"),0,IF(UPPER(G184)&lt;&gt;"TAK",0,IF(OR(UPPER(E184)="ZAKUP",UPPER(E184)="PRODUKCJA"),AE184,IF(OR(UPPER(E184)="SPRZEDAŻ",UPPER(E184)="ZUŻYCIE"),-AE184,0)))))</f>
        <v/>
      </c>
      <c r="AI184" s="20">
        <f>IF(UPPER(AD184)="SKORYGOWANY",0,IF(OR(UPPER(E184)="TRANSPORT",UPPER(E184)="MM"),0,IF(UPPER(G184)&lt;&gt;"TAK",0,IF(OR(UPPER(E184)="ZAKUP",UPPER(E184)="PRODUKCJA"),AF184,IF(OR(UPPER(E184)="SPRZEDAŻ",UPPER(E184)="ZUŻYCIE"),-AF184,0)))))</f>
        <v/>
      </c>
      <c r="AJ184" s="21">
        <f>IF(UPPER(AD184)="SKORYGOWANY",0,IF(UPPER(E184)="ZAKUP",IF(L184&lt;&gt;"",L184,I184*K184),0))</f>
        <v/>
      </c>
      <c r="AK184" s="21">
        <f>IF(UPPER(AD184)="SKORYGOWANY",0,IF(UPPER(E184)="SPRZEDAŻ",IF(L184&lt;&gt;"",L184,I184*M184),0))</f>
        <v/>
      </c>
      <c r="AL184" s="21">
        <f>AE184*Q184</f>
        <v/>
      </c>
      <c r="AM184">
        <f>IF(R184="","",IF(LOWER(R184)="brak","Brak",IF(OR(ISNUMBER(SEARCH("własn",LOWER(R184))),ISNUMBER(SEARCH("wlasn",LOWER(R184))),ISNUMBER(SEARCH("wojciechowski",LOWER(R184)))),"Własny","Zewnętrzny")))</f>
        <v/>
      </c>
      <c r="AN184" s="24">
        <f>IF(C184="","",YEAR(C184))</f>
        <v/>
      </c>
      <c r="AO184" s="24">
        <f>IF(C184="","",MONTH(C184))</f>
        <v/>
      </c>
      <c r="AP184">
        <f>IF(C184="","",UPPER(TEXT(C184,"mmmm")))</f>
        <v/>
      </c>
      <c r="AQ184">
        <f>IF(C184="","","Q"&amp;ROUNDUP(MONTH(C184)/3,0))</f>
        <v/>
      </c>
    </row>
    <row r="185">
      <c r="A185" s="19" t="n">
        <v>46231</v>
      </c>
      <c r="C185" s="19" t="n">
        <v>46231</v>
      </c>
      <c r="D185" t="inlineStr">
        <is>
          <t>Lander Agro</t>
        </is>
      </c>
      <c r="E185" t="inlineStr">
        <is>
          <t>ZAKUP</t>
        </is>
      </c>
      <c r="F185" t="inlineStr">
        <is>
          <t>PZ/24/D</t>
        </is>
      </c>
      <c r="G185" t="inlineStr">
        <is>
          <t>TAK</t>
        </is>
      </c>
      <c r="H185" t="inlineStr">
        <is>
          <t>KZR</t>
        </is>
      </c>
      <c r="I185" s="20" t="n">
        <v>30</v>
      </c>
      <c r="J185" t="inlineStr">
        <is>
          <t>M3</t>
        </is>
      </c>
      <c r="K185" s="21" t="n">
        <v>230</v>
      </c>
      <c r="L185" s="21" t="n">
        <v>6900</v>
      </c>
      <c r="M185" s="21" t="n">
        <v>0</v>
      </c>
      <c r="N185" t="inlineStr">
        <is>
          <t>Drewno opałowe z lasu</t>
        </is>
      </c>
      <c r="Q185" s="21" t="n">
        <v>0</v>
      </c>
      <c r="T185" s="22" t="n">
        <v>0</v>
      </c>
      <c r="U185" s="21" t="n">
        <v>0</v>
      </c>
      <c r="V185" s="21" t="n">
        <v>0</v>
      </c>
      <c r="W185" t="inlineStr">
        <is>
          <t>Magazyn Zabrze</t>
        </is>
      </c>
      <c r="Y185" t="inlineStr">
        <is>
          <t>Waga b/d</t>
        </is>
      </c>
      <c r="Z185" t="inlineStr">
        <is>
          <t>Roesner Mateusz</t>
        </is>
      </c>
      <c r="AA185" s="23" t="n">
        <v>46232.52768518519</v>
      </c>
      <c r="AB185" t="inlineStr">
        <is>
          <t>OP-MIGR-00184</t>
        </is>
      </c>
      <c r="AD185" t="inlineStr">
        <is>
          <t>AKTYWNY</t>
        </is>
      </c>
      <c r="AE185" s="20">
        <f>IF(I185="",0,IF(ISNUMBER(SEARCH("MP",UPPER(J185))),I185,IF(ISNUMBER(SEARCH("TON",UPPER(J185))),I185/Przelicznik_MP_tona,IF(ISNUMBER(SEARCH("M3",UPPER(J185))),I185*Przelicznik_M3_MP,IF(ISNUMBER(SEARCH("GJ",UPPER(J185))),I185/Przelicznik_GJ_tona/Przelicznik_MP_tona,I185)))))</f>
        <v/>
      </c>
      <c r="AF185" s="20">
        <f>IF(I185="",0,IF(ISNUMBER(SEARCH("TON",UPPER(J185))),I185,IF(ISNUMBER(SEARCH("GJ",UPPER(J185))),I185/Przelicznik_GJ_tona,AE185*Przelicznik_MP_tona)))</f>
        <v/>
      </c>
      <c r="AG185" s="20">
        <f>AF185*Przelicznik_GJ_tona</f>
        <v/>
      </c>
      <c r="AH185" s="20">
        <f>IF(UPPER(AD185)="SKORYGOWANY",0,IF(OR(UPPER(E185)="TRANSPORT",UPPER(E185)="MM"),0,IF(UPPER(G185)&lt;&gt;"TAK",0,IF(OR(UPPER(E185)="ZAKUP",UPPER(E185)="PRODUKCJA"),AE185,IF(OR(UPPER(E185)="SPRZEDAŻ",UPPER(E185)="ZUŻYCIE"),-AE185,0)))))</f>
        <v/>
      </c>
      <c r="AI185" s="20">
        <f>IF(UPPER(AD185)="SKORYGOWANY",0,IF(OR(UPPER(E185)="TRANSPORT",UPPER(E185)="MM"),0,IF(UPPER(G185)&lt;&gt;"TAK",0,IF(OR(UPPER(E185)="ZAKUP",UPPER(E185)="PRODUKCJA"),AF185,IF(OR(UPPER(E185)="SPRZEDAŻ",UPPER(E185)="ZUŻYCIE"),-AF185,0)))))</f>
        <v/>
      </c>
      <c r="AJ185" s="21">
        <f>IF(UPPER(AD185)="SKORYGOWANY",0,IF(UPPER(E185)="ZAKUP",IF(L185&lt;&gt;"",L185,I185*K185),0))</f>
        <v/>
      </c>
      <c r="AK185" s="21">
        <f>IF(UPPER(AD185)="SKORYGOWANY",0,IF(UPPER(E185)="SPRZEDAŻ",IF(L185&lt;&gt;"",L185,I185*M185),0))</f>
        <v/>
      </c>
      <c r="AL185" s="21">
        <f>AE185*Q185</f>
        <v/>
      </c>
      <c r="AM185">
        <f>IF(R185="","",IF(LOWER(R185)="brak","Brak",IF(OR(ISNUMBER(SEARCH("własn",LOWER(R185))),ISNUMBER(SEARCH("wlasn",LOWER(R185))),ISNUMBER(SEARCH("wojciechowski",LOWER(R185)))),"Własny","Zewnętrzny")))</f>
        <v/>
      </c>
      <c r="AN185" s="24">
        <f>IF(C185="","",YEAR(C185))</f>
        <v/>
      </c>
      <c r="AO185" s="24">
        <f>IF(C185="","",MONTH(C185))</f>
        <v/>
      </c>
      <c r="AP185">
        <f>IF(C185="","",UPPER(TEXT(C185,"mmmm")))</f>
        <v/>
      </c>
      <c r="AQ185">
        <f>IF(C185="","","Q"&amp;ROUNDUP(MONTH(C185)/3,0))</f>
        <v/>
      </c>
    </row>
    <row r="186">
      <c r="A186" s="19" t="n">
        <v>46231</v>
      </c>
      <c r="C186" s="19" t="n">
        <v>46231</v>
      </c>
      <c r="D186" t="inlineStr">
        <is>
          <t>Lander Agro</t>
        </is>
      </c>
      <c r="E186" t="inlineStr">
        <is>
          <t>ZAKUP</t>
        </is>
      </c>
      <c r="F186" t="inlineStr">
        <is>
          <t>PZ/25/D</t>
        </is>
      </c>
      <c r="G186" t="inlineStr">
        <is>
          <t>TAK</t>
        </is>
      </c>
      <c r="H186" t="inlineStr">
        <is>
          <t>KZR</t>
        </is>
      </c>
      <c r="I186" s="20" t="n">
        <v>29.95</v>
      </c>
      <c r="J186" t="inlineStr">
        <is>
          <t>M3</t>
        </is>
      </c>
      <c r="K186" s="21" t="n">
        <v>230</v>
      </c>
      <c r="L186" s="21" t="n">
        <v>6888.5</v>
      </c>
      <c r="M186" s="21" t="n">
        <v>0</v>
      </c>
      <c r="N186" t="inlineStr">
        <is>
          <t>Drewno opałowe z lasu</t>
        </is>
      </c>
      <c r="Q186" s="21" t="n">
        <v>0</v>
      </c>
      <c r="T186" s="22" t="n">
        <v>0</v>
      </c>
      <c r="U186" s="21" t="n">
        <v>0</v>
      </c>
      <c r="V186" s="21" t="n">
        <v>0</v>
      </c>
      <c r="W186" t="inlineStr">
        <is>
          <t>Magazyn Zabrze</t>
        </is>
      </c>
      <c r="Y186" t="inlineStr">
        <is>
          <t>Waga b/d</t>
        </is>
      </c>
      <c r="Z186" t="inlineStr">
        <is>
          <t>Roesner Mateusz</t>
        </is>
      </c>
      <c r="AA186" s="23" t="n">
        <v>46232.52828703704</v>
      </c>
      <c r="AB186" t="inlineStr">
        <is>
          <t>OP-MIGR-00185</t>
        </is>
      </c>
      <c r="AD186" t="inlineStr">
        <is>
          <t>AKTYWNY</t>
        </is>
      </c>
      <c r="AE186" s="20">
        <f>IF(I186="",0,IF(ISNUMBER(SEARCH("MP",UPPER(J186))),I186,IF(ISNUMBER(SEARCH("TON",UPPER(J186))),I186/Przelicznik_MP_tona,IF(ISNUMBER(SEARCH("M3",UPPER(J186))),I186*Przelicznik_M3_MP,IF(ISNUMBER(SEARCH("GJ",UPPER(J186))),I186/Przelicznik_GJ_tona/Przelicznik_MP_tona,I186)))))</f>
        <v/>
      </c>
      <c r="AF186" s="20">
        <f>IF(I186="",0,IF(ISNUMBER(SEARCH("TON",UPPER(J186))),I186,IF(ISNUMBER(SEARCH("GJ",UPPER(J186))),I186/Przelicznik_GJ_tona,AE186*Przelicznik_MP_tona)))</f>
        <v/>
      </c>
      <c r="AG186" s="20">
        <f>AF186*Przelicznik_GJ_tona</f>
        <v/>
      </c>
      <c r="AH186" s="20">
        <f>IF(UPPER(AD186)="SKORYGOWANY",0,IF(OR(UPPER(E186)="TRANSPORT",UPPER(E186)="MM"),0,IF(UPPER(G186)&lt;&gt;"TAK",0,IF(OR(UPPER(E186)="ZAKUP",UPPER(E186)="PRODUKCJA"),AE186,IF(OR(UPPER(E186)="SPRZEDAŻ",UPPER(E186)="ZUŻYCIE"),-AE186,0)))))</f>
        <v/>
      </c>
      <c r="AI186" s="20">
        <f>IF(UPPER(AD186)="SKORYGOWANY",0,IF(OR(UPPER(E186)="TRANSPORT",UPPER(E186)="MM"),0,IF(UPPER(G186)&lt;&gt;"TAK",0,IF(OR(UPPER(E186)="ZAKUP",UPPER(E186)="PRODUKCJA"),AF186,IF(OR(UPPER(E186)="SPRZEDAŻ",UPPER(E186)="ZUŻYCIE"),-AF186,0)))))</f>
        <v/>
      </c>
      <c r="AJ186" s="21">
        <f>IF(UPPER(AD186)="SKORYGOWANY",0,IF(UPPER(E186)="ZAKUP",IF(L186&lt;&gt;"",L186,I186*K186),0))</f>
        <v/>
      </c>
      <c r="AK186" s="21">
        <f>IF(UPPER(AD186)="SKORYGOWANY",0,IF(UPPER(E186)="SPRZEDAŻ",IF(L186&lt;&gt;"",L186,I186*M186),0))</f>
        <v/>
      </c>
      <c r="AL186" s="21">
        <f>AE186*Q186</f>
        <v/>
      </c>
      <c r="AM186">
        <f>IF(R186="","",IF(LOWER(R186)="brak","Brak",IF(OR(ISNUMBER(SEARCH("własn",LOWER(R186))),ISNUMBER(SEARCH("wlasn",LOWER(R186))),ISNUMBER(SEARCH("wojciechowski",LOWER(R186)))),"Własny","Zewnętrzny")))</f>
        <v/>
      </c>
      <c r="AN186" s="24">
        <f>IF(C186="","",YEAR(C186))</f>
        <v/>
      </c>
      <c r="AO186" s="24">
        <f>IF(C186="","",MONTH(C186))</f>
        <v/>
      </c>
      <c r="AP186">
        <f>IF(C186="","",UPPER(TEXT(C186,"mmmm")))</f>
        <v/>
      </c>
      <c r="AQ186">
        <f>IF(C186="","","Q"&amp;ROUNDUP(MONTH(C186)/3,0))</f>
        <v/>
      </c>
    </row>
    <row r="187">
      <c r="A187" s="19" t="n">
        <v>46231</v>
      </c>
      <c r="B187" t="inlineStr">
        <is>
          <t>Magazyn Pyskowice</t>
        </is>
      </c>
      <c r="C187" s="19" t="n">
        <v>46231</v>
      </c>
      <c r="D187" t="inlineStr">
        <is>
          <t>Magazyn Pyskowice</t>
        </is>
      </c>
      <c r="E187" t="inlineStr">
        <is>
          <t>MM</t>
        </is>
      </c>
      <c r="F187" t="inlineStr">
        <is>
          <t>MM-51</t>
        </is>
      </c>
      <c r="G187" t="inlineStr">
        <is>
          <t>TAK</t>
        </is>
      </c>
      <c r="I187" s="20" t="n">
        <v>84</v>
      </c>
      <c r="J187" t="inlineStr">
        <is>
          <t>MP</t>
        </is>
      </c>
      <c r="K187" s="21" t="n">
        <v>0</v>
      </c>
      <c r="L187" s="21" t="n">
        <v>0</v>
      </c>
      <c r="M187" s="21" t="n">
        <v>0</v>
      </c>
      <c r="N187" t="inlineStr">
        <is>
          <t>Zrębka Produkcyjna Leśna</t>
        </is>
      </c>
      <c r="O187" t="inlineStr">
        <is>
          <t>B</t>
        </is>
      </c>
      <c r="Q187" s="21" t="n">
        <v>0</v>
      </c>
      <c r="R187" t="inlineStr">
        <is>
          <t>Nowatrans</t>
        </is>
      </c>
      <c r="S187" t="inlineStr">
        <is>
          <t>WND 3546F</t>
        </is>
      </c>
      <c r="T187" s="22" t="n">
        <v>40</v>
      </c>
      <c r="U187" s="21" t="n">
        <v>15</v>
      </c>
      <c r="V187" s="21" t="n">
        <v>600</v>
      </c>
      <c r="W187" t="inlineStr">
        <is>
          <t>Magazyn Zabrze</t>
        </is>
      </c>
      <c r="X187" t="inlineStr">
        <is>
          <t>Magazyn Pyskowice</t>
        </is>
      </c>
      <c r="Z187" t="inlineStr">
        <is>
          <t>Roesner Mateusz</t>
        </is>
      </c>
      <c r="AA187" s="23" t="n">
        <v>46232.53275462963</v>
      </c>
      <c r="AB187" t="inlineStr">
        <is>
          <t>OP-MIGR-00186</t>
        </is>
      </c>
      <c r="AD187" t="inlineStr">
        <is>
          <t>AKTYWNY</t>
        </is>
      </c>
      <c r="AE187" s="20">
        <f>IF(I187="",0,IF(ISNUMBER(SEARCH("MP",UPPER(J187))),I187,IF(ISNUMBER(SEARCH("TON",UPPER(J187))),I187/Przelicznik_MP_tona,IF(ISNUMBER(SEARCH("M3",UPPER(J187))),I187*Przelicznik_M3_MP,IF(ISNUMBER(SEARCH("GJ",UPPER(J187))),I187/Przelicznik_GJ_tona/Przelicznik_MP_tona,I187)))))</f>
        <v/>
      </c>
      <c r="AF187" s="20">
        <f>IF(I187="",0,IF(ISNUMBER(SEARCH("TON",UPPER(J187))),I187,IF(ISNUMBER(SEARCH("GJ",UPPER(J187))),I187/Przelicznik_GJ_tona,AE187*Przelicznik_MP_tona)))</f>
        <v/>
      </c>
      <c r="AG187" s="20">
        <f>AF187*Przelicznik_GJ_tona</f>
        <v/>
      </c>
      <c r="AH187" s="20">
        <f>IF(UPPER(AD187)="SKORYGOWANY",0,IF(OR(UPPER(E187)="TRANSPORT",UPPER(E187)="MM"),0,IF(UPPER(G187)&lt;&gt;"TAK",0,IF(OR(UPPER(E187)="ZAKUP",UPPER(E187)="PRODUKCJA"),AE187,IF(OR(UPPER(E187)="SPRZEDAŻ",UPPER(E187)="ZUŻYCIE"),-AE187,0)))))</f>
        <v/>
      </c>
      <c r="AI187" s="20">
        <f>IF(UPPER(AD187)="SKORYGOWANY",0,IF(OR(UPPER(E187)="TRANSPORT",UPPER(E187)="MM"),0,IF(UPPER(G187)&lt;&gt;"TAK",0,IF(OR(UPPER(E187)="ZAKUP",UPPER(E187)="PRODUKCJA"),AF187,IF(OR(UPPER(E187)="SPRZEDAŻ",UPPER(E187)="ZUŻYCIE"),-AF187,0)))))</f>
        <v/>
      </c>
      <c r="AJ187" s="21">
        <f>IF(UPPER(AD187)="SKORYGOWANY",0,IF(UPPER(E187)="ZAKUP",IF(L187&lt;&gt;"",L187,I187*K187),0))</f>
        <v/>
      </c>
      <c r="AK187" s="21">
        <f>IF(UPPER(AD187)="SKORYGOWANY",0,IF(UPPER(E187)="SPRZEDAŻ",IF(L187&lt;&gt;"",L187,I187*M187),0))</f>
        <v/>
      </c>
      <c r="AL187" s="21">
        <f>AE187*Q187</f>
        <v/>
      </c>
      <c r="AM187">
        <f>IF(R187="","",IF(LOWER(R187)="brak","Brak",IF(OR(ISNUMBER(SEARCH("własn",LOWER(R187))),ISNUMBER(SEARCH("wlasn",LOWER(R187))),ISNUMBER(SEARCH("wojciechowski",LOWER(R187)))),"Własny","Zewnętrzny")))</f>
        <v/>
      </c>
      <c r="AN187" s="24">
        <f>IF(C187="","",YEAR(C187))</f>
        <v/>
      </c>
      <c r="AO187" s="24">
        <f>IF(C187="","",MONTH(C187))</f>
        <v/>
      </c>
      <c r="AP187">
        <f>IF(C187="","",UPPER(TEXT(C187,"mmmm")))</f>
        <v/>
      </c>
      <c r="AQ187">
        <f>IF(C187="","","Q"&amp;ROUNDUP(MONTH(C187)/3,0))</f>
        <v/>
      </c>
    </row>
    <row r="188">
      <c r="A188" s="19" t="n">
        <v>46231</v>
      </c>
      <c r="C188" s="19" t="n">
        <v>46231</v>
      </c>
      <c r="D188" t="inlineStr">
        <is>
          <t>Grandpol</t>
        </is>
      </c>
      <c r="E188" t="inlineStr">
        <is>
          <t>ZAKUP</t>
        </is>
      </c>
      <c r="F188" t="inlineStr">
        <is>
          <t>PZ/40</t>
        </is>
      </c>
      <c r="G188" t="inlineStr">
        <is>
          <t>TAK</t>
        </is>
      </c>
      <c r="H188" t="inlineStr">
        <is>
          <t>KZR</t>
        </is>
      </c>
      <c r="I188" s="20" t="n">
        <v>82</v>
      </c>
      <c r="J188" t="inlineStr">
        <is>
          <t>MP</t>
        </is>
      </c>
      <c r="K188" s="21" t="n">
        <v>45</v>
      </c>
      <c r="L188" s="21" t="n">
        <v>3690</v>
      </c>
      <c r="M188" s="21" t="n">
        <v>0</v>
      </c>
      <c r="N188" t="inlineStr">
        <is>
          <t>Drewno przemysłowe z wycinek inwest.</t>
        </is>
      </c>
      <c r="O188" t="inlineStr">
        <is>
          <t>B</t>
        </is>
      </c>
      <c r="Q188" s="21" t="n">
        <v>0</v>
      </c>
      <c r="T188" s="22" t="n">
        <v>0</v>
      </c>
      <c r="U188" s="21" t="n">
        <v>0</v>
      </c>
      <c r="V188" s="21" t="n">
        <v>0</v>
      </c>
      <c r="W188" t="inlineStr">
        <is>
          <t>Magazyn Zabrze</t>
        </is>
      </c>
      <c r="Z188" t="inlineStr">
        <is>
          <t>Roesner Mateusz</t>
        </is>
      </c>
      <c r="AA188" s="23" t="n">
        <v>46234.28668981481</v>
      </c>
      <c r="AB188" t="inlineStr">
        <is>
          <t>OP-MIGR-00187</t>
        </is>
      </c>
      <c r="AD188" t="inlineStr">
        <is>
          <t>AKTYWNY</t>
        </is>
      </c>
      <c r="AE188" s="20">
        <f>IF(I188="",0,IF(ISNUMBER(SEARCH("MP",UPPER(J188))),I188,IF(ISNUMBER(SEARCH("TON",UPPER(J188))),I188/Przelicznik_MP_tona,IF(ISNUMBER(SEARCH("M3",UPPER(J188))),I188*Przelicznik_M3_MP,IF(ISNUMBER(SEARCH("GJ",UPPER(J188))),I188/Przelicznik_GJ_tona/Przelicznik_MP_tona,I188)))))</f>
        <v/>
      </c>
      <c r="AF188" s="20">
        <f>IF(I188="",0,IF(ISNUMBER(SEARCH("TON",UPPER(J188))),I188,IF(ISNUMBER(SEARCH("GJ",UPPER(J188))),I188/Przelicznik_GJ_tona,AE188*Przelicznik_MP_tona)))</f>
        <v/>
      </c>
      <c r="AG188" s="20">
        <f>AF188*Przelicznik_GJ_tona</f>
        <v/>
      </c>
      <c r="AH188" s="20">
        <f>IF(UPPER(AD188)="SKORYGOWANY",0,IF(OR(UPPER(E188)="TRANSPORT",UPPER(E188)="MM"),0,IF(UPPER(G188)&lt;&gt;"TAK",0,IF(OR(UPPER(E188)="ZAKUP",UPPER(E188)="PRODUKCJA"),AE188,IF(OR(UPPER(E188)="SPRZEDAŻ",UPPER(E188)="ZUŻYCIE"),-AE188,0)))))</f>
        <v/>
      </c>
      <c r="AI188" s="20">
        <f>IF(UPPER(AD188)="SKORYGOWANY",0,IF(OR(UPPER(E188)="TRANSPORT",UPPER(E188)="MM"),0,IF(UPPER(G188)&lt;&gt;"TAK",0,IF(OR(UPPER(E188)="ZAKUP",UPPER(E188)="PRODUKCJA"),AF188,IF(OR(UPPER(E188)="SPRZEDAŻ",UPPER(E188)="ZUŻYCIE"),-AF188,0)))))</f>
        <v/>
      </c>
      <c r="AJ188" s="21">
        <f>IF(UPPER(AD188)="SKORYGOWANY",0,IF(UPPER(E188)="ZAKUP",IF(L188&lt;&gt;"",L188,I188*K188),0))</f>
        <v/>
      </c>
      <c r="AK188" s="21">
        <f>IF(UPPER(AD188)="SKORYGOWANY",0,IF(UPPER(E188)="SPRZEDAŻ",IF(L188&lt;&gt;"",L188,I188*M188),0))</f>
        <v/>
      </c>
      <c r="AL188" s="21">
        <f>AE188*Q188</f>
        <v/>
      </c>
      <c r="AM188">
        <f>IF(R188="","",IF(LOWER(R188)="brak","Brak",IF(OR(ISNUMBER(SEARCH("własn",LOWER(R188))),ISNUMBER(SEARCH("wlasn",LOWER(R188))),ISNUMBER(SEARCH("wojciechowski",LOWER(R188)))),"Własny","Zewnętrzny")))</f>
        <v/>
      </c>
      <c r="AN188" s="24">
        <f>IF(C188="","",YEAR(C188))</f>
        <v/>
      </c>
      <c r="AO188" s="24">
        <f>IF(C188="","",MONTH(C188))</f>
        <v/>
      </c>
      <c r="AP188">
        <f>IF(C188="","",UPPER(TEXT(C188,"mmmm")))</f>
        <v/>
      </c>
      <c r="AQ188">
        <f>IF(C188="","","Q"&amp;ROUNDUP(MONTH(C188)/3,0))</f>
        <v/>
      </c>
    </row>
    <row r="189">
      <c r="A189" s="19" t="n">
        <v>46231</v>
      </c>
      <c r="C189" s="19" t="n">
        <v>46231</v>
      </c>
      <c r="D189" t="inlineStr">
        <is>
          <t>Magazyn Zabrze</t>
        </is>
      </c>
      <c r="E189" t="inlineStr">
        <is>
          <t>PRODUKCJA</t>
        </is>
      </c>
      <c r="F189" t="inlineStr">
        <is>
          <t>PZ/40</t>
        </is>
      </c>
      <c r="G189" t="inlineStr">
        <is>
          <t>TAK</t>
        </is>
      </c>
      <c r="H189" t="inlineStr">
        <is>
          <t>KZR</t>
        </is>
      </c>
      <c r="I189" s="20" t="n">
        <v>82</v>
      </c>
      <c r="J189" t="inlineStr">
        <is>
          <t>MP</t>
        </is>
      </c>
      <c r="K189" s="21" t="n">
        <v>0</v>
      </c>
      <c r="L189" s="21" t="n">
        <v>0</v>
      </c>
      <c r="M189" s="21" t="n">
        <v>0</v>
      </c>
      <c r="N189" t="inlineStr">
        <is>
          <t>Zrębka Produkcyjna Inwestycyjna</t>
        </is>
      </c>
      <c r="O189" t="inlineStr">
        <is>
          <t>B</t>
        </is>
      </c>
      <c r="P189" t="inlineStr">
        <is>
          <t>własne</t>
        </is>
      </c>
      <c r="Q189" s="21" t="n">
        <v>10</v>
      </c>
      <c r="T189" s="22" t="n">
        <v>0</v>
      </c>
      <c r="U189" s="21" t="n">
        <v>0</v>
      </c>
      <c r="V189" s="21" t="n">
        <v>0</v>
      </c>
      <c r="W189" t="inlineStr">
        <is>
          <t>Magazyn Zabrze</t>
        </is>
      </c>
      <c r="Z189" t="inlineStr">
        <is>
          <t>Roesner Mateusz</t>
        </is>
      </c>
      <c r="AA189" s="23" t="n">
        <v>46234.28710648148</v>
      </c>
      <c r="AB189" t="inlineStr">
        <is>
          <t>OP-MIGR-00188</t>
        </is>
      </c>
      <c r="AD189" t="inlineStr">
        <is>
          <t>AKTYWNY</t>
        </is>
      </c>
      <c r="AE189" s="20">
        <f>IF(I189="",0,IF(ISNUMBER(SEARCH("MP",UPPER(J189))),I189,IF(ISNUMBER(SEARCH("TON",UPPER(J189))),I189/Przelicznik_MP_tona,IF(ISNUMBER(SEARCH("M3",UPPER(J189))),I189*Przelicznik_M3_MP,IF(ISNUMBER(SEARCH("GJ",UPPER(J189))),I189/Przelicznik_GJ_tona/Przelicznik_MP_tona,I189)))))</f>
        <v/>
      </c>
      <c r="AF189" s="20">
        <f>IF(I189="",0,IF(ISNUMBER(SEARCH("TON",UPPER(J189))),I189,IF(ISNUMBER(SEARCH("GJ",UPPER(J189))),I189/Przelicznik_GJ_tona,AE189*Przelicznik_MP_tona)))</f>
        <v/>
      </c>
      <c r="AG189" s="20">
        <f>AF189*Przelicznik_GJ_tona</f>
        <v/>
      </c>
      <c r="AH189" s="20">
        <f>IF(UPPER(AD189)="SKORYGOWANY",0,IF(OR(UPPER(E189)="TRANSPORT",UPPER(E189)="MM"),0,IF(UPPER(G189)&lt;&gt;"TAK",0,IF(OR(UPPER(E189)="ZAKUP",UPPER(E189)="PRODUKCJA"),AE189,IF(OR(UPPER(E189)="SPRZEDAŻ",UPPER(E189)="ZUŻYCIE"),-AE189,0)))))</f>
        <v/>
      </c>
      <c r="AI189" s="20">
        <f>IF(UPPER(AD189)="SKORYGOWANY",0,IF(OR(UPPER(E189)="TRANSPORT",UPPER(E189)="MM"),0,IF(UPPER(G189)&lt;&gt;"TAK",0,IF(OR(UPPER(E189)="ZAKUP",UPPER(E189)="PRODUKCJA"),AF189,IF(OR(UPPER(E189)="SPRZEDAŻ",UPPER(E189)="ZUŻYCIE"),-AF189,0)))))</f>
        <v/>
      </c>
      <c r="AJ189" s="21">
        <f>IF(UPPER(AD189)="SKORYGOWANY",0,IF(UPPER(E189)="ZAKUP",IF(L189&lt;&gt;"",L189,I189*K189),0))</f>
        <v/>
      </c>
      <c r="AK189" s="21">
        <f>IF(UPPER(AD189)="SKORYGOWANY",0,IF(UPPER(E189)="SPRZEDAŻ",IF(L189&lt;&gt;"",L189,I189*M189),0))</f>
        <v/>
      </c>
      <c r="AL189" s="21">
        <f>AE189*Q189</f>
        <v/>
      </c>
      <c r="AM189">
        <f>IF(R189="","",IF(LOWER(R189)="brak","Brak",IF(OR(ISNUMBER(SEARCH("własn",LOWER(R189))),ISNUMBER(SEARCH("wlasn",LOWER(R189))),ISNUMBER(SEARCH("wojciechowski",LOWER(R189)))),"Własny","Zewnętrzny")))</f>
        <v/>
      </c>
      <c r="AN189" s="24">
        <f>IF(C189="","",YEAR(C189))</f>
        <v/>
      </c>
      <c r="AO189" s="24">
        <f>IF(C189="","",MONTH(C189))</f>
        <v/>
      </c>
      <c r="AP189">
        <f>IF(C189="","",UPPER(TEXT(C189,"mmmm")))</f>
        <v/>
      </c>
      <c r="AQ189">
        <f>IF(C189="","","Q"&amp;ROUNDUP(MONTH(C189)/3,0))</f>
        <v/>
      </c>
    </row>
    <row r="190">
      <c r="A190" s="19" t="n">
        <v>46231</v>
      </c>
      <c r="C190" s="19" t="n">
        <v>46231</v>
      </c>
      <c r="D190" t="inlineStr">
        <is>
          <t>Magazyn Zabrze</t>
        </is>
      </c>
      <c r="E190" t="inlineStr">
        <is>
          <t>ZUŻYCIE</t>
        </is>
      </c>
      <c r="F190" t="inlineStr">
        <is>
          <t>PZ/40</t>
        </is>
      </c>
      <c r="G190" t="inlineStr">
        <is>
          <t>TAK</t>
        </is>
      </c>
      <c r="H190" t="inlineStr">
        <is>
          <t>KZR</t>
        </is>
      </c>
      <c r="I190" s="20" t="n">
        <v>82</v>
      </c>
      <c r="J190" t="inlineStr">
        <is>
          <t>MP</t>
        </is>
      </c>
      <c r="K190" s="21" t="n">
        <v>0</v>
      </c>
      <c r="L190" s="21" t="n">
        <v>0</v>
      </c>
      <c r="M190" s="21" t="n">
        <v>0</v>
      </c>
      <c r="N190" t="inlineStr">
        <is>
          <t>Zrębka Produkcyjna Inwestycyjna</t>
        </is>
      </c>
      <c r="O190" t="inlineStr">
        <is>
          <t>B</t>
        </is>
      </c>
      <c r="P190" t="inlineStr">
        <is>
          <t>własne</t>
        </is>
      </c>
      <c r="Q190" s="21" t="n">
        <v>10</v>
      </c>
      <c r="T190" s="22" t="n">
        <v>0</v>
      </c>
      <c r="U190" s="21" t="n">
        <v>0</v>
      </c>
      <c r="V190" s="21" t="n">
        <v>0</v>
      </c>
      <c r="W190" t="inlineStr">
        <is>
          <t>Magazyn Zabrze</t>
        </is>
      </c>
      <c r="Y190" t="inlineStr">
        <is>
          <t>Automatyczne zużycie surowca do produkcji</t>
        </is>
      </c>
      <c r="AA190" s="23" t="n">
        <v>46234.28711805555</v>
      </c>
      <c r="AB190" t="inlineStr">
        <is>
          <t>OP-MIGR-00189</t>
        </is>
      </c>
      <c r="AD190" t="inlineStr">
        <is>
          <t>AKTYWNY</t>
        </is>
      </c>
      <c r="AE190" s="20">
        <f>IF(I190="",0,IF(ISNUMBER(SEARCH("MP",UPPER(J190))),I190,IF(ISNUMBER(SEARCH("TON",UPPER(J190))),I190/Przelicznik_MP_tona,IF(ISNUMBER(SEARCH("M3",UPPER(J190))),I190*Przelicznik_M3_MP,IF(ISNUMBER(SEARCH("GJ",UPPER(J190))),I190/Przelicznik_GJ_tona/Przelicznik_MP_tona,I190)))))</f>
        <v/>
      </c>
      <c r="AF190" s="20">
        <f>IF(I190="",0,IF(ISNUMBER(SEARCH("TON",UPPER(J190))),I190,IF(ISNUMBER(SEARCH("GJ",UPPER(J190))),I190/Przelicznik_GJ_tona,AE190*Przelicznik_MP_tona)))</f>
        <v/>
      </c>
      <c r="AG190" s="20">
        <f>AF190*Przelicznik_GJ_tona</f>
        <v/>
      </c>
      <c r="AH190" s="20">
        <f>IF(UPPER(AD190)="SKORYGOWANY",0,IF(OR(UPPER(E190)="TRANSPORT",UPPER(E190)="MM"),0,IF(UPPER(G190)&lt;&gt;"TAK",0,IF(OR(UPPER(E190)="ZAKUP",UPPER(E190)="PRODUKCJA"),AE190,IF(OR(UPPER(E190)="SPRZEDAŻ",UPPER(E190)="ZUŻYCIE"),-AE190,0)))))</f>
        <v/>
      </c>
      <c r="AI190" s="20">
        <f>IF(UPPER(AD190)="SKORYGOWANY",0,IF(OR(UPPER(E190)="TRANSPORT",UPPER(E190)="MM"),0,IF(UPPER(G190)&lt;&gt;"TAK",0,IF(OR(UPPER(E190)="ZAKUP",UPPER(E190)="PRODUKCJA"),AF190,IF(OR(UPPER(E190)="SPRZEDAŻ",UPPER(E190)="ZUŻYCIE"),-AF190,0)))))</f>
        <v/>
      </c>
      <c r="AJ190" s="21">
        <f>IF(UPPER(AD190)="SKORYGOWANY",0,IF(UPPER(E190)="ZAKUP",IF(L190&lt;&gt;"",L190,I190*K190),0))</f>
        <v/>
      </c>
      <c r="AK190" s="21">
        <f>IF(UPPER(AD190)="SKORYGOWANY",0,IF(UPPER(E190)="SPRZEDAŻ",IF(L190&lt;&gt;"",L190,I190*M190),0))</f>
        <v/>
      </c>
      <c r="AL190" s="21">
        <f>AE190*Q190</f>
        <v/>
      </c>
      <c r="AM190">
        <f>IF(R190="","",IF(LOWER(R190)="brak","Brak",IF(OR(ISNUMBER(SEARCH("własn",LOWER(R190))),ISNUMBER(SEARCH("wlasn",LOWER(R190))),ISNUMBER(SEARCH("wojciechowski",LOWER(R190)))),"Własny","Zewnętrzny")))</f>
        <v/>
      </c>
      <c r="AN190" s="24">
        <f>IF(C190="","",YEAR(C190))</f>
        <v/>
      </c>
      <c r="AO190" s="24">
        <f>IF(C190="","",MONTH(C190))</f>
        <v/>
      </c>
      <c r="AP190">
        <f>IF(C190="","",UPPER(TEXT(C190,"mmmm")))</f>
        <v/>
      </c>
      <c r="AQ190">
        <f>IF(C190="","","Q"&amp;ROUNDUP(MONTH(C190)/3,0))</f>
        <v/>
      </c>
    </row>
    <row r="191">
      <c r="A191" s="19" t="n">
        <v>46231</v>
      </c>
      <c r="B191" t="inlineStr">
        <is>
          <t>Głubczyce</t>
        </is>
      </c>
      <c r="C191" s="19" t="n">
        <v>46231</v>
      </c>
      <c r="D191" t="inlineStr">
        <is>
          <t>Magazyn Zabrze</t>
        </is>
      </c>
      <c r="E191" t="inlineStr">
        <is>
          <t>ZAKUP</t>
        </is>
      </c>
      <c r="F191" t="inlineStr">
        <is>
          <t>PZ/40</t>
        </is>
      </c>
      <c r="G191" t="inlineStr">
        <is>
          <t>TAK</t>
        </is>
      </c>
      <c r="H191" t="inlineStr">
        <is>
          <t>KZR</t>
        </is>
      </c>
      <c r="I191" s="20" t="n">
        <v>82</v>
      </c>
      <c r="J191" t="inlineStr">
        <is>
          <t>MP</t>
        </is>
      </c>
      <c r="K191" s="21" t="n">
        <v>0</v>
      </c>
      <c r="L191" s="21" t="n">
        <v>0</v>
      </c>
      <c r="M191" s="21" t="n">
        <v>0</v>
      </c>
      <c r="N191" t="inlineStr">
        <is>
          <t>Zrębka Produkcyjna Inwestycyjna</t>
        </is>
      </c>
      <c r="O191" t="inlineStr">
        <is>
          <t>B</t>
        </is>
      </c>
      <c r="Q191" s="21" t="n">
        <v>0</v>
      </c>
      <c r="R191" t="inlineStr">
        <is>
          <t>własny (Wilczak)</t>
        </is>
      </c>
      <c r="S191" t="inlineStr">
        <is>
          <t>SK 7J884</t>
        </is>
      </c>
      <c r="T191" s="22" t="n">
        <v>200</v>
      </c>
      <c r="U191" s="21" t="n">
        <v>5</v>
      </c>
      <c r="V191" s="21" t="n">
        <v>1000</v>
      </c>
      <c r="W191" t="inlineStr">
        <is>
          <t>Magazyn Zabrze</t>
        </is>
      </c>
      <c r="Z191" t="inlineStr">
        <is>
          <t>Roesner Mateusz</t>
        </is>
      </c>
      <c r="AA191" s="23" t="n">
        <v>46234.28855324074</v>
      </c>
      <c r="AB191" t="inlineStr">
        <is>
          <t>OP-MIGR-00190</t>
        </is>
      </c>
      <c r="AD191" t="inlineStr">
        <is>
          <t>AKTYWNY</t>
        </is>
      </c>
      <c r="AE191" s="20">
        <f>IF(I191="",0,IF(ISNUMBER(SEARCH("MP",UPPER(J191))),I191,IF(ISNUMBER(SEARCH("TON",UPPER(J191))),I191/Przelicznik_MP_tona,IF(ISNUMBER(SEARCH("M3",UPPER(J191))),I191*Przelicznik_M3_MP,IF(ISNUMBER(SEARCH("GJ",UPPER(J191))),I191/Przelicznik_GJ_tona/Przelicznik_MP_tona,I191)))))</f>
        <v/>
      </c>
      <c r="AF191" s="20">
        <f>IF(I191="",0,IF(ISNUMBER(SEARCH("TON",UPPER(J191))),I191,IF(ISNUMBER(SEARCH("GJ",UPPER(J191))),I191/Przelicznik_GJ_tona,AE191*Przelicznik_MP_tona)))</f>
        <v/>
      </c>
      <c r="AG191" s="20">
        <f>AF191*Przelicznik_GJ_tona</f>
        <v/>
      </c>
      <c r="AH191" s="20">
        <f>IF(UPPER(AD191)="SKORYGOWANY",0,IF(OR(UPPER(E191)="TRANSPORT",UPPER(E191)="MM"),0,IF(UPPER(G191)&lt;&gt;"TAK",0,IF(OR(UPPER(E191)="ZAKUP",UPPER(E191)="PRODUKCJA"),AE191,IF(OR(UPPER(E191)="SPRZEDAŻ",UPPER(E191)="ZUŻYCIE"),-AE191,0)))))</f>
        <v/>
      </c>
      <c r="AI191" s="20">
        <f>IF(UPPER(AD191)="SKORYGOWANY",0,IF(OR(UPPER(E191)="TRANSPORT",UPPER(E191)="MM"),0,IF(UPPER(G191)&lt;&gt;"TAK",0,IF(OR(UPPER(E191)="ZAKUP",UPPER(E191)="PRODUKCJA"),AF191,IF(OR(UPPER(E191)="SPRZEDAŻ",UPPER(E191)="ZUŻYCIE"),-AF191,0)))))</f>
        <v/>
      </c>
      <c r="AJ191" s="21">
        <f>IF(UPPER(AD191)="SKORYGOWANY",0,IF(UPPER(E191)="ZAKUP",IF(L191&lt;&gt;"",L191,I191*K191),0))</f>
        <v/>
      </c>
      <c r="AK191" s="21">
        <f>IF(UPPER(AD191)="SKORYGOWANY",0,IF(UPPER(E191)="SPRZEDAŻ",IF(L191&lt;&gt;"",L191,I191*M191),0))</f>
        <v/>
      </c>
      <c r="AL191" s="21">
        <f>AE191*Q191</f>
        <v/>
      </c>
      <c r="AM191">
        <f>IF(R191="","",IF(LOWER(R191)="brak","Brak",IF(OR(ISNUMBER(SEARCH("własn",LOWER(R191))),ISNUMBER(SEARCH("wlasn",LOWER(R191))),ISNUMBER(SEARCH("wojciechowski",LOWER(R191)))),"Własny","Zewnętrzny")))</f>
        <v/>
      </c>
      <c r="AN191" s="24">
        <f>IF(C191="","",YEAR(C191))</f>
        <v/>
      </c>
      <c r="AO191" s="24">
        <f>IF(C191="","",MONTH(C191))</f>
        <v/>
      </c>
      <c r="AP191">
        <f>IF(C191="","",UPPER(TEXT(C191,"mmmm")))</f>
        <v/>
      </c>
      <c r="AQ191">
        <f>IF(C191="","","Q"&amp;ROUNDUP(MONTH(C191)/3,0))</f>
        <v/>
      </c>
    </row>
    <row r="192">
      <c r="A192" s="19" t="n">
        <v>46231</v>
      </c>
      <c r="C192" s="19" t="n">
        <v>46231</v>
      </c>
      <c r="D192" t="inlineStr">
        <is>
          <t>Grandpol</t>
        </is>
      </c>
      <c r="E192" t="inlineStr">
        <is>
          <t>ZAKUP</t>
        </is>
      </c>
      <c r="F192" t="inlineStr">
        <is>
          <t>PZ/41</t>
        </is>
      </c>
      <c r="G192" t="inlineStr">
        <is>
          <t>TAK</t>
        </is>
      </c>
      <c r="H192" t="inlineStr">
        <is>
          <t>KZR</t>
        </is>
      </c>
      <c r="I192" s="20" t="n">
        <v>84</v>
      </c>
      <c r="J192" t="inlineStr">
        <is>
          <t>MP</t>
        </is>
      </c>
      <c r="K192" s="21" t="n">
        <v>45</v>
      </c>
      <c r="L192" s="21" t="n">
        <v>3780</v>
      </c>
      <c r="M192" s="21" t="n">
        <v>0</v>
      </c>
      <c r="N192" t="inlineStr">
        <is>
          <t>Drewno przemysłowe z wycinek inwest.</t>
        </is>
      </c>
      <c r="O192" t="inlineStr">
        <is>
          <t>B</t>
        </is>
      </c>
      <c r="Q192" s="21" t="n">
        <v>0</v>
      </c>
      <c r="T192" s="22" t="n">
        <v>0</v>
      </c>
      <c r="U192" s="21" t="n">
        <v>0</v>
      </c>
      <c r="V192" s="21" t="n">
        <v>0</v>
      </c>
      <c r="W192" t="inlineStr">
        <is>
          <t>Magazyn Zabrze</t>
        </is>
      </c>
      <c r="Z192" t="inlineStr">
        <is>
          <t>Roesner Mateusz</t>
        </is>
      </c>
      <c r="AA192" s="23" t="n">
        <v>46234.2896412037</v>
      </c>
      <c r="AB192" t="inlineStr">
        <is>
          <t>OP-MIGR-00191</t>
        </is>
      </c>
      <c r="AD192" t="inlineStr">
        <is>
          <t>AKTYWNY</t>
        </is>
      </c>
      <c r="AE192" s="20">
        <f>IF(I192="",0,IF(ISNUMBER(SEARCH("MP",UPPER(J192))),I192,IF(ISNUMBER(SEARCH("TON",UPPER(J192))),I192/Przelicznik_MP_tona,IF(ISNUMBER(SEARCH("M3",UPPER(J192))),I192*Przelicznik_M3_MP,IF(ISNUMBER(SEARCH("GJ",UPPER(J192))),I192/Przelicznik_GJ_tona/Przelicznik_MP_tona,I192)))))</f>
        <v/>
      </c>
      <c r="AF192" s="20">
        <f>IF(I192="",0,IF(ISNUMBER(SEARCH("TON",UPPER(J192))),I192,IF(ISNUMBER(SEARCH("GJ",UPPER(J192))),I192/Przelicznik_GJ_tona,AE192*Przelicznik_MP_tona)))</f>
        <v/>
      </c>
      <c r="AG192" s="20">
        <f>AF192*Przelicznik_GJ_tona</f>
        <v/>
      </c>
      <c r="AH192" s="20">
        <f>IF(UPPER(AD192)="SKORYGOWANY",0,IF(OR(UPPER(E192)="TRANSPORT",UPPER(E192)="MM"),0,IF(UPPER(G192)&lt;&gt;"TAK",0,IF(OR(UPPER(E192)="ZAKUP",UPPER(E192)="PRODUKCJA"),AE192,IF(OR(UPPER(E192)="SPRZEDAŻ",UPPER(E192)="ZUŻYCIE"),-AE192,0)))))</f>
        <v/>
      </c>
      <c r="AI192" s="20">
        <f>IF(UPPER(AD192)="SKORYGOWANY",0,IF(OR(UPPER(E192)="TRANSPORT",UPPER(E192)="MM"),0,IF(UPPER(G192)&lt;&gt;"TAK",0,IF(OR(UPPER(E192)="ZAKUP",UPPER(E192)="PRODUKCJA"),AF192,IF(OR(UPPER(E192)="SPRZEDAŻ",UPPER(E192)="ZUŻYCIE"),-AF192,0)))))</f>
        <v/>
      </c>
      <c r="AJ192" s="21">
        <f>IF(UPPER(AD192)="SKORYGOWANY",0,IF(UPPER(E192)="ZAKUP",IF(L192&lt;&gt;"",L192,I192*K192),0))</f>
        <v/>
      </c>
      <c r="AK192" s="21">
        <f>IF(UPPER(AD192)="SKORYGOWANY",0,IF(UPPER(E192)="SPRZEDAŻ",IF(L192&lt;&gt;"",L192,I192*M192),0))</f>
        <v/>
      </c>
      <c r="AL192" s="21">
        <f>AE192*Q192</f>
        <v/>
      </c>
      <c r="AM192">
        <f>IF(R192="","",IF(LOWER(R192)="brak","Brak",IF(OR(ISNUMBER(SEARCH("własn",LOWER(R192))),ISNUMBER(SEARCH("wlasn",LOWER(R192))),ISNUMBER(SEARCH("wojciechowski",LOWER(R192)))),"Własny","Zewnętrzny")))</f>
        <v/>
      </c>
      <c r="AN192" s="24">
        <f>IF(C192="","",YEAR(C192))</f>
        <v/>
      </c>
      <c r="AO192" s="24">
        <f>IF(C192="","",MONTH(C192))</f>
        <v/>
      </c>
      <c r="AP192">
        <f>IF(C192="","",UPPER(TEXT(C192,"mmmm")))</f>
        <v/>
      </c>
      <c r="AQ192">
        <f>IF(C192="","","Q"&amp;ROUNDUP(MONTH(C192)/3,0))</f>
        <v/>
      </c>
    </row>
    <row r="193">
      <c r="A193" s="19" t="n">
        <v>46231</v>
      </c>
      <c r="C193" s="19" t="n">
        <v>46231</v>
      </c>
      <c r="D193" t="inlineStr">
        <is>
          <t>Magazyn Zabrze</t>
        </is>
      </c>
      <c r="E193" t="inlineStr">
        <is>
          <t>PRODUKCJA</t>
        </is>
      </c>
      <c r="F193" t="inlineStr">
        <is>
          <t>PZ/41</t>
        </is>
      </c>
      <c r="G193" t="inlineStr">
        <is>
          <t>TAK</t>
        </is>
      </c>
      <c r="H193" t="inlineStr">
        <is>
          <t>KZR</t>
        </is>
      </c>
      <c r="I193" s="20" t="n">
        <v>84</v>
      </c>
      <c r="J193" t="inlineStr">
        <is>
          <t>MP</t>
        </is>
      </c>
      <c r="K193" s="21" t="n">
        <v>0</v>
      </c>
      <c r="L193" s="21" t="n">
        <v>0</v>
      </c>
      <c r="M193" s="21" t="n">
        <v>0</v>
      </c>
      <c r="N193" t="inlineStr">
        <is>
          <t>Zrębka Produkcyjna Inwestycyjna</t>
        </is>
      </c>
      <c r="O193" t="inlineStr">
        <is>
          <t>B</t>
        </is>
      </c>
      <c r="P193" t="inlineStr">
        <is>
          <t>własne</t>
        </is>
      </c>
      <c r="Q193" s="21" t="n">
        <v>10</v>
      </c>
      <c r="T193" s="22" t="n">
        <v>0</v>
      </c>
      <c r="U193" s="21" t="n">
        <v>0</v>
      </c>
      <c r="V193" s="21" t="n">
        <v>0</v>
      </c>
      <c r="W193" t="inlineStr">
        <is>
          <t>Magazyn Zabrze</t>
        </is>
      </c>
      <c r="Z193" t="inlineStr">
        <is>
          <t>Roesner Mateusz</t>
        </is>
      </c>
      <c r="AA193" s="23" t="n">
        <v>46234.29017361111</v>
      </c>
      <c r="AB193" t="inlineStr">
        <is>
          <t>OP-MIGR-00192</t>
        </is>
      </c>
      <c r="AD193" t="inlineStr">
        <is>
          <t>AKTYWNY</t>
        </is>
      </c>
      <c r="AE193" s="20">
        <f>IF(I193="",0,IF(ISNUMBER(SEARCH("MP",UPPER(J193))),I193,IF(ISNUMBER(SEARCH("TON",UPPER(J193))),I193/Przelicznik_MP_tona,IF(ISNUMBER(SEARCH("M3",UPPER(J193))),I193*Przelicznik_M3_MP,IF(ISNUMBER(SEARCH("GJ",UPPER(J193))),I193/Przelicznik_GJ_tona/Przelicznik_MP_tona,I193)))))</f>
        <v/>
      </c>
      <c r="AF193" s="20">
        <f>IF(I193="",0,IF(ISNUMBER(SEARCH("TON",UPPER(J193))),I193,IF(ISNUMBER(SEARCH("GJ",UPPER(J193))),I193/Przelicznik_GJ_tona,AE193*Przelicznik_MP_tona)))</f>
        <v/>
      </c>
      <c r="AG193" s="20">
        <f>AF193*Przelicznik_GJ_tona</f>
        <v/>
      </c>
      <c r="AH193" s="20">
        <f>IF(UPPER(AD193)="SKORYGOWANY",0,IF(OR(UPPER(E193)="TRANSPORT",UPPER(E193)="MM"),0,IF(UPPER(G193)&lt;&gt;"TAK",0,IF(OR(UPPER(E193)="ZAKUP",UPPER(E193)="PRODUKCJA"),AE193,IF(OR(UPPER(E193)="SPRZEDAŻ",UPPER(E193)="ZUŻYCIE"),-AE193,0)))))</f>
        <v/>
      </c>
      <c r="AI193" s="20">
        <f>IF(UPPER(AD193)="SKORYGOWANY",0,IF(OR(UPPER(E193)="TRANSPORT",UPPER(E193)="MM"),0,IF(UPPER(G193)&lt;&gt;"TAK",0,IF(OR(UPPER(E193)="ZAKUP",UPPER(E193)="PRODUKCJA"),AF193,IF(OR(UPPER(E193)="SPRZEDAŻ",UPPER(E193)="ZUŻYCIE"),-AF193,0)))))</f>
        <v/>
      </c>
      <c r="AJ193" s="21">
        <f>IF(UPPER(AD193)="SKORYGOWANY",0,IF(UPPER(E193)="ZAKUP",IF(L193&lt;&gt;"",L193,I193*K193),0))</f>
        <v/>
      </c>
      <c r="AK193" s="21">
        <f>IF(UPPER(AD193)="SKORYGOWANY",0,IF(UPPER(E193)="SPRZEDAŻ",IF(L193&lt;&gt;"",L193,I193*M193),0))</f>
        <v/>
      </c>
      <c r="AL193" s="21">
        <f>AE193*Q193</f>
        <v/>
      </c>
      <c r="AM193">
        <f>IF(R193="","",IF(LOWER(R193)="brak","Brak",IF(OR(ISNUMBER(SEARCH("własn",LOWER(R193))),ISNUMBER(SEARCH("wlasn",LOWER(R193))),ISNUMBER(SEARCH("wojciechowski",LOWER(R193)))),"Własny","Zewnętrzny")))</f>
        <v/>
      </c>
      <c r="AN193" s="24">
        <f>IF(C193="","",YEAR(C193))</f>
        <v/>
      </c>
      <c r="AO193" s="24">
        <f>IF(C193="","",MONTH(C193))</f>
        <v/>
      </c>
      <c r="AP193">
        <f>IF(C193="","",UPPER(TEXT(C193,"mmmm")))</f>
        <v/>
      </c>
      <c r="AQ193">
        <f>IF(C193="","","Q"&amp;ROUNDUP(MONTH(C193)/3,0))</f>
        <v/>
      </c>
    </row>
    <row r="194">
      <c r="A194" s="19" t="n">
        <v>46231</v>
      </c>
      <c r="C194" s="19" t="n">
        <v>46231</v>
      </c>
      <c r="D194" t="inlineStr">
        <is>
          <t>Magazyn Zabrze</t>
        </is>
      </c>
      <c r="E194" t="inlineStr">
        <is>
          <t>ZUŻYCIE</t>
        </is>
      </c>
      <c r="F194" t="inlineStr">
        <is>
          <t>PZ/41</t>
        </is>
      </c>
      <c r="G194" t="inlineStr">
        <is>
          <t>TAK</t>
        </is>
      </c>
      <c r="H194" t="inlineStr">
        <is>
          <t>KZR</t>
        </is>
      </c>
      <c r="I194" s="20" t="n">
        <v>84</v>
      </c>
      <c r="J194" t="inlineStr">
        <is>
          <t>MP</t>
        </is>
      </c>
      <c r="K194" s="21" t="n">
        <v>0</v>
      </c>
      <c r="L194" s="21" t="n">
        <v>0</v>
      </c>
      <c r="M194" s="21" t="n">
        <v>0</v>
      </c>
      <c r="N194" t="inlineStr">
        <is>
          <t>Zrębka Produkcyjna Inwestycyjna</t>
        </is>
      </c>
      <c r="O194" t="inlineStr">
        <is>
          <t>B</t>
        </is>
      </c>
      <c r="P194" t="inlineStr">
        <is>
          <t>własne</t>
        </is>
      </c>
      <c r="Q194" s="21" t="n">
        <v>10</v>
      </c>
      <c r="T194" s="22" t="n">
        <v>0</v>
      </c>
      <c r="U194" s="21" t="n">
        <v>0</v>
      </c>
      <c r="V194" s="21" t="n">
        <v>0</v>
      </c>
      <c r="W194" t="inlineStr">
        <is>
          <t>Magazyn Zabrze</t>
        </is>
      </c>
      <c r="Y194" t="inlineStr">
        <is>
          <t>Automatyczne zużycie surowca do produkcji</t>
        </is>
      </c>
      <c r="AA194" s="23" t="n">
        <v>46234.29017361111</v>
      </c>
      <c r="AB194" t="inlineStr">
        <is>
          <t>OP-MIGR-00193</t>
        </is>
      </c>
      <c r="AD194" t="inlineStr">
        <is>
          <t>AKTYWNY</t>
        </is>
      </c>
      <c r="AE194" s="20">
        <f>IF(I194="",0,IF(ISNUMBER(SEARCH("MP",UPPER(J194))),I194,IF(ISNUMBER(SEARCH("TON",UPPER(J194))),I194/Przelicznik_MP_tona,IF(ISNUMBER(SEARCH("M3",UPPER(J194))),I194*Przelicznik_M3_MP,IF(ISNUMBER(SEARCH("GJ",UPPER(J194))),I194/Przelicznik_GJ_tona/Przelicznik_MP_tona,I194)))))</f>
        <v/>
      </c>
      <c r="AF194" s="20">
        <f>IF(I194="",0,IF(ISNUMBER(SEARCH("TON",UPPER(J194))),I194,IF(ISNUMBER(SEARCH("GJ",UPPER(J194))),I194/Przelicznik_GJ_tona,AE194*Przelicznik_MP_tona)))</f>
        <v/>
      </c>
      <c r="AG194" s="20">
        <f>AF194*Przelicznik_GJ_tona</f>
        <v/>
      </c>
      <c r="AH194" s="20">
        <f>IF(UPPER(AD194)="SKORYGOWANY",0,IF(OR(UPPER(E194)="TRANSPORT",UPPER(E194)="MM"),0,IF(UPPER(G194)&lt;&gt;"TAK",0,IF(OR(UPPER(E194)="ZAKUP",UPPER(E194)="PRODUKCJA"),AE194,IF(OR(UPPER(E194)="SPRZEDAŻ",UPPER(E194)="ZUŻYCIE"),-AE194,0)))))</f>
        <v/>
      </c>
      <c r="AI194" s="20">
        <f>IF(UPPER(AD194)="SKORYGOWANY",0,IF(OR(UPPER(E194)="TRANSPORT",UPPER(E194)="MM"),0,IF(UPPER(G194)&lt;&gt;"TAK",0,IF(OR(UPPER(E194)="ZAKUP",UPPER(E194)="PRODUKCJA"),AF194,IF(OR(UPPER(E194)="SPRZEDAŻ",UPPER(E194)="ZUŻYCIE"),-AF194,0)))))</f>
        <v/>
      </c>
      <c r="AJ194" s="21">
        <f>IF(UPPER(AD194)="SKORYGOWANY",0,IF(UPPER(E194)="ZAKUP",IF(L194&lt;&gt;"",L194,I194*K194),0))</f>
        <v/>
      </c>
      <c r="AK194" s="21">
        <f>IF(UPPER(AD194)="SKORYGOWANY",0,IF(UPPER(E194)="SPRZEDAŻ",IF(L194&lt;&gt;"",L194,I194*M194),0))</f>
        <v/>
      </c>
      <c r="AL194" s="21">
        <f>AE194*Q194</f>
        <v/>
      </c>
      <c r="AM194">
        <f>IF(R194="","",IF(LOWER(R194)="brak","Brak",IF(OR(ISNUMBER(SEARCH("własn",LOWER(R194))),ISNUMBER(SEARCH("wlasn",LOWER(R194))),ISNUMBER(SEARCH("wojciechowski",LOWER(R194)))),"Własny","Zewnętrzny")))</f>
        <v/>
      </c>
      <c r="AN194" s="24">
        <f>IF(C194="","",YEAR(C194))</f>
        <v/>
      </c>
      <c r="AO194" s="24">
        <f>IF(C194="","",MONTH(C194))</f>
        <v/>
      </c>
      <c r="AP194">
        <f>IF(C194="","",UPPER(TEXT(C194,"mmmm")))</f>
        <v/>
      </c>
      <c r="AQ194">
        <f>IF(C194="","","Q"&amp;ROUNDUP(MONTH(C194)/3,0))</f>
        <v/>
      </c>
    </row>
    <row r="195">
      <c r="A195" s="19" t="n">
        <v>46231</v>
      </c>
      <c r="B195" t="inlineStr">
        <is>
          <t>Głubczyce</t>
        </is>
      </c>
      <c r="C195" s="19" t="n">
        <v>46231</v>
      </c>
      <c r="D195" t="inlineStr">
        <is>
          <t>Magazyn Zabrze</t>
        </is>
      </c>
      <c r="E195" t="inlineStr">
        <is>
          <t>ZAKUP</t>
        </is>
      </c>
      <c r="F195" t="inlineStr">
        <is>
          <t>PZ/41</t>
        </is>
      </c>
      <c r="G195" t="inlineStr">
        <is>
          <t>TAK</t>
        </is>
      </c>
      <c r="H195" t="inlineStr">
        <is>
          <t>KZR</t>
        </is>
      </c>
      <c r="I195" s="20" t="n">
        <v>84</v>
      </c>
      <c r="J195" t="inlineStr">
        <is>
          <t>MP</t>
        </is>
      </c>
      <c r="K195" s="21" t="n">
        <v>0</v>
      </c>
      <c r="L195" s="21" t="n">
        <v>0</v>
      </c>
      <c r="M195" s="21" t="n">
        <v>0</v>
      </c>
      <c r="N195" t="inlineStr">
        <is>
          <t>Zrębka Produkcyjna Inwestycyjna</t>
        </is>
      </c>
      <c r="O195" t="inlineStr">
        <is>
          <t>B</t>
        </is>
      </c>
      <c r="Q195" s="21" t="n">
        <v>0</v>
      </c>
      <c r="R195" t="inlineStr">
        <is>
          <t>własny (Kretek)</t>
        </is>
      </c>
      <c r="S195" t="inlineStr">
        <is>
          <t>SK 7J885</t>
        </is>
      </c>
      <c r="T195" s="22" t="n">
        <v>200</v>
      </c>
      <c r="U195" s="21" t="n">
        <v>5</v>
      </c>
      <c r="V195" s="21" t="n">
        <v>1000</v>
      </c>
      <c r="W195" t="inlineStr">
        <is>
          <t>Magazyn Zabrze</t>
        </is>
      </c>
      <c r="Z195" t="inlineStr">
        <is>
          <t>Roesner Mateusz</t>
        </is>
      </c>
      <c r="AA195" s="23" t="n">
        <v>46234.29071759259</v>
      </c>
      <c r="AB195" t="inlineStr">
        <is>
          <t>OP-MIGR-00194</t>
        </is>
      </c>
      <c r="AD195" t="inlineStr">
        <is>
          <t>AKTYWNY</t>
        </is>
      </c>
      <c r="AE195" s="20">
        <f>IF(I195="",0,IF(ISNUMBER(SEARCH("MP",UPPER(J195))),I195,IF(ISNUMBER(SEARCH("TON",UPPER(J195))),I195/Przelicznik_MP_tona,IF(ISNUMBER(SEARCH("M3",UPPER(J195))),I195*Przelicznik_M3_MP,IF(ISNUMBER(SEARCH("GJ",UPPER(J195))),I195/Przelicznik_GJ_tona/Przelicznik_MP_tona,I195)))))</f>
        <v/>
      </c>
      <c r="AF195" s="20">
        <f>IF(I195="",0,IF(ISNUMBER(SEARCH("TON",UPPER(J195))),I195,IF(ISNUMBER(SEARCH("GJ",UPPER(J195))),I195/Przelicznik_GJ_tona,AE195*Przelicznik_MP_tona)))</f>
        <v/>
      </c>
      <c r="AG195" s="20">
        <f>AF195*Przelicznik_GJ_tona</f>
        <v/>
      </c>
      <c r="AH195" s="20">
        <f>IF(UPPER(AD195)="SKORYGOWANY",0,IF(OR(UPPER(E195)="TRANSPORT",UPPER(E195)="MM"),0,IF(UPPER(G195)&lt;&gt;"TAK",0,IF(OR(UPPER(E195)="ZAKUP",UPPER(E195)="PRODUKCJA"),AE195,IF(OR(UPPER(E195)="SPRZEDAŻ",UPPER(E195)="ZUŻYCIE"),-AE195,0)))))</f>
        <v/>
      </c>
      <c r="AI195" s="20">
        <f>IF(UPPER(AD195)="SKORYGOWANY",0,IF(OR(UPPER(E195)="TRANSPORT",UPPER(E195)="MM"),0,IF(UPPER(G195)&lt;&gt;"TAK",0,IF(OR(UPPER(E195)="ZAKUP",UPPER(E195)="PRODUKCJA"),AF195,IF(OR(UPPER(E195)="SPRZEDAŻ",UPPER(E195)="ZUŻYCIE"),-AF195,0)))))</f>
        <v/>
      </c>
      <c r="AJ195" s="21">
        <f>IF(UPPER(AD195)="SKORYGOWANY",0,IF(UPPER(E195)="ZAKUP",IF(L195&lt;&gt;"",L195,I195*K195),0))</f>
        <v/>
      </c>
      <c r="AK195" s="21">
        <f>IF(UPPER(AD195)="SKORYGOWANY",0,IF(UPPER(E195)="SPRZEDAŻ",IF(L195&lt;&gt;"",L195,I195*M195),0))</f>
        <v/>
      </c>
      <c r="AL195" s="21">
        <f>AE195*Q195</f>
        <v/>
      </c>
      <c r="AM195">
        <f>IF(R195="","",IF(LOWER(R195)="brak","Brak",IF(OR(ISNUMBER(SEARCH("własn",LOWER(R195))),ISNUMBER(SEARCH("wlasn",LOWER(R195))),ISNUMBER(SEARCH("wojciechowski",LOWER(R195)))),"Własny","Zewnętrzny")))</f>
        <v/>
      </c>
      <c r="AN195" s="24">
        <f>IF(C195="","",YEAR(C195))</f>
        <v/>
      </c>
      <c r="AO195" s="24">
        <f>IF(C195="","",MONTH(C195))</f>
        <v/>
      </c>
      <c r="AP195">
        <f>IF(C195="","",UPPER(TEXT(C195,"mmmm")))</f>
        <v/>
      </c>
      <c r="AQ195">
        <f>IF(C195="","","Q"&amp;ROUNDUP(MONTH(C195)/3,0))</f>
        <v/>
      </c>
    </row>
    <row r="196">
      <c r="A196" s="19" t="n">
        <v>46231</v>
      </c>
      <c r="C196" s="19" t="n">
        <v>46231</v>
      </c>
      <c r="D196" t="inlineStr">
        <is>
          <t>Grandpol</t>
        </is>
      </c>
      <c r="E196" t="inlineStr">
        <is>
          <t>ZAKUP</t>
        </is>
      </c>
      <c r="F196" t="inlineStr">
        <is>
          <t>PZ/42</t>
        </is>
      </c>
      <c r="G196" t="inlineStr">
        <is>
          <t>TAK</t>
        </is>
      </c>
      <c r="H196" t="inlineStr">
        <is>
          <t>KZR</t>
        </is>
      </c>
      <c r="I196" s="20" t="n">
        <v>57</v>
      </c>
      <c r="J196" t="inlineStr">
        <is>
          <t>MP</t>
        </is>
      </c>
      <c r="K196" s="21" t="n">
        <v>20</v>
      </c>
      <c r="L196" s="21" t="n">
        <v>1140</v>
      </c>
      <c r="M196" s="21" t="n">
        <v>0</v>
      </c>
      <c r="N196" t="inlineStr">
        <is>
          <t>Drewno przemysłowe z wycinek inwest.</t>
        </is>
      </c>
      <c r="O196" t="inlineStr">
        <is>
          <t>B</t>
        </is>
      </c>
      <c r="Q196" s="21" t="n">
        <v>0</v>
      </c>
      <c r="T196" s="22" t="n">
        <v>0</v>
      </c>
      <c r="U196" s="21" t="n">
        <v>0</v>
      </c>
      <c r="V196" s="21" t="n">
        <v>0</v>
      </c>
      <c r="W196" t="inlineStr">
        <is>
          <t>Magazyn Zabrze</t>
        </is>
      </c>
      <c r="Z196" t="inlineStr">
        <is>
          <t>Roesner Mateusz</t>
        </is>
      </c>
      <c r="AA196" s="23" t="n">
        <v>46234.29283564815</v>
      </c>
      <c r="AB196" t="inlineStr">
        <is>
          <t>OP-MIGR-00195</t>
        </is>
      </c>
      <c r="AD196" t="inlineStr">
        <is>
          <t>AKTYWNY</t>
        </is>
      </c>
      <c r="AE196" s="20">
        <f>IF(I196="",0,IF(ISNUMBER(SEARCH("MP",UPPER(J196))),I196,IF(ISNUMBER(SEARCH("TON",UPPER(J196))),I196/Przelicznik_MP_tona,IF(ISNUMBER(SEARCH("M3",UPPER(J196))),I196*Przelicznik_M3_MP,IF(ISNUMBER(SEARCH("GJ",UPPER(J196))),I196/Przelicznik_GJ_tona/Przelicznik_MP_tona,I196)))))</f>
        <v/>
      </c>
      <c r="AF196" s="20">
        <f>IF(I196="",0,IF(ISNUMBER(SEARCH("TON",UPPER(J196))),I196,IF(ISNUMBER(SEARCH("GJ",UPPER(J196))),I196/Przelicznik_GJ_tona,AE196*Przelicznik_MP_tona)))</f>
        <v/>
      </c>
      <c r="AG196" s="20">
        <f>AF196*Przelicznik_GJ_tona</f>
        <v/>
      </c>
      <c r="AH196" s="20">
        <f>IF(UPPER(AD196)="SKORYGOWANY",0,IF(OR(UPPER(E196)="TRANSPORT",UPPER(E196)="MM"),0,IF(UPPER(G196)&lt;&gt;"TAK",0,IF(OR(UPPER(E196)="ZAKUP",UPPER(E196)="PRODUKCJA"),AE196,IF(OR(UPPER(E196)="SPRZEDAŻ",UPPER(E196)="ZUŻYCIE"),-AE196,0)))))</f>
        <v/>
      </c>
      <c r="AI196" s="20">
        <f>IF(UPPER(AD196)="SKORYGOWANY",0,IF(OR(UPPER(E196)="TRANSPORT",UPPER(E196)="MM"),0,IF(UPPER(G196)&lt;&gt;"TAK",0,IF(OR(UPPER(E196)="ZAKUP",UPPER(E196)="PRODUKCJA"),AF196,IF(OR(UPPER(E196)="SPRZEDAŻ",UPPER(E196)="ZUŻYCIE"),-AF196,0)))))</f>
        <v/>
      </c>
      <c r="AJ196" s="21">
        <f>IF(UPPER(AD196)="SKORYGOWANY",0,IF(UPPER(E196)="ZAKUP",IF(L196&lt;&gt;"",L196,I196*K196),0))</f>
        <v/>
      </c>
      <c r="AK196" s="21">
        <f>IF(UPPER(AD196)="SKORYGOWANY",0,IF(UPPER(E196)="SPRZEDAŻ",IF(L196&lt;&gt;"",L196,I196*M196),0))</f>
        <v/>
      </c>
      <c r="AL196" s="21">
        <f>AE196*Q196</f>
        <v/>
      </c>
      <c r="AM196">
        <f>IF(R196="","",IF(LOWER(R196)="brak","Brak",IF(OR(ISNUMBER(SEARCH("własn",LOWER(R196))),ISNUMBER(SEARCH("wlasn",LOWER(R196))),ISNUMBER(SEARCH("wojciechowski",LOWER(R196)))),"Własny","Zewnętrzny")))</f>
        <v/>
      </c>
      <c r="AN196" s="24">
        <f>IF(C196="","",YEAR(C196))</f>
        <v/>
      </c>
      <c r="AO196" s="24">
        <f>IF(C196="","",MONTH(C196))</f>
        <v/>
      </c>
      <c r="AP196">
        <f>IF(C196="","",UPPER(TEXT(C196,"mmmm")))</f>
        <v/>
      </c>
      <c r="AQ196">
        <f>IF(C196="","","Q"&amp;ROUNDUP(MONTH(C196)/3,0))</f>
        <v/>
      </c>
    </row>
    <row r="197">
      <c r="A197" s="19" t="n">
        <v>46231</v>
      </c>
      <c r="C197" s="19" t="n">
        <v>46231</v>
      </c>
      <c r="D197" t="inlineStr">
        <is>
          <t>Magazyn Zabrze</t>
        </is>
      </c>
      <c r="E197" t="inlineStr">
        <is>
          <t>PRODUKCJA</t>
        </is>
      </c>
      <c r="F197" t="inlineStr">
        <is>
          <t>PZ/42</t>
        </is>
      </c>
      <c r="G197" t="inlineStr">
        <is>
          <t>TAK</t>
        </is>
      </c>
      <c r="H197" t="inlineStr">
        <is>
          <t>KZR</t>
        </is>
      </c>
      <c r="I197" s="20" t="n">
        <v>57</v>
      </c>
      <c r="J197" t="inlineStr">
        <is>
          <t>MP</t>
        </is>
      </c>
      <c r="K197" s="21" t="n">
        <v>0</v>
      </c>
      <c r="L197" s="21" t="n">
        <v>0</v>
      </c>
      <c r="M197" s="21" t="n">
        <v>0</v>
      </c>
      <c r="N197" t="inlineStr">
        <is>
          <t>Zrębka Produkcyjna Inwestycyjna</t>
        </is>
      </c>
      <c r="O197" t="inlineStr">
        <is>
          <t>B</t>
        </is>
      </c>
      <c r="P197" t="inlineStr">
        <is>
          <t>własne</t>
        </is>
      </c>
      <c r="Q197" s="21" t="n">
        <v>10</v>
      </c>
      <c r="T197" s="22" t="n">
        <v>0</v>
      </c>
      <c r="U197" s="21" t="n">
        <v>0</v>
      </c>
      <c r="V197" s="21" t="n">
        <v>0</v>
      </c>
      <c r="W197" t="inlineStr">
        <is>
          <t>Magazyn Zabrze</t>
        </is>
      </c>
      <c r="Z197" t="inlineStr">
        <is>
          <t>Roesner Mateusz</t>
        </is>
      </c>
      <c r="AA197" s="23" t="n">
        <v>46234.29335648148</v>
      </c>
      <c r="AB197" t="inlineStr">
        <is>
          <t>OP-MIGR-00196</t>
        </is>
      </c>
      <c r="AD197" t="inlineStr">
        <is>
          <t>AKTYWNY</t>
        </is>
      </c>
      <c r="AE197" s="20">
        <f>IF(I197="",0,IF(ISNUMBER(SEARCH("MP",UPPER(J197))),I197,IF(ISNUMBER(SEARCH("TON",UPPER(J197))),I197/Przelicznik_MP_tona,IF(ISNUMBER(SEARCH("M3",UPPER(J197))),I197*Przelicznik_M3_MP,IF(ISNUMBER(SEARCH("GJ",UPPER(J197))),I197/Przelicznik_GJ_tona/Przelicznik_MP_tona,I197)))))</f>
        <v/>
      </c>
      <c r="AF197" s="20">
        <f>IF(I197="",0,IF(ISNUMBER(SEARCH("TON",UPPER(J197))),I197,IF(ISNUMBER(SEARCH("GJ",UPPER(J197))),I197/Przelicznik_GJ_tona,AE197*Przelicznik_MP_tona)))</f>
        <v/>
      </c>
      <c r="AG197" s="20">
        <f>AF197*Przelicznik_GJ_tona</f>
        <v/>
      </c>
      <c r="AH197" s="20">
        <f>IF(UPPER(AD197)="SKORYGOWANY",0,IF(OR(UPPER(E197)="TRANSPORT",UPPER(E197)="MM"),0,IF(UPPER(G197)&lt;&gt;"TAK",0,IF(OR(UPPER(E197)="ZAKUP",UPPER(E197)="PRODUKCJA"),AE197,IF(OR(UPPER(E197)="SPRZEDAŻ",UPPER(E197)="ZUŻYCIE"),-AE197,0)))))</f>
        <v/>
      </c>
      <c r="AI197" s="20">
        <f>IF(UPPER(AD197)="SKORYGOWANY",0,IF(OR(UPPER(E197)="TRANSPORT",UPPER(E197)="MM"),0,IF(UPPER(G197)&lt;&gt;"TAK",0,IF(OR(UPPER(E197)="ZAKUP",UPPER(E197)="PRODUKCJA"),AF197,IF(OR(UPPER(E197)="SPRZEDAŻ",UPPER(E197)="ZUŻYCIE"),-AF197,0)))))</f>
        <v/>
      </c>
      <c r="AJ197" s="21">
        <f>IF(UPPER(AD197)="SKORYGOWANY",0,IF(UPPER(E197)="ZAKUP",IF(L197&lt;&gt;"",L197,I197*K197),0))</f>
        <v/>
      </c>
      <c r="AK197" s="21">
        <f>IF(UPPER(AD197)="SKORYGOWANY",0,IF(UPPER(E197)="SPRZEDAŻ",IF(L197&lt;&gt;"",L197,I197*M197),0))</f>
        <v/>
      </c>
      <c r="AL197" s="21">
        <f>AE197*Q197</f>
        <v/>
      </c>
      <c r="AM197">
        <f>IF(R197="","",IF(LOWER(R197)="brak","Brak",IF(OR(ISNUMBER(SEARCH("własn",LOWER(R197))),ISNUMBER(SEARCH("wlasn",LOWER(R197))),ISNUMBER(SEARCH("wojciechowski",LOWER(R197)))),"Własny","Zewnętrzny")))</f>
        <v/>
      </c>
      <c r="AN197" s="24">
        <f>IF(C197="","",YEAR(C197))</f>
        <v/>
      </c>
      <c r="AO197" s="24">
        <f>IF(C197="","",MONTH(C197))</f>
        <v/>
      </c>
      <c r="AP197">
        <f>IF(C197="","",UPPER(TEXT(C197,"mmmm")))</f>
        <v/>
      </c>
      <c r="AQ197">
        <f>IF(C197="","","Q"&amp;ROUNDUP(MONTH(C197)/3,0))</f>
        <v/>
      </c>
    </row>
    <row r="198">
      <c r="A198" s="19" t="n">
        <v>46231</v>
      </c>
      <c r="C198" s="19" t="n">
        <v>46231</v>
      </c>
      <c r="D198" t="inlineStr">
        <is>
          <t>Magazyn Zabrze</t>
        </is>
      </c>
      <c r="E198" t="inlineStr">
        <is>
          <t>ZUŻYCIE</t>
        </is>
      </c>
      <c r="F198" t="inlineStr">
        <is>
          <t>PZ/42</t>
        </is>
      </c>
      <c r="G198" t="inlineStr">
        <is>
          <t>TAK</t>
        </is>
      </c>
      <c r="H198" t="inlineStr">
        <is>
          <t>KZR</t>
        </is>
      </c>
      <c r="I198" s="20" t="n">
        <v>57</v>
      </c>
      <c r="J198" t="inlineStr">
        <is>
          <t>MP</t>
        </is>
      </c>
      <c r="K198" s="21" t="n">
        <v>0</v>
      </c>
      <c r="L198" s="21" t="n">
        <v>0</v>
      </c>
      <c r="M198" s="21" t="n">
        <v>0</v>
      </c>
      <c r="N198" t="inlineStr">
        <is>
          <t>Zrębka Produkcyjna Inwestycyjna</t>
        </is>
      </c>
      <c r="O198" t="inlineStr">
        <is>
          <t>B</t>
        </is>
      </c>
      <c r="P198" t="inlineStr">
        <is>
          <t>własne</t>
        </is>
      </c>
      <c r="Q198" s="21" t="n">
        <v>10</v>
      </c>
      <c r="T198" s="22" t="n">
        <v>0</v>
      </c>
      <c r="U198" s="21" t="n">
        <v>0</v>
      </c>
      <c r="V198" s="21" t="n">
        <v>0</v>
      </c>
      <c r="W198" t="inlineStr">
        <is>
          <t>Magazyn Zabrze</t>
        </is>
      </c>
      <c r="Y198" t="inlineStr">
        <is>
          <t>Automatyczne zużycie surowca do produkcji</t>
        </is>
      </c>
      <c r="AA198" s="23" t="n">
        <v>46234.29335648148</v>
      </c>
      <c r="AB198" t="inlineStr">
        <is>
          <t>OP-MIGR-00197</t>
        </is>
      </c>
      <c r="AD198" t="inlineStr">
        <is>
          <t>AKTYWNY</t>
        </is>
      </c>
      <c r="AE198" s="20">
        <f>IF(I198="",0,IF(ISNUMBER(SEARCH("MP",UPPER(J198))),I198,IF(ISNUMBER(SEARCH("TON",UPPER(J198))),I198/Przelicznik_MP_tona,IF(ISNUMBER(SEARCH("M3",UPPER(J198))),I198*Przelicznik_M3_MP,IF(ISNUMBER(SEARCH("GJ",UPPER(J198))),I198/Przelicznik_GJ_tona/Przelicznik_MP_tona,I198)))))</f>
        <v/>
      </c>
      <c r="AF198" s="20">
        <f>IF(I198="",0,IF(ISNUMBER(SEARCH("TON",UPPER(J198))),I198,IF(ISNUMBER(SEARCH("GJ",UPPER(J198))),I198/Przelicznik_GJ_tona,AE198*Przelicznik_MP_tona)))</f>
        <v/>
      </c>
      <c r="AG198" s="20">
        <f>AF198*Przelicznik_GJ_tona</f>
        <v/>
      </c>
      <c r="AH198" s="20">
        <f>IF(UPPER(AD198)="SKORYGOWANY",0,IF(OR(UPPER(E198)="TRANSPORT",UPPER(E198)="MM"),0,IF(UPPER(G198)&lt;&gt;"TAK",0,IF(OR(UPPER(E198)="ZAKUP",UPPER(E198)="PRODUKCJA"),AE198,IF(OR(UPPER(E198)="SPRZEDAŻ",UPPER(E198)="ZUŻYCIE"),-AE198,0)))))</f>
        <v/>
      </c>
      <c r="AI198" s="20">
        <f>IF(UPPER(AD198)="SKORYGOWANY",0,IF(OR(UPPER(E198)="TRANSPORT",UPPER(E198)="MM"),0,IF(UPPER(G198)&lt;&gt;"TAK",0,IF(OR(UPPER(E198)="ZAKUP",UPPER(E198)="PRODUKCJA"),AF198,IF(OR(UPPER(E198)="SPRZEDAŻ",UPPER(E198)="ZUŻYCIE"),-AF198,0)))))</f>
        <v/>
      </c>
      <c r="AJ198" s="21">
        <f>IF(UPPER(AD198)="SKORYGOWANY",0,IF(UPPER(E198)="ZAKUP",IF(L198&lt;&gt;"",L198,I198*K198),0))</f>
        <v/>
      </c>
      <c r="AK198" s="21">
        <f>IF(UPPER(AD198)="SKORYGOWANY",0,IF(UPPER(E198)="SPRZEDAŻ",IF(L198&lt;&gt;"",L198,I198*M198),0))</f>
        <v/>
      </c>
      <c r="AL198" s="21">
        <f>AE198*Q198</f>
        <v/>
      </c>
      <c r="AM198">
        <f>IF(R198="","",IF(LOWER(R198)="brak","Brak",IF(OR(ISNUMBER(SEARCH("własn",LOWER(R198))),ISNUMBER(SEARCH("wlasn",LOWER(R198))),ISNUMBER(SEARCH("wojciechowski",LOWER(R198)))),"Własny","Zewnętrzny")))</f>
        <v/>
      </c>
      <c r="AN198" s="24">
        <f>IF(C198="","",YEAR(C198))</f>
        <v/>
      </c>
      <c r="AO198" s="24">
        <f>IF(C198="","",MONTH(C198))</f>
        <v/>
      </c>
      <c r="AP198">
        <f>IF(C198="","",UPPER(TEXT(C198,"mmmm")))</f>
        <v/>
      </c>
      <c r="AQ198">
        <f>IF(C198="","","Q"&amp;ROUNDUP(MONTH(C198)/3,0))</f>
        <v/>
      </c>
    </row>
    <row r="199">
      <c r="A199" s="19" t="n">
        <v>46231</v>
      </c>
      <c r="B199" t="inlineStr">
        <is>
          <t>Kwiatniów</t>
        </is>
      </c>
      <c r="C199" s="19" t="n">
        <v>46231</v>
      </c>
      <c r="D199" t="inlineStr">
        <is>
          <t>Magazyn Zabrze</t>
        </is>
      </c>
      <c r="E199" t="inlineStr">
        <is>
          <t>ZAKUP</t>
        </is>
      </c>
      <c r="F199" t="inlineStr">
        <is>
          <t>PZ/42</t>
        </is>
      </c>
      <c r="G199" t="inlineStr">
        <is>
          <t>TAK</t>
        </is>
      </c>
      <c r="H199" t="inlineStr">
        <is>
          <t>KZR</t>
        </is>
      </c>
      <c r="I199" s="20" t="n">
        <v>57</v>
      </c>
      <c r="J199" t="inlineStr">
        <is>
          <t>MP</t>
        </is>
      </c>
      <c r="K199" s="21" t="n">
        <v>0</v>
      </c>
      <c r="L199" s="21" t="n">
        <v>0</v>
      </c>
      <c r="M199" s="21" t="n">
        <v>0</v>
      </c>
      <c r="N199" t="inlineStr">
        <is>
          <t>Zrębka Produkcyjna Inwestycyjna</t>
        </is>
      </c>
      <c r="O199" t="inlineStr">
        <is>
          <t>B</t>
        </is>
      </c>
      <c r="Q199" s="21" t="n">
        <v>0</v>
      </c>
      <c r="R199" t="inlineStr">
        <is>
          <t>własny (Wiór)</t>
        </is>
      </c>
      <c r="S199" t="inlineStr">
        <is>
          <t>SK 7H433</t>
        </is>
      </c>
      <c r="T199" s="22" t="n">
        <v>200</v>
      </c>
      <c r="U199" s="21" t="n">
        <v>6</v>
      </c>
      <c r="V199" s="21" t="n">
        <v>1200</v>
      </c>
      <c r="W199" t="inlineStr">
        <is>
          <t>Magazyn Zabrze</t>
        </is>
      </c>
      <c r="Z199" t="inlineStr">
        <is>
          <t>Roesner Mateusz</t>
        </is>
      </c>
      <c r="AA199" s="23" t="n">
        <v>46234.29438657407</v>
      </c>
      <c r="AB199" t="inlineStr">
        <is>
          <t>OP-MIGR-00198</t>
        </is>
      </c>
      <c r="AD199" t="inlineStr">
        <is>
          <t>AKTYWNY</t>
        </is>
      </c>
      <c r="AE199" s="20">
        <f>IF(I199="",0,IF(ISNUMBER(SEARCH("MP",UPPER(J199))),I199,IF(ISNUMBER(SEARCH("TON",UPPER(J199))),I199/Przelicznik_MP_tona,IF(ISNUMBER(SEARCH("M3",UPPER(J199))),I199*Przelicznik_M3_MP,IF(ISNUMBER(SEARCH("GJ",UPPER(J199))),I199/Przelicznik_GJ_tona/Przelicznik_MP_tona,I199)))))</f>
        <v/>
      </c>
      <c r="AF199" s="20">
        <f>IF(I199="",0,IF(ISNUMBER(SEARCH("TON",UPPER(J199))),I199,IF(ISNUMBER(SEARCH("GJ",UPPER(J199))),I199/Przelicznik_GJ_tona,AE199*Przelicznik_MP_tona)))</f>
        <v/>
      </c>
      <c r="AG199" s="20">
        <f>AF199*Przelicznik_GJ_tona</f>
        <v/>
      </c>
      <c r="AH199" s="20">
        <f>IF(UPPER(AD199)="SKORYGOWANY",0,IF(OR(UPPER(E199)="TRANSPORT",UPPER(E199)="MM"),0,IF(UPPER(G199)&lt;&gt;"TAK",0,IF(OR(UPPER(E199)="ZAKUP",UPPER(E199)="PRODUKCJA"),AE199,IF(OR(UPPER(E199)="SPRZEDAŻ",UPPER(E199)="ZUŻYCIE"),-AE199,0)))))</f>
        <v/>
      </c>
      <c r="AI199" s="20">
        <f>IF(UPPER(AD199)="SKORYGOWANY",0,IF(OR(UPPER(E199)="TRANSPORT",UPPER(E199)="MM"),0,IF(UPPER(G199)&lt;&gt;"TAK",0,IF(OR(UPPER(E199)="ZAKUP",UPPER(E199)="PRODUKCJA"),AF199,IF(OR(UPPER(E199)="SPRZEDAŻ",UPPER(E199)="ZUŻYCIE"),-AF199,0)))))</f>
        <v/>
      </c>
      <c r="AJ199" s="21">
        <f>IF(UPPER(AD199)="SKORYGOWANY",0,IF(UPPER(E199)="ZAKUP",IF(L199&lt;&gt;"",L199,I199*K199),0))</f>
        <v/>
      </c>
      <c r="AK199" s="21">
        <f>IF(UPPER(AD199)="SKORYGOWANY",0,IF(UPPER(E199)="SPRZEDAŻ",IF(L199&lt;&gt;"",L199,I199*M199),0))</f>
        <v/>
      </c>
      <c r="AL199" s="21">
        <f>AE199*Q199</f>
        <v/>
      </c>
      <c r="AM199">
        <f>IF(R199="","",IF(LOWER(R199)="brak","Brak",IF(OR(ISNUMBER(SEARCH("własn",LOWER(R199))),ISNUMBER(SEARCH("wlasn",LOWER(R199))),ISNUMBER(SEARCH("wojciechowski",LOWER(R199)))),"Własny","Zewnętrzny")))</f>
        <v/>
      </c>
      <c r="AN199" s="24">
        <f>IF(C199="","",YEAR(C199))</f>
        <v/>
      </c>
      <c r="AO199" s="24">
        <f>IF(C199="","",MONTH(C199))</f>
        <v/>
      </c>
      <c r="AP199">
        <f>IF(C199="","",UPPER(TEXT(C199,"mmmm")))</f>
        <v/>
      </c>
      <c r="AQ199">
        <f>IF(C199="","","Q"&amp;ROUNDUP(MONTH(C199)/3,0))</f>
        <v/>
      </c>
    </row>
    <row r="200">
      <c r="A200" s="19" t="n">
        <v>46231</v>
      </c>
      <c r="C200" s="19" t="n">
        <v>46231</v>
      </c>
      <c r="D200" t="inlineStr">
        <is>
          <t>Grandpol</t>
        </is>
      </c>
      <c r="E200" t="inlineStr">
        <is>
          <t>ZAKUP</t>
        </is>
      </c>
      <c r="F200" t="inlineStr">
        <is>
          <t>PZ/43</t>
        </is>
      </c>
      <c r="G200" t="inlineStr">
        <is>
          <t>TAK</t>
        </is>
      </c>
      <c r="H200" t="inlineStr">
        <is>
          <t>KZR</t>
        </is>
      </c>
      <c r="I200" s="20" t="n">
        <v>81</v>
      </c>
      <c r="J200" t="inlineStr">
        <is>
          <t>MP</t>
        </is>
      </c>
      <c r="K200" s="21" t="n">
        <v>45</v>
      </c>
      <c r="L200" s="21" t="n">
        <v>3645</v>
      </c>
      <c r="M200" s="21" t="n">
        <v>0</v>
      </c>
      <c r="N200" t="inlineStr">
        <is>
          <t>Drewno przemysłowe z wycinek inwest.</t>
        </is>
      </c>
      <c r="O200" t="inlineStr">
        <is>
          <t>B</t>
        </is>
      </c>
      <c r="Q200" s="21" t="n">
        <v>0</v>
      </c>
      <c r="T200" s="22" t="n">
        <v>0</v>
      </c>
      <c r="U200" s="21" t="n">
        <v>0</v>
      </c>
      <c r="V200" s="21" t="n">
        <v>0</v>
      </c>
      <c r="W200" t="inlineStr">
        <is>
          <t>Magazyn Zabrze</t>
        </is>
      </c>
      <c r="Z200" t="inlineStr">
        <is>
          <t>Roesner Mateusz</t>
        </is>
      </c>
      <c r="AA200" s="23" t="n">
        <v>46234.29612268518</v>
      </c>
      <c r="AB200" t="inlineStr">
        <is>
          <t>OP-MIGR-00199</t>
        </is>
      </c>
      <c r="AD200" t="inlineStr">
        <is>
          <t>AKTYWNY</t>
        </is>
      </c>
      <c r="AE200" s="20">
        <f>IF(I200="",0,IF(ISNUMBER(SEARCH("MP",UPPER(J200))),I200,IF(ISNUMBER(SEARCH("TON",UPPER(J200))),I200/Przelicznik_MP_tona,IF(ISNUMBER(SEARCH("M3",UPPER(J200))),I200*Przelicznik_M3_MP,IF(ISNUMBER(SEARCH("GJ",UPPER(J200))),I200/Przelicznik_GJ_tona/Przelicznik_MP_tona,I200)))))</f>
        <v/>
      </c>
      <c r="AF200" s="20">
        <f>IF(I200="",0,IF(ISNUMBER(SEARCH("TON",UPPER(J200))),I200,IF(ISNUMBER(SEARCH("GJ",UPPER(J200))),I200/Przelicznik_GJ_tona,AE200*Przelicznik_MP_tona)))</f>
        <v/>
      </c>
      <c r="AG200" s="20">
        <f>AF200*Przelicznik_GJ_tona</f>
        <v/>
      </c>
      <c r="AH200" s="20">
        <f>IF(UPPER(AD200)="SKORYGOWANY",0,IF(OR(UPPER(E200)="TRANSPORT",UPPER(E200)="MM"),0,IF(UPPER(G200)&lt;&gt;"TAK",0,IF(OR(UPPER(E200)="ZAKUP",UPPER(E200)="PRODUKCJA"),AE200,IF(OR(UPPER(E200)="SPRZEDAŻ",UPPER(E200)="ZUŻYCIE"),-AE200,0)))))</f>
        <v/>
      </c>
      <c r="AI200" s="20">
        <f>IF(UPPER(AD200)="SKORYGOWANY",0,IF(OR(UPPER(E200)="TRANSPORT",UPPER(E200)="MM"),0,IF(UPPER(G200)&lt;&gt;"TAK",0,IF(OR(UPPER(E200)="ZAKUP",UPPER(E200)="PRODUKCJA"),AF200,IF(OR(UPPER(E200)="SPRZEDAŻ",UPPER(E200)="ZUŻYCIE"),-AF200,0)))))</f>
        <v/>
      </c>
      <c r="AJ200" s="21">
        <f>IF(UPPER(AD200)="SKORYGOWANY",0,IF(UPPER(E200)="ZAKUP",IF(L200&lt;&gt;"",L200,I200*K200),0))</f>
        <v/>
      </c>
      <c r="AK200" s="21">
        <f>IF(UPPER(AD200)="SKORYGOWANY",0,IF(UPPER(E200)="SPRZEDAŻ",IF(L200&lt;&gt;"",L200,I200*M200),0))</f>
        <v/>
      </c>
      <c r="AL200" s="21">
        <f>AE200*Q200</f>
        <v/>
      </c>
      <c r="AM200">
        <f>IF(R200="","",IF(LOWER(R200)="brak","Brak",IF(OR(ISNUMBER(SEARCH("własn",LOWER(R200))),ISNUMBER(SEARCH("wlasn",LOWER(R200))),ISNUMBER(SEARCH("wojciechowski",LOWER(R200)))),"Własny","Zewnętrzny")))</f>
        <v/>
      </c>
      <c r="AN200" s="24">
        <f>IF(C200="","",YEAR(C200))</f>
        <v/>
      </c>
      <c r="AO200" s="24">
        <f>IF(C200="","",MONTH(C200))</f>
        <v/>
      </c>
      <c r="AP200">
        <f>IF(C200="","",UPPER(TEXT(C200,"mmmm")))</f>
        <v/>
      </c>
      <c r="AQ200">
        <f>IF(C200="","","Q"&amp;ROUNDUP(MONTH(C200)/3,0))</f>
        <v/>
      </c>
    </row>
    <row r="201">
      <c r="A201" s="19" t="n">
        <v>46231</v>
      </c>
      <c r="C201" s="19" t="n">
        <v>46231</v>
      </c>
      <c r="D201" t="inlineStr">
        <is>
          <t>Magazyn Zabrze</t>
        </is>
      </c>
      <c r="E201" t="inlineStr">
        <is>
          <t>PRODUKCJA</t>
        </is>
      </c>
      <c r="F201" t="inlineStr">
        <is>
          <t>PZ/43</t>
        </is>
      </c>
      <c r="G201" t="inlineStr">
        <is>
          <t>TAK</t>
        </is>
      </c>
      <c r="H201" t="inlineStr">
        <is>
          <t>KZR</t>
        </is>
      </c>
      <c r="I201" s="20" t="n">
        <v>81</v>
      </c>
      <c r="J201" t="inlineStr">
        <is>
          <t>MP</t>
        </is>
      </c>
      <c r="K201" s="21" t="n">
        <v>0</v>
      </c>
      <c r="L201" s="21" t="n">
        <v>0</v>
      </c>
      <c r="M201" s="21" t="n">
        <v>0</v>
      </c>
      <c r="N201" t="inlineStr">
        <is>
          <t>Zrębka Produkcyjna Inwestycyjna</t>
        </is>
      </c>
      <c r="O201" t="inlineStr">
        <is>
          <t>B</t>
        </is>
      </c>
      <c r="P201" t="inlineStr">
        <is>
          <t>własne</t>
        </is>
      </c>
      <c r="Q201" s="21" t="n">
        <v>10</v>
      </c>
      <c r="T201" s="22" t="n">
        <v>0</v>
      </c>
      <c r="U201" s="21" t="n">
        <v>0</v>
      </c>
      <c r="V201" s="21" t="n">
        <v>0</v>
      </c>
      <c r="W201" t="inlineStr">
        <is>
          <t>Magazyn Zabrze</t>
        </is>
      </c>
      <c r="Z201" t="inlineStr">
        <is>
          <t>Roesner Mateusz</t>
        </is>
      </c>
      <c r="AA201" s="23" t="n">
        <v>46234.29655092592</v>
      </c>
      <c r="AB201" t="inlineStr">
        <is>
          <t>OP-MIGR-00200</t>
        </is>
      </c>
      <c r="AD201" t="inlineStr">
        <is>
          <t>AKTYWNY</t>
        </is>
      </c>
      <c r="AE201" s="20">
        <f>IF(I201="",0,IF(ISNUMBER(SEARCH("MP",UPPER(J201))),I201,IF(ISNUMBER(SEARCH("TON",UPPER(J201))),I201/Przelicznik_MP_tona,IF(ISNUMBER(SEARCH("M3",UPPER(J201))),I201*Przelicznik_M3_MP,IF(ISNUMBER(SEARCH("GJ",UPPER(J201))),I201/Przelicznik_GJ_tona/Przelicznik_MP_tona,I201)))))</f>
        <v/>
      </c>
      <c r="AF201" s="20">
        <f>IF(I201="",0,IF(ISNUMBER(SEARCH("TON",UPPER(J201))),I201,IF(ISNUMBER(SEARCH("GJ",UPPER(J201))),I201/Przelicznik_GJ_tona,AE201*Przelicznik_MP_tona)))</f>
        <v/>
      </c>
      <c r="AG201" s="20">
        <f>AF201*Przelicznik_GJ_tona</f>
        <v/>
      </c>
      <c r="AH201" s="20">
        <f>IF(UPPER(AD201)="SKORYGOWANY",0,IF(OR(UPPER(E201)="TRANSPORT",UPPER(E201)="MM"),0,IF(UPPER(G201)&lt;&gt;"TAK",0,IF(OR(UPPER(E201)="ZAKUP",UPPER(E201)="PRODUKCJA"),AE201,IF(OR(UPPER(E201)="SPRZEDAŻ",UPPER(E201)="ZUŻYCIE"),-AE201,0)))))</f>
        <v/>
      </c>
      <c r="AI201" s="20">
        <f>IF(UPPER(AD201)="SKORYGOWANY",0,IF(OR(UPPER(E201)="TRANSPORT",UPPER(E201)="MM"),0,IF(UPPER(G201)&lt;&gt;"TAK",0,IF(OR(UPPER(E201)="ZAKUP",UPPER(E201)="PRODUKCJA"),AF201,IF(OR(UPPER(E201)="SPRZEDAŻ",UPPER(E201)="ZUŻYCIE"),-AF201,0)))))</f>
        <v/>
      </c>
      <c r="AJ201" s="21">
        <f>IF(UPPER(AD201)="SKORYGOWANY",0,IF(UPPER(E201)="ZAKUP",IF(L201&lt;&gt;"",L201,I201*K201),0))</f>
        <v/>
      </c>
      <c r="AK201" s="21">
        <f>IF(UPPER(AD201)="SKORYGOWANY",0,IF(UPPER(E201)="SPRZEDAŻ",IF(L201&lt;&gt;"",L201,I201*M201),0))</f>
        <v/>
      </c>
      <c r="AL201" s="21">
        <f>AE201*Q201</f>
        <v/>
      </c>
      <c r="AM201">
        <f>IF(R201="","",IF(LOWER(R201)="brak","Brak",IF(OR(ISNUMBER(SEARCH("własn",LOWER(R201))),ISNUMBER(SEARCH("wlasn",LOWER(R201))),ISNUMBER(SEARCH("wojciechowski",LOWER(R201)))),"Własny","Zewnętrzny")))</f>
        <v/>
      </c>
      <c r="AN201" s="24">
        <f>IF(C201="","",YEAR(C201))</f>
        <v/>
      </c>
      <c r="AO201" s="24">
        <f>IF(C201="","",MONTH(C201))</f>
        <v/>
      </c>
      <c r="AP201">
        <f>IF(C201="","",UPPER(TEXT(C201,"mmmm")))</f>
        <v/>
      </c>
      <c r="AQ201">
        <f>IF(C201="","","Q"&amp;ROUNDUP(MONTH(C201)/3,0))</f>
        <v/>
      </c>
    </row>
    <row r="202">
      <c r="A202" s="19" t="n">
        <v>46231</v>
      </c>
      <c r="C202" s="19" t="n">
        <v>46231</v>
      </c>
      <c r="D202" t="inlineStr">
        <is>
          <t>Magazyn Zabrze</t>
        </is>
      </c>
      <c r="E202" t="inlineStr">
        <is>
          <t>ZUŻYCIE</t>
        </is>
      </c>
      <c r="F202" t="inlineStr">
        <is>
          <t>PZ/43</t>
        </is>
      </c>
      <c r="G202" t="inlineStr">
        <is>
          <t>TAK</t>
        </is>
      </c>
      <c r="H202" t="inlineStr">
        <is>
          <t>KZR</t>
        </is>
      </c>
      <c r="I202" s="20" t="n">
        <v>81</v>
      </c>
      <c r="J202" t="inlineStr">
        <is>
          <t>MP</t>
        </is>
      </c>
      <c r="K202" s="21" t="n">
        <v>0</v>
      </c>
      <c r="L202" s="21" t="n">
        <v>0</v>
      </c>
      <c r="M202" s="21" t="n">
        <v>0</v>
      </c>
      <c r="N202" t="inlineStr">
        <is>
          <t>Zrębka Produkcyjna Inwestycyjna</t>
        </is>
      </c>
      <c r="O202" t="inlineStr">
        <is>
          <t>B</t>
        </is>
      </c>
      <c r="P202" t="inlineStr">
        <is>
          <t>własne</t>
        </is>
      </c>
      <c r="Q202" s="21" t="n">
        <v>10</v>
      </c>
      <c r="T202" s="22" t="n">
        <v>0</v>
      </c>
      <c r="U202" s="21" t="n">
        <v>0</v>
      </c>
      <c r="V202" s="21" t="n">
        <v>0</v>
      </c>
      <c r="W202" t="inlineStr">
        <is>
          <t>Magazyn Zabrze</t>
        </is>
      </c>
      <c r="Y202" t="inlineStr">
        <is>
          <t>Automatyczne zużycie surowca do produkcji</t>
        </is>
      </c>
      <c r="AA202" s="23" t="n">
        <v>46234.29655092592</v>
      </c>
      <c r="AB202" t="inlineStr">
        <is>
          <t>OP-MIGR-00201</t>
        </is>
      </c>
      <c r="AD202" t="inlineStr">
        <is>
          <t>AKTYWNY</t>
        </is>
      </c>
      <c r="AE202" s="20">
        <f>IF(I202="",0,IF(ISNUMBER(SEARCH("MP",UPPER(J202))),I202,IF(ISNUMBER(SEARCH("TON",UPPER(J202))),I202/Przelicznik_MP_tona,IF(ISNUMBER(SEARCH("M3",UPPER(J202))),I202*Przelicznik_M3_MP,IF(ISNUMBER(SEARCH("GJ",UPPER(J202))),I202/Przelicznik_GJ_tona/Przelicznik_MP_tona,I202)))))</f>
        <v/>
      </c>
      <c r="AF202" s="20">
        <f>IF(I202="",0,IF(ISNUMBER(SEARCH("TON",UPPER(J202))),I202,IF(ISNUMBER(SEARCH("GJ",UPPER(J202))),I202/Przelicznik_GJ_tona,AE202*Przelicznik_MP_tona)))</f>
        <v/>
      </c>
      <c r="AG202" s="20">
        <f>AF202*Przelicznik_GJ_tona</f>
        <v/>
      </c>
      <c r="AH202" s="20">
        <f>IF(UPPER(AD202)="SKORYGOWANY",0,IF(OR(UPPER(E202)="TRANSPORT",UPPER(E202)="MM"),0,IF(UPPER(G202)&lt;&gt;"TAK",0,IF(OR(UPPER(E202)="ZAKUP",UPPER(E202)="PRODUKCJA"),AE202,IF(OR(UPPER(E202)="SPRZEDAŻ",UPPER(E202)="ZUŻYCIE"),-AE202,0)))))</f>
        <v/>
      </c>
      <c r="AI202" s="20">
        <f>IF(UPPER(AD202)="SKORYGOWANY",0,IF(OR(UPPER(E202)="TRANSPORT",UPPER(E202)="MM"),0,IF(UPPER(G202)&lt;&gt;"TAK",0,IF(OR(UPPER(E202)="ZAKUP",UPPER(E202)="PRODUKCJA"),AF202,IF(OR(UPPER(E202)="SPRZEDAŻ",UPPER(E202)="ZUŻYCIE"),-AF202,0)))))</f>
        <v/>
      </c>
      <c r="AJ202" s="21">
        <f>IF(UPPER(AD202)="SKORYGOWANY",0,IF(UPPER(E202)="ZAKUP",IF(L202&lt;&gt;"",L202,I202*K202),0))</f>
        <v/>
      </c>
      <c r="AK202" s="21">
        <f>IF(UPPER(AD202)="SKORYGOWANY",0,IF(UPPER(E202)="SPRZEDAŻ",IF(L202&lt;&gt;"",L202,I202*M202),0))</f>
        <v/>
      </c>
      <c r="AL202" s="21">
        <f>AE202*Q202</f>
        <v/>
      </c>
      <c r="AM202">
        <f>IF(R202="","",IF(LOWER(R202)="brak","Brak",IF(OR(ISNUMBER(SEARCH("własn",LOWER(R202))),ISNUMBER(SEARCH("wlasn",LOWER(R202))),ISNUMBER(SEARCH("wojciechowski",LOWER(R202)))),"Własny","Zewnętrzny")))</f>
        <v/>
      </c>
      <c r="AN202" s="24">
        <f>IF(C202="","",YEAR(C202))</f>
        <v/>
      </c>
      <c r="AO202" s="24">
        <f>IF(C202="","",MONTH(C202))</f>
        <v/>
      </c>
      <c r="AP202">
        <f>IF(C202="","",UPPER(TEXT(C202,"mmmm")))</f>
        <v/>
      </c>
      <c r="AQ202">
        <f>IF(C202="","","Q"&amp;ROUNDUP(MONTH(C202)/3,0))</f>
        <v/>
      </c>
    </row>
    <row r="203">
      <c r="A203" s="19" t="n">
        <v>46231</v>
      </c>
      <c r="B203" t="inlineStr">
        <is>
          <t>Głubczyce</t>
        </is>
      </c>
      <c r="C203" s="19" t="n">
        <v>46231</v>
      </c>
      <c r="D203" t="inlineStr">
        <is>
          <t>Magazyn Zabrze</t>
        </is>
      </c>
      <c r="E203" t="inlineStr">
        <is>
          <t>ZAKUP</t>
        </is>
      </c>
      <c r="F203" t="inlineStr">
        <is>
          <t>PZ/43</t>
        </is>
      </c>
      <c r="G203" t="inlineStr">
        <is>
          <t>TAK</t>
        </is>
      </c>
      <c r="H203" t="inlineStr">
        <is>
          <t>KZR</t>
        </is>
      </c>
      <c r="I203" s="20" t="n">
        <v>81</v>
      </c>
      <c r="J203" t="inlineStr">
        <is>
          <t>MP</t>
        </is>
      </c>
      <c r="K203" s="21" t="n">
        <v>0</v>
      </c>
      <c r="L203" s="21" t="n">
        <v>0</v>
      </c>
      <c r="M203" s="21" t="n">
        <v>0</v>
      </c>
      <c r="N203" t="inlineStr">
        <is>
          <t>Zrębka Produkcyjna Inwestycyjna</t>
        </is>
      </c>
      <c r="O203" t="inlineStr">
        <is>
          <t>B</t>
        </is>
      </c>
      <c r="Q203" s="21" t="n">
        <v>0</v>
      </c>
      <c r="R203" t="inlineStr">
        <is>
          <t>własny (Wilczak)</t>
        </is>
      </c>
      <c r="S203" t="inlineStr">
        <is>
          <t>SK 7J884</t>
        </is>
      </c>
      <c r="T203" s="22" t="n">
        <v>200</v>
      </c>
      <c r="U203" s="21" t="n">
        <v>5</v>
      </c>
      <c r="V203" s="21" t="n">
        <v>1000</v>
      </c>
      <c r="W203" t="inlineStr">
        <is>
          <t>Magazyn Zabrze</t>
        </is>
      </c>
      <c r="Z203" t="inlineStr">
        <is>
          <t>Roesner Mateusz</t>
        </is>
      </c>
      <c r="AA203" s="23" t="n">
        <v>46234.29710648148</v>
      </c>
      <c r="AB203" t="inlineStr">
        <is>
          <t>OP-MIGR-00202</t>
        </is>
      </c>
      <c r="AD203" t="inlineStr">
        <is>
          <t>AKTYWNY</t>
        </is>
      </c>
      <c r="AE203" s="20">
        <f>IF(I203="",0,IF(ISNUMBER(SEARCH("MP",UPPER(J203))),I203,IF(ISNUMBER(SEARCH("TON",UPPER(J203))),I203/Przelicznik_MP_tona,IF(ISNUMBER(SEARCH("M3",UPPER(J203))),I203*Przelicznik_M3_MP,IF(ISNUMBER(SEARCH("GJ",UPPER(J203))),I203/Przelicznik_GJ_tona/Przelicznik_MP_tona,I203)))))</f>
        <v/>
      </c>
      <c r="AF203" s="20">
        <f>IF(I203="",0,IF(ISNUMBER(SEARCH("TON",UPPER(J203))),I203,IF(ISNUMBER(SEARCH("GJ",UPPER(J203))),I203/Przelicznik_GJ_tona,AE203*Przelicznik_MP_tona)))</f>
        <v/>
      </c>
      <c r="AG203" s="20">
        <f>AF203*Przelicznik_GJ_tona</f>
        <v/>
      </c>
      <c r="AH203" s="20">
        <f>IF(UPPER(AD203)="SKORYGOWANY",0,IF(OR(UPPER(E203)="TRANSPORT",UPPER(E203)="MM"),0,IF(UPPER(G203)&lt;&gt;"TAK",0,IF(OR(UPPER(E203)="ZAKUP",UPPER(E203)="PRODUKCJA"),AE203,IF(OR(UPPER(E203)="SPRZEDAŻ",UPPER(E203)="ZUŻYCIE"),-AE203,0)))))</f>
        <v/>
      </c>
      <c r="AI203" s="20">
        <f>IF(UPPER(AD203)="SKORYGOWANY",0,IF(OR(UPPER(E203)="TRANSPORT",UPPER(E203)="MM"),0,IF(UPPER(G203)&lt;&gt;"TAK",0,IF(OR(UPPER(E203)="ZAKUP",UPPER(E203)="PRODUKCJA"),AF203,IF(OR(UPPER(E203)="SPRZEDAŻ",UPPER(E203)="ZUŻYCIE"),-AF203,0)))))</f>
        <v/>
      </c>
      <c r="AJ203" s="21">
        <f>IF(UPPER(AD203)="SKORYGOWANY",0,IF(UPPER(E203)="ZAKUP",IF(L203&lt;&gt;"",L203,I203*K203),0))</f>
        <v/>
      </c>
      <c r="AK203" s="21">
        <f>IF(UPPER(AD203)="SKORYGOWANY",0,IF(UPPER(E203)="SPRZEDAŻ",IF(L203&lt;&gt;"",L203,I203*M203),0))</f>
        <v/>
      </c>
      <c r="AL203" s="21">
        <f>AE203*Q203</f>
        <v/>
      </c>
      <c r="AM203">
        <f>IF(R203="","",IF(LOWER(R203)="brak","Brak",IF(OR(ISNUMBER(SEARCH("własn",LOWER(R203))),ISNUMBER(SEARCH("wlasn",LOWER(R203))),ISNUMBER(SEARCH("wojciechowski",LOWER(R203)))),"Własny","Zewnętrzny")))</f>
        <v/>
      </c>
      <c r="AN203" s="24">
        <f>IF(C203="","",YEAR(C203))</f>
        <v/>
      </c>
      <c r="AO203" s="24">
        <f>IF(C203="","",MONTH(C203))</f>
        <v/>
      </c>
      <c r="AP203">
        <f>IF(C203="","",UPPER(TEXT(C203,"mmmm")))</f>
        <v/>
      </c>
      <c r="AQ203">
        <f>IF(C203="","","Q"&amp;ROUNDUP(MONTH(C203)/3,0))</f>
        <v/>
      </c>
    </row>
    <row r="204">
      <c r="A204" s="19" t="n">
        <v>46231</v>
      </c>
      <c r="C204" s="19" t="n">
        <v>46231</v>
      </c>
      <c r="D204" t="inlineStr">
        <is>
          <t>Grandpol</t>
        </is>
      </c>
      <c r="E204" t="inlineStr">
        <is>
          <t>ZAKUP</t>
        </is>
      </c>
      <c r="F204" t="inlineStr">
        <is>
          <t>PZ/44</t>
        </is>
      </c>
      <c r="G204" t="inlineStr">
        <is>
          <t>TAK</t>
        </is>
      </c>
      <c r="H204" t="inlineStr">
        <is>
          <t>KZR</t>
        </is>
      </c>
      <c r="I204" s="20" t="n">
        <v>82</v>
      </c>
      <c r="J204" t="inlineStr">
        <is>
          <t>MP</t>
        </is>
      </c>
      <c r="K204" s="21" t="n">
        <v>45</v>
      </c>
      <c r="L204" s="21" t="n">
        <v>3690</v>
      </c>
      <c r="M204" s="21" t="n">
        <v>0</v>
      </c>
      <c r="N204" t="inlineStr">
        <is>
          <t>Drewno przemysłowe z wycinek inwest.</t>
        </is>
      </c>
      <c r="O204" t="inlineStr">
        <is>
          <t>B</t>
        </is>
      </c>
      <c r="Q204" s="21" t="n">
        <v>0</v>
      </c>
      <c r="T204" s="22" t="n">
        <v>0</v>
      </c>
      <c r="U204" s="21" t="n">
        <v>0</v>
      </c>
      <c r="V204" s="21" t="n">
        <v>0</v>
      </c>
      <c r="W204" t="inlineStr">
        <is>
          <t>Magazyn Zabrze</t>
        </is>
      </c>
      <c r="Z204" t="inlineStr">
        <is>
          <t>Roesner Mateusz</t>
        </is>
      </c>
      <c r="AA204" s="23" t="n">
        <v>46234.29778935185</v>
      </c>
      <c r="AB204" t="inlineStr">
        <is>
          <t>OP-MIGR-00203</t>
        </is>
      </c>
      <c r="AD204" t="inlineStr">
        <is>
          <t>AKTYWNY</t>
        </is>
      </c>
      <c r="AE204" s="20">
        <f>IF(I204="",0,IF(ISNUMBER(SEARCH("MP",UPPER(J204))),I204,IF(ISNUMBER(SEARCH("TON",UPPER(J204))),I204/Przelicznik_MP_tona,IF(ISNUMBER(SEARCH("M3",UPPER(J204))),I204*Przelicznik_M3_MP,IF(ISNUMBER(SEARCH("GJ",UPPER(J204))),I204/Przelicznik_GJ_tona/Przelicznik_MP_tona,I204)))))</f>
        <v/>
      </c>
      <c r="AF204" s="20">
        <f>IF(I204="",0,IF(ISNUMBER(SEARCH("TON",UPPER(J204))),I204,IF(ISNUMBER(SEARCH("GJ",UPPER(J204))),I204/Przelicznik_GJ_tona,AE204*Przelicznik_MP_tona)))</f>
        <v/>
      </c>
      <c r="AG204" s="20">
        <f>AF204*Przelicznik_GJ_tona</f>
        <v/>
      </c>
      <c r="AH204" s="20">
        <f>IF(UPPER(AD204)="SKORYGOWANY",0,IF(OR(UPPER(E204)="TRANSPORT",UPPER(E204)="MM"),0,IF(UPPER(G204)&lt;&gt;"TAK",0,IF(OR(UPPER(E204)="ZAKUP",UPPER(E204)="PRODUKCJA"),AE204,IF(OR(UPPER(E204)="SPRZEDAŻ",UPPER(E204)="ZUŻYCIE"),-AE204,0)))))</f>
        <v/>
      </c>
      <c r="AI204" s="20">
        <f>IF(UPPER(AD204)="SKORYGOWANY",0,IF(OR(UPPER(E204)="TRANSPORT",UPPER(E204)="MM"),0,IF(UPPER(G204)&lt;&gt;"TAK",0,IF(OR(UPPER(E204)="ZAKUP",UPPER(E204)="PRODUKCJA"),AF204,IF(OR(UPPER(E204)="SPRZEDAŻ",UPPER(E204)="ZUŻYCIE"),-AF204,0)))))</f>
        <v/>
      </c>
      <c r="AJ204" s="21">
        <f>IF(UPPER(AD204)="SKORYGOWANY",0,IF(UPPER(E204)="ZAKUP",IF(L204&lt;&gt;"",L204,I204*K204),0))</f>
        <v/>
      </c>
      <c r="AK204" s="21">
        <f>IF(UPPER(AD204)="SKORYGOWANY",0,IF(UPPER(E204)="SPRZEDAŻ",IF(L204&lt;&gt;"",L204,I204*M204),0))</f>
        <v/>
      </c>
      <c r="AL204" s="21">
        <f>AE204*Q204</f>
        <v/>
      </c>
      <c r="AM204">
        <f>IF(R204="","",IF(LOWER(R204)="brak","Brak",IF(OR(ISNUMBER(SEARCH("własn",LOWER(R204))),ISNUMBER(SEARCH("wlasn",LOWER(R204))),ISNUMBER(SEARCH("wojciechowski",LOWER(R204)))),"Własny","Zewnętrzny")))</f>
        <v/>
      </c>
      <c r="AN204" s="24">
        <f>IF(C204="","",YEAR(C204))</f>
        <v/>
      </c>
      <c r="AO204" s="24">
        <f>IF(C204="","",MONTH(C204))</f>
        <v/>
      </c>
      <c r="AP204">
        <f>IF(C204="","",UPPER(TEXT(C204,"mmmm")))</f>
        <v/>
      </c>
      <c r="AQ204">
        <f>IF(C204="","","Q"&amp;ROUNDUP(MONTH(C204)/3,0))</f>
        <v/>
      </c>
    </row>
    <row r="205">
      <c r="A205" s="19" t="n">
        <v>46231</v>
      </c>
      <c r="C205" s="19" t="n">
        <v>46231</v>
      </c>
      <c r="D205" t="inlineStr">
        <is>
          <t>Magazyn Zabrze</t>
        </is>
      </c>
      <c r="E205" t="inlineStr">
        <is>
          <t>PRODUKCJA</t>
        </is>
      </c>
      <c r="F205" t="inlineStr">
        <is>
          <t>PZ/44</t>
        </is>
      </c>
      <c r="G205" t="inlineStr">
        <is>
          <t>TAK</t>
        </is>
      </c>
      <c r="H205" t="inlineStr">
        <is>
          <t>KZR</t>
        </is>
      </c>
      <c r="I205" s="20" t="n">
        <v>82</v>
      </c>
      <c r="J205" t="inlineStr">
        <is>
          <t>MP</t>
        </is>
      </c>
      <c r="K205" s="21" t="n">
        <v>0</v>
      </c>
      <c r="L205" s="21" t="n">
        <v>0</v>
      </c>
      <c r="M205" s="21" t="n">
        <v>0</v>
      </c>
      <c r="N205" t="inlineStr">
        <is>
          <t>Zrębka Produkcyjna Inwestycyjna</t>
        </is>
      </c>
      <c r="O205" t="inlineStr">
        <is>
          <t>B</t>
        </is>
      </c>
      <c r="P205" t="inlineStr">
        <is>
          <t>własne</t>
        </is>
      </c>
      <c r="Q205" s="21" t="n">
        <v>10</v>
      </c>
      <c r="T205" s="22" t="n">
        <v>0</v>
      </c>
      <c r="U205" s="21" t="n">
        <v>0</v>
      </c>
      <c r="V205" s="21" t="n">
        <v>0</v>
      </c>
      <c r="W205" t="inlineStr">
        <is>
          <t>Magazyn Zabrze</t>
        </is>
      </c>
      <c r="Z205" t="inlineStr">
        <is>
          <t>Roesner Mateusz</t>
        </is>
      </c>
      <c r="AA205" s="23" t="n">
        <v>46234.29842592592</v>
      </c>
      <c r="AB205" t="inlineStr">
        <is>
          <t>OP-MIGR-00204</t>
        </is>
      </c>
      <c r="AD205" t="inlineStr">
        <is>
          <t>AKTYWNY</t>
        </is>
      </c>
      <c r="AE205" s="20">
        <f>IF(I205="",0,IF(ISNUMBER(SEARCH("MP",UPPER(J205))),I205,IF(ISNUMBER(SEARCH("TON",UPPER(J205))),I205/Przelicznik_MP_tona,IF(ISNUMBER(SEARCH("M3",UPPER(J205))),I205*Przelicznik_M3_MP,IF(ISNUMBER(SEARCH("GJ",UPPER(J205))),I205/Przelicznik_GJ_tona/Przelicznik_MP_tona,I205)))))</f>
        <v/>
      </c>
      <c r="AF205" s="20">
        <f>IF(I205="",0,IF(ISNUMBER(SEARCH("TON",UPPER(J205))),I205,IF(ISNUMBER(SEARCH("GJ",UPPER(J205))),I205/Przelicznik_GJ_tona,AE205*Przelicznik_MP_tona)))</f>
        <v/>
      </c>
      <c r="AG205" s="20">
        <f>AF205*Przelicznik_GJ_tona</f>
        <v/>
      </c>
      <c r="AH205" s="20">
        <f>IF(UPPER(AD205)="SKORYGOWANY",0,IF(OR(UPPER(E205)="TRANSPORT",UPPER(E205)="MM"),0,IF(UPPER(G205)&lt;&gt;"TAK",0,IF(OR(UPPER(E205)="ZAKUP",UPPER(E205)="PRODUKCJA"),AE205,IF(OR(UPPER(E205)="SPRZEDAŻ",UPPER(E205)="ZUŻYCIE"),-AE205,0)))))</f>
        <v/>
      </c>
      <c r="AI205" s="20">
        <f>IF(UPPER(AD205)="SKORYGOWANY",0,IF(OR(UPPER(E205)="TRANSPORT",UPPER(E205)="MM"),0,IF(UPPER(G205)&lt;&gt;"TAK",0,IF(OR(UPPER(E205)="ZAKUP",UPPER(E205)="PRODUKCJA"),AF205,IF(OR(UPPER(E205)="SPRZEDAŻ",UPPER(E205)="ZUŻYCIE"),-AF205,0)))))</f>
        <v/>
      </c>
      <c r="AJ205" s="21">
        <f>IF(UPPER(AD205)="SKORYGOWANY",0,IF(UPPER(E205)="ZAKUP",IF(L205&lt;&gt;"",L205,I205*K205),0))</f>
        <v/>
      </c>
      <c r="AK205" s="21">
        <f>IF(UPPER(AD205)="SKORYGOWANY",0,IF(UPPER(E205)="SPRZEDAŻ",IF(L205&lt;&gt;"",L205,I205*M205),0))</f>
        <v/>
      </c>
      <c r="AL205" s="21">
        <f>AE205*Q205</f>
        <v/>
      </c>
      <c r="AM205">
        <f>IF(R205="","",IF(LOWER(R205)="brak","Brak",IF(OR(ISNUMBER(SEARCH("własn",LOWER(R205))),ISNUMBER(SEARCH("wlasn",LOWER(R205))),ISNUMBER(SEARCH("wojciechowski",LOWER(R205)))),"Własny","Zewnętrzny")))</f>
        <v/>
      </c>
      <c r="AN205" s="24">
        <f>IF(C205="","",YEAR(C205))</f>
        <v/>
      </c>
      <c r="AO205" s="24">
        <f>IF(C205="","",MONTH(C205))</f>
        <v/>
      </c>
      <c r="AP205">
        <f>IF(C205="","",UPPER(TEXT(C205,"mmmm")))</f>
        <v/>
      </c>
      <c r="AQ205">
        <f>IF(C205="","","Q"&amp;ROUNDUP(MONTH(C205)/3,0))</f>
        <v/>
      </c>
    </row>
    <row r="206">
      <c r="A206" s="19" t="n">
        <v>46231</v>
      </c>
      <c r="C206" s="19" t="n">
        <v>46231</v>
      </c>
      <c r="D206" t="inlineStr">
        <is>
          <t>Magazyn Zabrze</t>
        </is>
      </c>
      <c r="E206" t="inlineStr">
        <is>
          <t>ZUŻYCIE</t>
        </is>
      </c>
      <c r="F206" t="inlineStr">
        <is>
          <t>PZ/44</t>
        </is>
      </c>
      <c r="G206" t="inlineStr">
        <is>
          <t>TAK</t>
        </is>
      </c>
      <c r="H206" t="inlineStr">
        <is>
          <t>KZR</t>
        </is>
      </c>
      <c r="I206" s="20" t="n">
        <v>82</v>
      </c>
      <c r="J206" t="inlineStr">
        <is>
          <t>MP</t>
        </is>
      </c>
      <c r="K206" s="21" t="n">
        <v>0</v>
      </c>
      <c r="L206" s="21" t="n">
        <v>0</v>
      </c>
      <c r="M206" s="21" t="n">
        <v>0</v>
      </c>
      <c r="N206" t="inlineStr">
        <is>
          <t>Zrębka Produkcyjna Inwestycyjna</t>
        </is>
      </c>
      <c r="O206" t="inlineStr">
        <is>
          <t>B</t>
        </is>
      </c>
      <c r="P206" t="inlineStr">
        <is>
          <t>własne</t>
        </is>
      </c>
      <c r="Q206" s="21" t="n">
        <v>10</v>
      </c>
      <c r="T206" s="22" t="n">
        <v>0</v>
      </c>
      <c r="U206" s="21" t="n">
        <v>0</v>
      </c>
      <c r="V206" s="21" t="n">
        <v>0</v>
      </c>
      <c r="W206" t="inlineStr">
        <is>
          <t>Magazyn Zabrze</t>
        </is>
      </c>
      <c r="Y206" t="inlineStr">
        <is>
          <t>Automatyczne zużycie surowca do produkcji</t>
        </is>
      </c>
      <c r="AA206" s="23" t="n">
        <v>46234.2984375</v>
      </c>
      <c r="AB206" t="inlineStr">
        <is>
          <t>OP-MIGR-00205</t>
        </is>
      </c>
      <c r="AD206" t="inlineStr">
        <is>
          <t>AKTYWNY</t>
        </is>
      </c>
      <c r="AE206" s="20">
        <f>IF(I206="",0,IF(ISNUMBER(SEARCH("MP",UPPER(J206))),I206,IF(ISNUMBER(SEARCH("TON",UPPER(J206))),I206/Przelicznik_MP_tona,IF(ISNUMBER(SEARCH("M3",UPPER(J206))),I206*Przelicznik_M3_MP,IF(ISNUMBER(SEARCH("GJ",UPPER(J206))),I206/Przelicznik_GJ_tona/Przelicznik_MP_tona,I206)))))</f>
        <v/>
      </c>
      <c r="AF206" s="20">
        <f>IF(I206="",0,IF(ISNUMBER(SEARCH("TON",UPPER(J206))),I206,IF(ISNUMBER(SEARCH("GJ",UPPER(J206))),I206/Przelicznik_GJ_tona,AE206*Przelicznik_MP_tona)))</f>
        <v/>
      </c>
      <c r="AG206" s="20">
        <f>AF206*Przelicznik_GJ_tona</f>
        <v/>
      </c>
      <c r="AH206" s="20">
        <f>IF(UPPER(AD206)="SKORYGOWANY",0,IF(OR(UPPER(E206)="TRANSPORT",UPPER(E206)="MM"),0,IF(UPPER(G206)&lt;&gt;"TAK",0,IF(OR(UPPER(E206)="ZAKUP",UPPER(E206)="PRODUKCJA"),AE206,IF(OR(UPPER(E206)="SPRZEDAŻ",UPPER(E206)="ZUŻYCIE"),-AE206,0)))))</f>
        <v/>
      </c>
      <c r="AI206" s="20">
        <f>IF(UPPER(AD206)="SKORYGOWANY",0,IF(OR(UPPER(E206)="TRANSPORT",UPPER(E206)="MM"),0,IF(UPPER(G206)&lt;&gt;"TAK",0,IF(OR(UPPER(E206)="ZAKUP",UPPER(E206)="PRODUKCJA"),AF206,IF(OR(UPPER(E206)="SPRZEDAŻ",UPPER(E206)="ZUŻYCIE"),-AF206,0)))))</f>
        <v/>
      </c>
      <c r="AJ206" s="21">
        <f>IF(UPPER(AD206)="SKORYGOWANY",0,IF(UPPER(E206)="ZAKUP",IF(L206&lt;&gt;"",L206,I206*K206),0))</f>
        <v/>
      </c>
      <c r="AK206" s="21">
        <f>IF(UPPER(AD206)="SKORYGOWANY",0,IF(UPPER(E206)="SPRZEDAŻ",IF(L206&lt;&gt;"",L206,I206*M206),0))</f>
        <v/>
      </c>
      <c r="AL206" s="21">
        <f>AE206*Q206</f>
        <v/>
      </c>
      <c r="AM206">
        <f>IF(R206="","",IF(LOWER(R206)="brak","Brak",IF(OR(ISNUMBER(SEARCH("własn",LOWER(R206))),ISNUMBER(SEARCH("wlasn",LOWER(R206))),ISNUMBER(SEARCH("wojciechowski",LOWER(R206)))),"Własny","Zewnętrzny")))</f>
        <v/>
      </c>
      <c r="AN206" s="24">
        <f>IF(C206="","",YEAR(C206))</f>
        <v/>
      </c>
      <c r="AO206" s="24">
        <f>IF(C206="","",MONTH(C206))</f>
        <v/>
      </c>
      <c r="AP206">
        <f>IF(C206="","",UPPER(TEXT(C206,"mmmm")))</f>
        <v/>
      </c>
      <c r="AQ206">
        <f>IF(C206="","","Q"&amp;ROUNDUP(MONTH(C206)/3,0))</f>
        <v/>
      </c>
    </row>
    <row r="207">
      <c r="A207" s="19" t="n">
        <v>46231</v>
      </c>
      <c r="B207" t="inlineStr">
        <is>
          <t>Głubczyce</t>
        </is>
      </c>
      <c r="C207" s="19" t="n">
        <v>46231</v>
      </c>
      <c r="D207" t="inlineStr">
        <is>
          <t>Magazyn Zabrze</t>
        </is>
      </c>
      <c r="E207" t="inlineStr">
        <is>
          <t>ZAKUP</t>
        </is>
      </c>
      <c r="F207" t="inlineStr">
        <is>
          <t>PZ/44</t>
        </is>
      </c>
      <c r="G207" t="inlineStr">
        <is>
          <t>TAK</t>
        </is>
      </c>
      <c r="H207" t="inlineStr">
        <is>
          <t>KZR</t>
        </is>
      </c>
      <c r="I207" s="20" t="n">
        <v>82</v>
      </c>
      <c r="J207" t="inlineStr">
        <is>
          <t>MP</t>
        </is>
      </c>
      <c r="K207" s="21" t="n">
        <v>0</v>
      </c>
      <c r="L207" s="21" t="n">
        <v>0</v>
      </c>
      <c r="M207" s="21" t="n">
        <v>0</v>
      </c>
      <c r="N207" t="inlineStr">
        <is>
          <t>Zrębka Produkcyjna Inwestycyjna</t>
        </is>
      </c>
      <c r="O207" t="inlineStr">
        <is>
          <t>B</t>
        </is>
      </c>
      <c r="Q207" s="21" t="n">
        <v>0</v>
      </c>
      <c r="R207" t="inlineStr">
        <is>
          <t>własny (Kretek)</t>
        </is>
      </c>
      <c r="S207" t="inlineStr">
        <is>
          <t>SK 7J885</t>
        </is>
      </c>
      <c r="T207" s="22" t="n">
        <v>200</v>
      </c>
      <c r="U207" s="21" t="n">
        <v>5</v>
      </c>
      <c r="V207" s="21" t="n">
        <v>1000</v>
      </c>
      <c r="W207" t="inlineStr">
        <is>
          <t>Magazyn Zabrze</t>
        </is>
      </c>
      <c r="Z207" t="inlineStr">
        <is>
          <t>Roesner Mateusz</t>
        </is>
      </c>
      <c r="AA207" s="23" t="n">
        <v>46234.2990162037</v>
      </c>
      <c r="AB207" t="inlineStr">
        <is>
          <t>OP-MIGR-00206</t>
        </is>
      </c>
      <c r="AD207" t="inlineStr">
        <is>
          <t>AKTYWNY</t>
        </is>
      </c>
      <c r="AE207" s="20">
        <f>IF(I207="",0,IF(ISNUMBER(SEARCH("MP",UPPER(J207))),I207,IF(ISNUMBER(SEARCH("TON",UPPER(J207))),I207/Przelicznik_MP_tona,IF(ISNUMBER(SEARCH("M3",UPPER(J207))),I207*Przelicznik_M3_MP,IF(ISNUMBER(SEARCH("GJ",UPPER(J207))),I207/Przelicznik_GJ_tona/Przelicznik_MP_tona,I207)))))</f>
        <v/>
      </c>
      <c r="AF207" s="20">
        <f>IF(I207="",0,IF(ISNUMBER(SEARCH("TON",UPPER(J207))),I207,IF(ISNUMBER(SEARCH("GJ",UPPER(J207))),I207/Przelicznik_GJ_tona,AE207*Przelicznik_MP_tona)))</f>
        <v/>
      </c>
      <c r="AG207" s="20">
        <f>AF207*Przelicznik_GJ_tona</f>
        <v/>
      </c>
      <c r="AH207" s="20">
        <f>IF(UPPER(AD207)="SKORYGOWANY",0,IF(OR(UPPER(E207)="TRANSPORT",UPPER(E207)="MM"),0,IF(UPPER(G207)&lt;&gt;"TAK",0,IF(OR(UPPER(E207)="ZAKUP",UPPER(E207)="PRODUKCJA"),AE207,IF(OR(UPPER(E207)="SPRZEDAŻ",UPPER(E207)="ZUŻYCIE"),-AE207,0)))))</f>
        <v/>
      </c>
      <c r="AI207" s="20">
        <f>IF(UPPER(AD207)="SKORYGOWANY",0,IF(OR(UPPER(E207)="TRANSPORT",UPPER(E207)="MM"),0,IF(UPPER(G207)&lt;&gt;"TAK",0,IF(OR(UPPER(E207)="ZAKUP",UPPER(E207)="PRODUKCJA"),AF207,IF(OR(UPPER(E207)="SPRZEDAŻ",UPPER(E207)="ZUŻYCIE"),-AF207,0)))))</f>
        <v/>
      </c>
      <c r="AJ207" s="21">
        <f>IF(UPPER(AD207)="SKORYGOWANY",0,IF(UPPER(E207)="ZAKUP",IF(L207&lt;&gt;"",L207,I207*K207),0))</f>
        <v/>
      </c>
      <c r="AK207" s="21">
        <f>IF(UPPER(AD207)="SKORYGOWANY",0,IF(UPPER(E207)="SPRZEDAŻ",IF(L207&lt;&gt;"",L207,I207*M207),0))</f>
        <v/>
      </c>
      <c r="AL207" s="21">
        <f>AE207*Q207</f>
        <v/>
      </c>
      <c r="AM207">
        <f>IF(R207="","",IF(LOWER(R207)="brak","Brak",IF(OR(ISNUMBER(SEARCH("własn",LOWER(R207))),ISNUMBER(SEARCH("wlasn",LOWER(R207))),ISNUMBER(SEARCH("wojciechowski",LOWER(R207)))),"Własny","Zewnętrzny")))</f>
        <v/>
      </c>
      <c r="AN207" s="24">
        <f>IF(C207="","",YEAR(C207))</f>
        <v/>
      </c>
      <c r="AO207" s="24">
        <f>IF(C207="","",MONTH(C207))</f>
        <v/>
      </c>
      <c r="AP207">
        <f>IF(C207="","",UPPER(TEXT(C207,"mmmm")))</f>
        <v/>
      </c>
      <c r="AQ207">
        <f>IF(C207="","","Q"&amp;ROUNDUP(MONTH(C207)/3,0))</f>
        <v/>
      </c>
    </row>
    <row r="208">
      <c r="A208" s="19" t="n">
        <v>46231</v>
      </c>
      <c r="C208" s="19" t="n">
        <v>46231</v>
      </c>
      <c r="D208" t="inlineStr">
        <is>
          <t>Grandpol</t>
        </is>
      </c>
      <c r="E208" t="inlineStr">
        <is>
          <t>ZAKUP</t>
        </is>
      </c>
      <c r="F208" t="inlineStr">
        <is>
          <t>PZ/45</t>
        </is>
      </c>
      <c r="G208" t="inlineStr">
        <is>
          <t>TAK</t>
        </is>
      </c>
      <c r="H208" t="inlineStr">
        <is>
          <t>KZR</t>
        </is>
      </c>
      <c r="I208" s="20" t="n">
        <v>80</v>
      </c>
      <c r="J208" t="inlineStr">
        <is>
          <t>MP</t>
        </is>
      </c>
      <c r="K208" s="21" t="n">
        <v>45</v>
      </c>
      <c r="L208" s="21" t="n">
        <v>3600</v>
      </c>
      <c r="M208" s="21" t="n">
        <v>0</v>
      </c>
      <c r="N208" t="inlineStr">
        <is>
          <t>Drewno przemysłowe z wycinek inwest.</t>
        </is>
      </c>
      <c r="O208" t="inlineStr">
        <is>
          <t>B</t>
        </is>
      </c>
      <c r="Q208" s="21" t="n">
        <v>0</v>
      </c>
      <c r="T208" s="22" t="n">
        <v>0</v>
      </c>
      <c r="U208" s="21" t="n">
        <v>0</v>
      </c>
      <c r="V208" s="21" t="n">
        <v>0</v>
      </c>
      <c r="W208" t="inlineStr">
        <is>
          <t>Magazyn Zabrze</t>
        </is>
      </c>
      <c r="Z208" t="inlineStr">
        <is>
          <t>Roesner Mateusz</t>
        </is>
      </c>
      <c r="AA208" s="23" t="n">
        <v>46234.30819444444</v>
      </c>
      <c r="AB208" t="inlineStr">
        <is>
          <t>OP-MIGR-00207</t>
        </is>
      </c>
      <c r="AD208" t="inlineStr">
        <is>
          <t>AKTYWNY</t>
        </is>
      </c>
      <c r="AE208" s="20">
        <f>IF(I208="",0,IF(ISNUMBER(SEARCH("MP",UPPER(J208))),I208,IF(ISNUMBER(SEARCH("TON",UPPER(J208))),I208/Przelicznik_MP_tona,IF(ISNUMBER(SEARCH("M3",UPPER(J208))),I208*Przelicznik_M3_MP,IF(ISNUMBER(SEARCH("GJ",UPPER(J208))),I208/Przelicznik_GJ_tona/Przelicznik_MP_tona,I208)))))</f>
        <v/>
      </c>
      <c r="AF208" s="20">
        <f>IF(I208="",0,IF(ISNUMBER(SEARCH("TON",UPPER(J208))),I208,IF(ISNUMBER(SEARCH("GJ",UPPER(J208))),I208/Przelicznik_GJ_tona,AE208*Przelicznik_MP_tona)))</f>
        <v/>
      </c>
      <c r="AG208" s="20">
        <f>AF208*Przelicznik_GJ_tona</f>
        <v/>
      </c>
      <c r="AH208" s="20">
        <f>IF(UPPER(AD208)="SKORYGOWANY",0,IF(OR(UPPER(E208)="TRANSPORT",UPPER(E208)="MM"),0,IF(UPPER(G208)&lt;&gt;"TAK",0,IF(OR(UPPER(E208)="ZAKUP",UPPER(E208)="PRODUKCJA"),AE208,IF(OR(UPPER(E208)="SPRZEDAŻ",UPPER(E208)="ZUŻYCIE"),-AE208,0)))))</f>
        <v/>
      </c>
      <c r="AI208" s="20">
        <f>IF(UPPER(AD208)="SKORYGOWANY",0,IF(OR(UPPER(E208)="TRANSPORT",UPPER(E208)="MM"),0,IF(UPPER(G208)&lt;&gt;"TAK",0,IF(OR(UPPER(E208)="ZAKUP",UPPER(E208)="PRODUKCJA"),AF208,IF(OR(UPPER(E208)="SPRZEDAŻ",UPPER(E208)="ZUŻYCIE"),-AF208,0)))))</f>
        <v/>
      </c>
      <c r="AJ208" s="21">
        <f>IF(UPPER(AD208)="SKORYGOWANY",0,IF(UPPER(E208)="ZAKUP",IF(L208&lt;&gt;"",L208,I208*K208),0))</f>
        <v/>
      </c>
      <c r="AK208" s="21">
        <f>IF(UPPER(AD208)="SKORYGOWANY",0,IF(UPPER(E208)="SPRZEDAŻ",IF(L208&lt;&gt;"",L208,I208*M208),0))</f>
        <v/>
      </c>
      <c r="AL208" s="21">
        <f>AE208*Q208</f>
        <v/>
      </c>
      <c r="AM208">
        <f>IF(R208="","",IF(LOWER(R208)="brak","Brak",IF(OR(ISNUMBER(SEARCH("własn",LOWER(R208))),ISNUMBER(SEARCH("wlasn",LOWER(R208))),ISNUMBER(SEARCH("wojciechowski",LOWER(R208)))),"Własny","Zewnętrzny")))</f>
        <v/>
      </c>
      <c r="AN208" s="24">
        <f>IF(C208="","",YEAR(C208))</f>
        <v/>
      </c>
      <c r="AO208" s="24">
        <f>IF(C208="","",MONTH(C208))</f>
        <v/>
      </c>
      <c r="AP208">
        <f>IF(C208="","",UPPER(TEXT(C208,"mmmm")))</f>
        <v/>
      </c>
      <c r="AQ208">
        <f>IF(C208="","","Q"&amp;ROUNDUP(MONTH(C208)/3,0))</f>
        <v/>
      </c>
    </row>
    <row r="209">
      <c r="A209" s="19" t="n">
        <v>46231</v>
      </c>
      <c r="C209" s="19" t="n">
        <v>46231</v>
      </c>
      <c r="D209" t="inlineStr">
        <is>
          <t>Magazyn Zabrze</t>
        </is>
      </c>
      <c r="E209" t="inlineStr">
        <is>
          <t>PRODUKCJA</t>
        </is>
      </c>
      <c r="F209" t="inlineStr">
        <is>
          <t>PZ/45</t>
        </is>
      </c>
      <c r="G209" t="inlineStr">
        <is>
          <t>TAK</t>
        </is>
      </c>
      <c r="H209" t="inlineStr">
        <is>
          <t>KZR</t>
        </is>
      </c>
      <c r="I209" s="20" t="n">
        <v>80</v>
      </c>
      <c r="J209" t="inlineStr">
        <is>
          <t>MP</t>
        </is>
      </c>
      <c r="K209" s="21" t="n">
        <v>0</v>
      </c>
      <c r="L209" s="21" t="n">
        <v>0</v>
      </c>
      <c r="M209" s="21" t="n">
        <v>0</v>
      </c>
      <c r="N209" t="inlineStr">
        <is>
          <t>Zrębka Produkcyjna Inwestycyjna</t>
        </is>
      </c>
      <c r="O209" t="inlineStr">
        <is>
          <t>B</t>
        </is>
      </c>
      <c r="P209" t="inlineStr">
        <is>
          <t>własne</t>
        </is>
      </c>
      <c r="Q209" s="21" t="n">
        <v>10</v>
      </c>
      <c r="T209" s="22" t="n">
        <v>0</v>
      </c>
      <c r="U209" s="21" t="n">
        <v>0</v>
      </c>
      <c r="V209" s="21" t="n">
        <v>0</v>
      </c>
      <c r="W209" t="inlineStr">
        <is>
          <t>Magazyn Zabrze</t>
        </is>
      </c>
      <c r="Z209" t="inlineStr">
        <is>
          <t>Roesner Mateusz</t>
        </is>
      </c>
      <c r="AA209" s="23" t="n">
        <v>46234.30859953703</v>
      </c>
      <c r="AB209" t="inlineStr">
        <is>
          <t>OP-MIGR-00208</t>
        </is>
      </c>
      <c r="AD209" t="inlineStr">
        <is>
          <t>AKTYWNY</t>
        </is>
      </c>
      <c r="AE209" s="20">
        <f>IF(I209="",0,IF(ISNUMBER(SEARCH("MP",UPPER(J209))),I209,IF(ISNUMBER(SEARCH("TON",UPPER(J209))),I209/Przelicznik_MP_tona,IF(ISNUMBER(SEARCH("M3",UPPER(J209))),I209*Przelicznik_M3_MP,IF(ISNUMBER(SEARCH("GJ",UPPER(J209))),I209/Przelicznik_GJ_tona/Przelicznik_MP_tona,I209)))))</f>
        <v/>
      </c>
      <c r="AF209" s="20">
        <f>IF(I209="",0,IF(ISNUMBER(SEARCH("TON",UPPER(J209))),I209,IF(ISNUMBER(SEARCH("GJ",UPPER(J209))),I209/Przelicznik_GJ_tona,AE209*Przelicznik_MP_tona)))</f>
        <v/>
      </c>
      <c r="AG209" s="20">
        <f>AF209*Przelicznik_GJ_tona</f>
        <v/>
      </c>
      <c r="AH209" s="20">
        <f>IF(UPPER(AD209)="SKORYGOWANY",0,IF(OR(UPPER(E209)="TRANSPORT",UPPER(E209)="MM"),0,IF(UPPER(G209)&lt;&gt;"TAK",0,IF(OR(UPPER(E209)="ZAKUP",UPPER(E209)="PRODUKCJA"),AE209,IF(OR(UPPER(E209)="SPRZEDAŻ",UPPER(E209)="ZUŻYCIE"),-AE209,0)))))</f>
        <v/>
      </c>
      <c r="AI209" s="20">
        <f>IF(UPPER(AD209)="SKORYGOWANY",0,IF(OR(UPPER(E209)="TRANSPORT",UPPER(E209)="MM"),0,IF(UPPER(G209)&lt;&gt;"TAK",0,IF(OR(UPPER(E209)="ZAKUP",UPPER(E209)="PRODUKCJA"),AF209,IF(OR(UPPER(E209)="SPRZEDAŻ",UPPER(E209)="ZUŻYCIE"),-AF209,0)))))</f>
        <v/>
      </c>
      <c r="AJ209" s="21">
        <f>IF(UPPER(AD209)="SKORYGOWANY",0,IF(UPPER(E209)="ZAKUP",IF(L209&lt;&gt;"",L209,I209*K209),0))</f>
        <v/>
      </c>
      <c r="AK209" s="21">
        <f>IF(UPPER(AD209)="SKORYGOWANY",0,IF(UPPER(E209)="SPRZEDAŻ",IF(L209&lt;&gt;"",L209,I209*M209),0))</f>
        <v/>
      </c>
      <c r="AL209" s="21">
        <f>AE209*Q209</f>
        <v/>
      </c>
      <c r="AM209">
        <f>IF(R209="","",IF(LOWER(R209)="brak","Brak",IF(OR(ISNUMBER(SEARCH("własn",LOWER(R209))),ISNUMBER(SEARCH("wlasn",LOWER(R209))),ISNUMBER(SEARCH("wojciechowski",LOWER(R209)))),"Własny","Zewnętrzny")))</f>
        <v/>
      </c>
      <c r="AN209" s="24">
        <f>IF(C209="","",YEAR(C209))</f>
        <v/>
      </c>
      <c r="AO209" s="24">
        <f>IF(C209="","",MONTH(C209))</f>
        <v/>
      </c>
      <c r="AP209">
        <f>IF(C209="","",UPPER(TEXT(C209,"mmmm")))</f>
        <v/>
      </c>
      <c r="AQ209">
        <f>IF(C209="","","Q"&amp;ROUNDUP(MONTH(C209)/3,0))</f>
        <v/>
      </c>
    </row>
    <row r="210">
      <c r="A210" s="19" t="n">
        <v>46231</v>
      </c>
      <c r="C210" s="19" t="n">
        <v>46231</v>
      </c>
      <c r="D210" t="inlineStr">
        <is>
          <t>Magazyn Zabrze</t>
        </is>
      </c>
      <c r="E210" t="inlineStr">
        <is>
          <t>ZUŻYCIE</t>
        </is>
      </c>
      <c r="F210" t="inlineStr">
        <is>
          <t>PZ/45</t>
        </is>
      </c>
      <c r="G210" t="inlineStr">
        <is>
          <t>TAK</t>
        </is>
      </c>
      <c r="H210" t="inlineStr">
        <is>
          <t>KZR</t>
        </is>
      </c>
      <c r="I210" s="20" t="n">
        <v>80</v>
      </c>
      <c r="J210" t="inlineStr">
        <is>
          <t>MP</t>
        </is>
      </c>
      <c r="K210" s="21" t="n">
        <v>0</v>
      </c>
      <c r="L210" s="21" t="n">
        <v>0</v>
      </c>
      <c r="M210" s="21" t="n">
        <v>0</v>
      </c>
      <c r="N210" t="inlineStr">
        <is>
          <t>Zrębka Produkcyjna Inwestycyjna</t>
        </is>
      </c>
      <c r="O210" t="inlineStr">
        <is>
          <t>B</t>
        </is>
      </c>
      <c r="P210" t="inlineStr">
        <is>
          <t>własne</t>
        </is>
      </c>
      <c r="Q210" s="21" t="n">
        <v>10</v>
      </c>
      <c r="T210" s="22" t="n">
        <v>0</v>
      </c>
      <c r="U210" s="21" t="n">
        <v>0</v>
      </c>
      <c r="V210" s="21" t="n">
        <v>0</v>
      </c>
      <c r="W210" t="inlineStr">
        <is>
          <t>Magazyn Zabrze</t>
        </is>
      </c>
      <c r="Y210" t="inlineStr">
        <is>
          <t>Automatyczne zużycie surowca do produkcji</t>
        </is>
      </c>
      <c r="AA210" s="23" t="n">
        <v>46234.30859953703</v>
      </c>
      <c r="AB210" t="inlineStr">
        <is>
          <t>OP-MIGR-00209</t>
        </is>
      </c>
      <c r="AD210" t="inlineStr">
        <is>
          <t>AKTYWNY</t>
        </is>
      </c>
      <c r="AE210" s="20">
        <f>IF(I210="",0,IF(ISNUMBER(SEARCH("MP",UPPER(J210))),I210,IF(ISNUMBER(SEARCH("TON",UPPER(J210))),I210/Przelicznik_MP_tona,IF(ISNUMBER(SEARCH("M3",UPPER(J210))),I210*Przelicznik_M3_MP,IF(ISNUMBER(SEARCH("GJ",UPPER(J210))),I210/Przelicznik_GJ_tona/Przelicznik_MP_tona,I210)))))</f>
        <v/>
      </c>
      <c r="AF210" s="20">
        <f>IF(I210="",0,IF(ISNUMBER(SEARCH("TON",UPPER(J210))),I210,IF(ISNUMBER(SEARCH("GJ",UPPER(J210))),I210/Przelicznik_GJ_tona,AE210*Przelicznik_MP_tona)))</f>
        <v/>
      </c>
      <c r="AG210" s="20">
        <f>AF210*Przelicznik_GJ_tona</f>
        <v/>
      </c>
      <c r="AH210" s="20">
        <f>IF(UPPER(AD210)="SKORYGOWANY",0,IF(OR(UPPER(E210)="TRANSPORT",UPPER(E210)="MM"),0,IF(UPPER(G210)&lt;&gt;"TAK",0,IF(OR(UPPER(E210)="ZAKUP",UPPER(E210)="PRODUKCJA"),AE210,IF(OR(UPPER(E210)="SPRZEDAŻ",UPPER(E210)="ZUŻYCIE"),-AE210,0)))))</f>
        <v/>
      </c>
      <c r="AI210" s="20">
        <f>IF(UPPER(AD210)="SKORYGOWANY",0,IF(OR(UPPER(E210)="TRANSPORT",UPPER(E210)="MM"),0,IF(UPPER(G210)&lt;&gt;"TAK",0,IF(OR(UPPER(E210)="ZAKUP",UPPER(E210)="PRODUKCJA"),AF210,IF(OR(UPPER(E210)="SPRZEDAŻ",UPPER(E210)="ZUŻYCIE"),-AF210,0)))))</f>
        <v/>
      </c>
      <c r="AJ210" s="21">
        <f>IF(UPPER(AD210)="SKORYGOWANY",0,IF(UPPER(E210)="ZAKUP",IF(L210&lt;&gt;"",L210,I210*K210),0))</f>
        <v/>
      </c>
      <c r="AK210" s="21">
        <f>IF(UPPER(AD210)="SKORYGOWANY",0,IF(UPPER(E210)="SPRZEDAŻ",IF(L210&lt;&gt;"",L210,I210*M210),0))</f>
        <v/>
      </c>
      <c r="AL210" s="21">
        <f>AE210*Q210</f>
        <v/>
      </c>
      <c r="AM210">
        <f>IF(R210="","",IF(LOWER(R210)="brak","Brak",IF(OR(ISNUMBER(SEARCH("własn",LOWER(R210))),ISNUMBER(SEARCH("wlasn",LOWER(R210))),ISNUMBER(SEARCH("wojciechowski",LOWER(R210)))),"Własny","Zewnętrzny")))</f>
        <v/>
      </c>
      <c r="AN210" s="24">
        <f>IF(C210="","",YEAR(C210))</f>
        <v/>
      </c>
      <c r="AO210" s="24">
        <f>IF(C210="","",MONTH(C210))</f>
        <v/>
      </c>
      <c r="AP210">
        <f>IF(C210="","",UPPER(TEXT(C210,"mmmm")))</f>
        <v/>
      </c>
      <c r="AQ210">
        <f>IF(C210="","","Q"&amp;ROUNDUP(MONTH(C210)/3,0))</f>
        <v/>
      </c>
    </row>
    <row r="211">
      <c r="A211" s="19" t="n">
        <v>46231</v>
      </c>
      <c r="B211" t="inlineStr">
        <is>
          <t>Głubczyce</t>
        </is>
      </c>
      <c r="C211" s="19" t="n">
        <v>46231</v>
      </c>
      <c r="D211" t="inlineStr">
        <is>
          <t>Magazyn Zabrze</t>
        </is>
      </c>
      <c r="E211" t="inlineStr">
        <is>
          <t>ZAKUP</t>
        </is>
      </c>
      <c r="F211" t="inlineStr">
        <is>
          <t>PZ/45</t>
        </is>
      </c>
      <c r="G211" t="inlineStr">
        <is>
          <t>TAK</t>
        </is>
      </c>
      <c r="H211" t="inlineStr">
        <is>
          <t>KZR</t>
        </is>
      </c>
      <c r="I211" s="20" t="n">
        <v>80</v>
      </c>
      <c r="J211" t="inlineStr">
        <is>
          <t>MP</t>
        </is>
      </c>
      <c r="K211" s="21" t="n">
        <v>0</v>
      </c>
      <c r="L211" s="21" t="n">
        <v>0</v>
      </c>
      <c r="M211" s="21" t="n">
        <v>0</v>
      </c>
      <c r="N211" t="inlineStr">
        <is>
          <t>Zrębka Produkcyjna Inwestycyjna</t>
        </is>
      </c>
      <c r="O211" t="inlineStr">
        <is>
          <t>B</t>
        </is>
      </c>
      <c r="Q211" s="21" t="n">
        <v>0</v>
      </c>
      <c r="R211" t="inlineStr">
        <is>
          <t>Nowatrans</t>
        </is>
      </c>
      <c r="S211" t="inlineStr">
        <is>
          <t>WND 3546F</t>
        </is>
      </c>
      <c r="T211" s="22" t="n">
        <v>200</v>
      </c>
      <c r="U211" s="21" t="n">
        <v>6</v>
      </c>
      <c r="V211" s="21" t="n">
        <v>1200</v>
      </c>
      <c r="W211" t="inlineStr">
        <is>
          <t>Magazyn Zabrze</t>
        </is>
      </c>
      <c r="Z211" t="inlineStr">
        <is>
          <t>Roesner Mateusz</t>
        </is>
      </c>
      <c r="AA211" s="23" t="n">
        <v>46234.30920138889</v>
      </c>
      <c r="AB211" t="inlineStr">
        <is>
          <t>OP-MIGR-00210</t>
        </is>
      </c>
      <c r="AD211" t="inlineStr">
        <is>
          <t>AKTYWNY</t>
        </is>
      </c>
      <c r="AE211" s="20">
        <f>IF(I211="",0,IF(ISNUMBER(SEARCH("MP",UPPER(J211))),I211,IF(ISNUMBER(SEARCH("TON",UPPER(J211))),I211/Przelicznik_MP_tona,IF(ISNUMBER(SEARCH("M3",UPPER(J211))),I211*Przelicznik_M3_MP,IF(ISNUMBER(SEARCH("GJ",UPPER(J211))),I211/Przelicznik_GJ_tona/Przelicznik_MP_tona,I211)))))</f>
        <v/>
      </c>
      <c r="AF211" s="20">
        <f>IF(I211="",0,IF(ISNUMBER(SEARCH("TON",UPPER(J211))),I211,IF(ISNUMBER(SEARCH("GJ",UPPER(J211))),I211/Przelicznik_GJ_tona,AE211*Przelicznik_MP_tona)))</f>
        <v/>
      </c>
      <c r="AG211" s="20">
        <f>AF211*Przelicznik_GJ_tona</f>
        <v/>
      </c>
      <c r="AH211" s="20">
        <f>IF(UPPER(AD211)="SKORYGOWANY",0,IF(OR(UPPER(E211)="TRANSPORT",UPPER(E211)="MM"),0,IF(UPPER(G211)&lt;&gt;"TAK",0,IF(OR(UPPER(E211)="ZAKUP",UPPER(E211)="PRODUKCJA"),AE211,IF(OR(UPPER(E211)="SPRZEDAŻ",UPPER(E211)="ZUŻYCIE"),-AE211,0)))))</f>
        <v/>
      </c>
      <c r="AI211" s="20">
        <f>IF(UPPER(AD211)="SKORYGOWANY",0,IF(OR(UPPER(E211)="TRANSPORT",UPPER(E211)="MM"),0,IF(UPPER(G211)&lt;&gt;"TAK",0,IF(OR(UPPER(E211)="ZAKUP",UPPER(E211)="PRODUKCJA"),AF211,IF(OR(UPPER(E211)="SPRZEDAŻ",UPPER(E211)="ZUŻYCIE"),-AF211,0)))))</f>
        <v/>
      </c>
      <c r="AJ211" s="21">
        <f>IF(UPPER(AD211)="SKORYGOWANY",0,IF(UPPER(E211)="ZAKUP",IF(L211&lt;&gt;"",L211,I211*K211),0))</f>
        <v/>
      </c>
      <c r="AK211" s="21">
        <f>IF(UPPER(AD211)="SKORYGOWANY",0,IF(UPPER(E211)="SPRZEDAŻ",IF(L211&lt;&gt;"",L211,I211*M211),0))</f>
        <v/>
      </c>
      <c r="AL211" s="21">
        <f>AE211*Q211</f>
        <v/>
      </c>
      <c r="AM211">
        <f>IF(R211="","",IF(LOWER(R211)="brak","Brak",IF(OR(ISNUMBER(SEARCH("własn",LOWER(R211))),ISNUMBER(SEARCH("wlasn",LOWER(R211))),ISNUMBER(SEARCH("wojciechowski",LOWER(R211)))),"Własny","Zewnętrzny")))</f>
        <v/>
      </c>
      <c r="AN211" s="24">
        <f>IF(C211="","",YEAR(C211))</f>
        <v/>
      </c>
      <c r="AO211" s="24">
        <f>IF(C211="","",MONTH(C211))</f>
        <v/>
      </c>
      <c r="AP211">
        <f>IF(C211="","",UPPER(TEXT(C211,"mmmm")))</f>
        <v/>
      </c>
      <c r="AQ211">
        <f>IF(C211="","","Q"&amp;ROUNDUP(MONTH(C211)/3,0))</f>
        <v/>
      </c>
    </row>
    <row r="212">
      <c r="A212" s="19" t="n">
        <v>46232</v>
      </c>
      <c r="C212" s="19" t="n">
        <v>46232</v>
      </c>
      <c r="D212" t="inlineStr">
        <is>
          <t>Lander Agro</t>
        </is>
      </c>
      <c r="E212" t="inlineStr">
        <is>
          <t>ZAKUP</t>
        </is>
      </c>
      <c r="F212" t="inlineStr">
        <is>
          <t>PZ/26/D</t>
        </is>
      </c>
      <c r="G212" t="inlineStr">
        <is>
          <t>TAK</t>
        </is>
      </c>
      <c r="H212" t="inlineStr">
        <is>
          <t>KZR</t>
        </is>
      </c>
      <c r="I212" s="20" t="n">
        <v>30</v>
      </c>
      <c r="J212" t="inlineStr">
        <is>
          <t>M3</t>
        </is>
      </c>
      <c r="K212" s="21" t="n">
        <v>230</v>
      </c>
      <c r="L212" s="21" t="n">
        <v>6900</v>
      </c>
      <c r="M212" s="21" t="n">
        <v>0</v>
      </c>
      <c r="N212" t="inlineStr">
        <is>
          <t>Drewno opałowe z lasu</t>
        </is>
      </c>
      <c r="Q212" s="21" t="n">
        <v>0</v>
      </c>
      <c r="T212" s="22" t="n">
        <v>0</v>
      </c>
      <c r="U212" s="21" t="n">
        <v>0</v>
      </c>
      <c r="V212" s="21" t="n">
        <v>0</v>
      </c>
      <c r="W212" t="inlineStr">
        <is>
          <t>Magazyn Zabrze</t>
        </is>
      </c>
      <c r="Y212" t="inlineStr">
        <is>
          <t>Waga b/d</t>
        </is>
      </c>
      <c r="Z212" t="inlineStr">
        <is>
          <t>Roesner Mateusz</t>
        </is>
      </c>
      <c r="AA212" s="23" t="n">
        <v>46232.52896990741</v>
      </c>
      <c r="AB212" t="inlineStr">
        <is>
          <t>OP-MIGR-00211</t>
        </is>
      </c>
      <c r="AD212" t="inlineStr">
        <is>
          <t>AKTYWNY</t>
        </is>
      </c>
      <c r="AE212" s="20">
        <f>IF(I212="",0,IF(ISNUMBER(SEARCH("MP",UPPER(J212))),I212,IF(ISNUMBER(SEARCH("TON",UPPER(J212))),I212/Przelicznik_MP_tona,IF(ISNUMBER(SEARCH("M3",UPPER(J212))),I212*Przelicznik_M3_MP,IF(ISNUMBER(SEARCH("GJ",UPPER(J212))),I212/Przelicznik_GJ_tona/Przelicznik_MP_tona,I212)))))</f>
        <v/>
      </c>
      <c r="AF212" s="20">
        <f>IF(I212="",0,IF(ISNUMBER(SEARCH("TON",UPPER(J212))),I212,IF(ISNUMBER(SEARCH("GJ",UPPER(J212))),I212/Przelicznik_GJ_tona,AE212*Przelicznik_MP_tona)))</f>
        <v/>
      </c>
      <c r="AG212" s="20">
        <f>AF212*Przelicznik_GJ_tona</f>
        <v/>
      </c>
      <c r="AH212" s="20">
        <f>IF(UPPER(AD212)="SKORYGOWANY",0,IF(OR(UPPER(E212)="TRANSPORT",UPPER(E212)="MM"),0,IF(UPPER(G212)&lt;&gt;"TAK",0,IF(OR(UPPER(E212)="ZAKUP",UPPER(E212)="PRODUKCJA"),AE212,IF(OR(UPPER(E212)="SPRZEDAŻ",UPPER(E212)="ZUŻYCIE"),-AE212,0)))))</f>
        <v/>
      </c>
      <c r="AI212" s="20">
        <f>IF(UPPER(AD212)="SKORYGOWANY",0,IF(OR(UPPER(E212)="TRANSPORT",UPPER(E212)="MM"),0,IF(UPPER(G212)&lt;&gt;"TAK",0,IF(OR(UPPER(E212)="ZAKUP",UPPER(E212)="PRODUKCJA"),AF212,IF(OR(UPPER(E212)="SPRZEDAŻ",UPPER(E212)="ZUŻYCIE"),-AF212,0)))))</f>
        <v/>
      </c>
      <c r="AJ212" s="21">
        <f>IF(UPPER(AD212)="SKORYGOWANY",0,IF(UPPER(E212)="ZAKUP",IF(L212&lt;&gt;"",L212,I212*K212),0))</f>
        <v/>
      </c>
      <c r="AK212" s="21">
        <f>IF(UPPER(AD212)="SKORYGOWANY",0,IF(UPPER(E212)="SPRZEDAŻ",IF(L212&lt;&gt;"",L212,I212*M212),0))</f>
        <v/>
      </c>
      <c r="AL212" s="21">
        <f>AE212*Q212</f>
        <v/>
      </c>
      <c r="AM212">
        <f>IF(R212="","",IF(LOWER(R212)="brak","Brak",IF(OR(ISNUMBER(SEARCH("własn",LOWER(R212))),ISNUMBER(SEARCH("wlasn",LOWER(R212))),ISNUMBER(SEARCH("wojciechowski",LOWER(R212)))),"Własny","Zewnętrzny")))</f>
        <v/>
      </c>
      <c r="AN212" s="24">
        <f>IF(C212="","",YEAR(C212))</f>
        <v/>
      </c>
      <c r="AO212" s="24">
        <f>IF(C212="","",MONTH(C212))</f>
        <v/>
      </c>
      <c r="AP212">
        <f>IF(C212="","",UPPER(TEXT(C212,"mmmm")))</f>
        <v/>
      </c>
      <c r="AQ212">
        <f>IF(C212="","","Q"&amp;ROUNDUP(MONTH(C212)/3,0))</f>
        <v/>
      </c>
    </row>
    <row r="213">
      <c r="A213" s="19" t="n">
        <v>46232</v>
      </c>
      <c r="B213" t="inlineStr">
        <is>
          <t>Magazyn Pyskowice</t>
        </is>
      </c>
      <c r="C213" s="19" t="n">
        <v>46232</v>
      </c>
      <c r="D213" t="inlineStr">
        <is>
          <t>Magazyn Pyskowice</t>
        </is>
      </c>
      <c r="E213" t="inlineStr">
        <is>
          <t>MM</t>
        </is>
      </c>
      <c r="F213" t="inlineStr">
        <is>
          <t>MM-52</t>
        </is>
      </c>
      <c r="G213" t="inlineStr">
        <is>
          <t>TAK</t>
        </is>
      </c>
      <c r="I213" s="20" t="n">
        <v>60</v>
      </c>
      <c r="J213" t="inlineStr">
        <is>
          <t>MP</t>
        </is>
      </c>
      <c r="K213" s="21" t="n">
        <v>0</v>
      </c>
      <c r="L213" s="21" t="n">
        <v>0</v>
      </c>
      <c r="M213" s="21" t="n">
        <v>0</v>
      </c>
      <c r="N213" t="inlineStr">
        <is>
          <t>Zrębka Produkcyjna Leśna</t>
        </is>
      </c>
      <c r="O213" t="inlineStr">
        <is>
          <t>B</t>
        </is>
      </c>
      <c r="Q213" s="21" t="n">
        <v>0</v>
      </c>
      <c r="R213" t="inlineStr">
        <is>
          <t>własny (Wiór)</t>
        </is>
      </c>
      <c r="S213" t="inlineStr">
        <is>
          <t>SK 7H433</t>
        </is>
      </c>
      <c r="T213" s="22" t="n">
        <v>40</v>
      </c>
      <c r="U213" s="21" t="n">
        <v>6</v>
      </c>
      <c r="V213" s="21" t="n">
        <v>240</v>
      </c>
      <c r="W213" t="inlineStr">
        <is>
          <t>Magazyn Zabrze</t>
        </is>
      </c>
      <c r="X213" t="inlineStr">
        <is>
          <t>Magazyn Pyskowice</t>
        </is>
      </c>
      <c r="Z213" t="inlineStr">
        <is>
          <t>Roesner Mateusz</t>
        </is>
      </c>
      <c r="AA213" s="23" t="n">
        <v>46234.0184375</v>
      </c>
      <c r="AB213" t="inlineStr">
        <is>
          <t>OP-MIGR-00212</t>
        </is>
      </c>
      <c r="AD213" t="inlineStr">
        <is>
          <t>AKTYWNY</t>
        </is>
      </c>
      <c r="AE213" s="20">
        <f>IF(I213="",0,IF(ISNUMBER(SEARCH("MP",UPPER(J213))),I213,IF(ISNUMBER(SEARCH("TON",UPPER(J213))),I213/Przelicznik_MP_tona,IF(ISNUMBER(SEARCH("M3",UPPER(J213))),I213*Przelicznik_M3_MP,IF(ISNUMBER(SEARCH("GJ",UPPER(J213))),I213/Przelicznik_GJ_tona/Przelicznik_MP_tona,I213)))))</f>
        <v/>
      </c>
      <c r="AF213" s="20">
        <f>IF(I213="",0,IF(ISNUMBER(SEARCH("TON",UPPER(J213))),I213,IF(ISNUMBER(SEARCH("GJ",UPPER(J213))),I213/Przelicznik_GJ_tona,AE213*Przelicznik_MP_tona)))</f>
        <v/>
      </c>
      <c r="AG213" s="20">
        <f>AF213*Przelicznik_GJ_tona</f>
        <v/>
      </c>
      <c r="AH213" s="20">
        <f>IF(UPPER(AD213)="SKORYGOWANY",0,IF(OR(UPPER(E213)="TRANSPORT",UPPER(E213)="MM"),0,IF(UPPER(G213)&lt;&gt;"TAK",0,IF(OR(UPPER(E213)="ZAKUP",UPPER(E213)="PRODUKCJA"),AE213,IF(OR(UPPER(E213)="SPRZEDAŻ",UPPER(E213)="ZUŻYCIE"),-AE213,0)))))</f>
        <v/>
      </c>
      <c r="AI213" s="20">
        <f>IF(UPPER(AD213)="SKORYGOWANY",0,IF(OR(UPPER(E213)="TRANSPORT",UPPER(E213)="MM"),0,IF(UPPER(G213)&lt;&gt;"TAK",0,IF(OR(UPPER(E213)="ZAKUP",UPPER(E213)="PRODUKCJA"),AF213,IF(OR(UPPER(E213)="SPRZEDAŻ",UPPER(E213)="ZUŻYCIE"),-AF213,0)))))</f>
        <v/>
      </c>
      <c r="AJ213" s="21">
        <f>IF(UPPER(AD213)="SKORYGOWANY",0,IF(UPPER(E213)="ZAKUP",IF(L213&lt;&gt;"",L213,I213*K213),0))</f>
        <v/>
      </c>
      <c r="AK213" s="21">
        <f>IF(UPPER(AD213)="SKORYGOWANY",0,IF(UPPER(E213)="SPRZEDAŻ",IF(L213&lt;&gt;"",L213,I213*M213),0))</f>
        <v/>
      </c>
      <c r="AL213" s="21">
        <f>AE213*Q213</f>
        <v/>
      </c>
      <c r="AM213">
        <f>IF(R213="","",IF(LOWER(R213)="brak","Brak",IF(OR(ISNUMBER(SEARCH("własn",LOWER(R213))),ISNUMBER(SEARCH("wlasn",LOWER(R213))),ISNUMBER(SEARCH("wojciechowski",LOWER(R213)))),"Własny","Zewnętrzny")))</f>
        <v/>
      </c>
      <c r="AN213" s="24">
        <f>IF(C213="","",YEAR(C213))</f>
        <v/>
      </c>
      <c r="AO213" s="24">
        <f>IF(C213="","",MONTH(C213))</f>
        <v/>
      </c>
      <c r="AP213">
        <f>IF(C213="","",UPPER(TEXT(C213,"mmmm")))</f>
        <v/>
      </c>
      <c r="AQ213">
        <f>IF(C213="","","Q"&amp;ROUNDUP(MONTH(C213)/3,0))</f>
        <v/>
      </c>
    </row>
    <row r="214">
      <c r="A214" s="19" t="n">
        <v>46232</v>
      </c>
      <c r="B214" t="inlineStr">
        <is>
          <t>Magazyn Pyskowice</t>
        </is>
      </c>
      <c r="C214" s="19" t="n">
        <v>46232</v>
      </c>
      <c r="D214" t="inlineStr">
        <is>
          <t>Magazyn Pyskowice</t>
        </is>
      </c>
      <c r="E214" t="inlineStr">
        <is>
          <t>MM</t>
        </is>
      </c>
      <c r="F214" t="inlineStr">
        <is>
          <t>MM-53</t>
        </is>
      </c>
      <c r="G214" t="inlineStr">
        <is>
          <t>TAK</t>
        </is>
      </c>
      <c r="I214" s="20" t="n">
        <v>58</v>
      </c>
      <c r="J214" t="inlineStr">
        <is>
          <t>MP</t>
        </is>
      </c>
      <c r="K214" s="21" t="n">
        <v>0</v>
      </c>
      <c r="L214" s="21" t="n">
        <v>0</v>
      </c>
      <c r="M214" s="21" t="n">
        <v>0</v>
      </c>
      <c r="N214" t="inlineStr">
        <is>
          <t>Zrębka Produkcyjna Leśna</t>
        </is>
      </c>
      <c r="O214" t="inlineStr">
        <is>
          <t>B</t>
        </is>
      </c>
      <c r="Q214" s="21" t="n">
        <v>0</v>
      </c>
      <c r="R214" t="inlineStr">
        <is>
          <t>własny (Wiór)</t>
        </is>
      </c>
      <c r="S214" t="inlineStr">
        <is>
          <t>SK 7H433</t>
        </is>
      </c>
      <c r="T214" s="22" t="n">
        <v>40</v>
      </c>
      <c r="U214" s="21" t="n">
        <v>6</v>
      </c>
      <c r="V214" s="21" t="n">
        <v>240</v>
      </c>
      <c r="W214" t="inlineStr">
        <is>
          <t>Magazyn Zabrze</t>
        </is>
      </c>
      <c r="X214" t="inlineStr">
        <is>
          <t>Magazyn Pyskowice</t>
        </is>
      </c>
      <c r="Y214" t="inlineStr">
        <is>
          <t>Kurs z 1 kontenerem.</t>
        </is>
      </c>
      <c r="Z214" t="inlineStr">
        <is>
          <t>Roesner Mateusz</t>
        </is>
      </c>
      <c r="AA214" s="23" t="n">
        <v>46234.0195949074</v>
      </c>
      <c r="AB214" t="inlineStr">
        <is>
          <t>OP-MIGR-00213</t>
        </is>
      </c>
      <c r="AD214" t="inlineStr">
        <is>
          <t>AKTYWNY</t>
        </is>
      </c>
      <c r="AE214" s="20">
        <f>IF(I214="",0,IF(ISNUMBER(SEARCH("MP",UPPER(J214))),I214,IF(ISNUMBER(SEARCH("TON",UPPER(J214))),I214/Przelicznik_MP_tona,IF(ISNUMBER(SEARCH("M3",UPPER(J214))),I214*Przelicznik_M3_MP,IF(ISNUMBER(SEARCH("GJ",UPPER(J214))),I214/Przelicznik_GJ_tona/Przelicznik_MP_tona,I214)))))</f>
        <v/>
      </c>
      <c r="AF214" s="20">
        <f>IF(I214="",0,IF(ISNUMBER(SEARCH("TON",UPPER(J214))),I214,IF(ISNUMBER(SEARCH("GJ",UPPER(J214))),I214/Przelicznik_GJ_tona,AE214*Przelicznik_MP_tona)))</f>
        <v/>
      </c>
      <c r="AG214" s="20">
        <f>AF214*Przelicznik_GJ_tona</f>
        <v/>
      </c>
      <c r="AH214" s="20">
        <f>IF(UPPER(AD214)="SKORYGOWANY",0,IF(OR(UPPER(E214)="TRANSPORT",UPPER(E214)="MM"),0,IF(UPPER(G214)&lt;&gt;"TAK",0,IF(OR(UPPER(E214)="ZAKUP",UPPER(E214)="PRODUKCJA"),AE214,IF(OR(UPPER(E214)="SPRZEDAŻ",UPPER(E214)="ZUŻYCIE"),-AE214,0)))))</f>
        <v/>
      </c>
      <c r="AI214" s="20">
        <f>IF(UPPER(AD214)="SKORYGOWANY",0,IF(OR(UPPER(E214)="TRANSPORT",UPPER(E214)="MM"),0,IF(UPPER(G214)&lt;&gt;"TAK",0,IF(OR(UPPER(E214)="ZAKUP",UPPER(E214)="PRODUKCJA"),AF214,IF(OR(UPPER(E214)="SPRZEDAŻ",UPPER(E214)="ZUŻYCIE"),-AF214,0)))))</f>
        <v/>
      </c>
      <c r="AJ214" s="21">
        <f>IF(UPPER(AD214)="SKORYGOWANY",0,IF(UPPER(E214)="ZAKUP",IF(L214&lt;&gt;"",L214,I214*K214),0))</f>
        <v/>
      </c>
      <c r="AK214" s="21">
        <f>IF(UPPER(AD214)="SKORYGOWANY",0,IF(UPPER(E214)="SPRZEDAŻ",IF(L214&lt;&gt;"",L214,I214*M214),0))</f>
        <v/>
      </c>
      <c r="AL214" s="21">
        <f>AE214*Q214</f>
        <v/>
      </c>
      <c r="AM214">
        <f>IF(R214="","",IF(LOWER(R214)="brak","Brak",IF(OR(ISNUMBER(SEARCH("własn",LOWER(R214))),ISNUMBER(SEARCH("wlasn",LOWER(R214))),ISNUMBER(SEARCH("wojciechowski",LOWER(R214)))),"Własny","Zewnętrzny")))</f>
        <v/>
      </c>
      <c r="AN214" s="24">
        <f>IF(C214="","",YEAR(C214))</f>
        <v/>
      </c>
      <c r="AO214" s="24">
        <f>IF(C214="","",MONTH(C214))</f>
        <v/>
      </c>
      <c r="AP214">
        <f>IF(C214="","",UPPER(TEXT(C214,"mmmm")))</f>
        <v/>
      </c>
      <c r="AQ214">
        <f>IF(C214="","","Q"&amp;ROUNDUP(MONTH(C214)/3,0))</f>
        <v/>
      </c>
    </row>
    <row r="215">
      <c r="A215" s="19" t="n">
        <v>46232</v>
      </c>
      <c r="C215" s="19" t="n">
        <v>46232</v>
      </c>
      <c r="D215" t="inlineStr">
        <is>
          <t>NDL Chrzanów, Leśnictwo Chełmek</t>
        </is>
      </c>
      <c r="E215" t="inlineStr">
        <is>
          <t>ZAKUP</t>
        </is>
      </c>
      <c r="F215" t="inlineStr">
        <is>
          <t>PZ/46</t>
        </is>
      </c>
      <c r="G215" t="inlineStr">
        <is>
          <t>TAK</t>
        </is>
      </c>
      <c r="H215" t="inlineStr">
        <is>
          <t>Deklaracja</t>
        </is>
      </c>
      <c r="I215" s="20" t="n">
        <v>21.31</v>
      </c>
      <c r="J215" t="inlineStr">
        <is>
          <t>M3</t>
        </is>
      </c>
      <c r="K215" s="21" t="n">
        <v>141</v>
      </c>
      <c r="L215" s="21" t="n">
        <v>3004.71</v>
      </c>
      <c r="M215" s="21" t="n">
        <v>0</v>
      </c>
      <c r="N215" t="inlineStr">
        <is>
          <t>Drewno opałowe z lasu</t>
        </is>
      </c>
      <c r="O215" t="inlineStr">
        <is>
          <t>B</t>
        </is>
      </c>
      <c r="Q215" s="21" t="n">
        <v>0</v>
      </c>
      <c r="T215" s="22" t="n">
        <v>0</v>
      </c>
      <c r="U215" s="21" t="n">
        <v>0</v>
      </c>
      <c r="V215" s="21" t="n">
        <v>0</v>
      </c>
      <c r="W215" t="inlineStr">
        <is>
          <t>Magazyn Zabrze</t>
        </is>
      </c>
      <c r="Z215" t="inlineStr">
        <is>
          <t>Roesner Mateusz</t>
        </is>
      </c>
      <c r="AA215" s="23" t="n">
        <v>46234.31423611111</v>
      </c>
      <c r="AB215" t="inlineStr">
        <is>
          <t>OP-MIGR-00214</t>
        </is>
      </c>
      <c r="AD215" t="inlineStr">
        <is>
          <t>AKTYWNY</t>
        </is>
      </c>
      <c r="AE215" s="20">
        <f>IF(I215="",0,IF(ISNUMBER(SEARCH("MP",UPPER(J215))),I215,IF(ISNUMBER(SEARCH("TON",UPPER(J215))),I215/Przelicznik_MP_tona,IF(ISNUMBER(SEARCH("M3",UPPER(J215))),I215*Przelicznik_M3_MP,IF(ISNUMBER(SEARCH("GJ",UPPER(J215))),I215/Przelicznik_GJ_tona/Przelicznik_MP_tona,I215)))))</f>
        <v/>
      </c>
      <c r="AF215" s="20">
        <f>IF(I215="",0,IF(ISNUMBER(SEARCH("TON",UPPER(J215))),I215,IF(ISNUMBER(SEARCH("GJ",UPPER(J215))),I215/Przelicznik_GJ_tona,AE215*Przelicznik_MP_tona)))</f>
        <v/>
      </c>
      <c r="AG215" s="20">
        <f>AF215*Przelicznik_GJ_tona</f>
        <v/>
      </c>
      <c r="AH215" s="20">
        <f>IF(UPPER(AD215)="SKORYGOWANY",0,IF(OR(UPPER(E215)="TRANSPORT",UPPER(E215)="MM"),0,IF(UPPER(G215)&lt;&gt;"TAK",0,IF(OR(UPPER(E215)="ZAKUP",UPPER(E215)="PRODUKCJA"),AE215,IF(OR(UPPER(E215)="SPRZEDAŻ",UPPER(E215)="ZUŻYCIE"),-AE215,0)))))</f>
        <v/>
      </c>
      <c r="AI215" s="20">
        <f>IF(UPPER(AD215)="SKORYGOWANY",0,IF(OR(UPPER(E215)="TRANSPORT",UPPER(E215)="MM"),0,IF(UPPER(G215)&lt;&gt;"TAK",0,IF(OR(UPPER(E215)="ZAKUP",UPPER(E215)="PRODUKCJA"),AF215,IF(OR(UPPER(E215)="SPRZEDAŻ",UPPER(E215)="ZUŻYCIE"),-AF215,0)))))</f>
        <v/>
      </c>
      <c r="AJ215" s="21">
        <f>IF(UPPER(AD215)="SKORYGOWANY",0,IF(UPPER(E215)="ZAKUP",IF(L215&lt;&gt;"",L215,I215*K215),0))</f>
        <v/>
      </c>
      <c r="AK215" s="21">
        <f>IF(UPPER(AD215)="SKORYGOWANY",0,IF(UPPER(E215)="SPRZEDAŻ",IF(L215&lt;&gt;"",L215,I215*M215),0))</f>
        <v/>
      </c>
      <c r="AL215" s="21">
        <f>AE215*Q215</f>
        <v/>
      </c>
      <c r="AM215">
        <f>IF(R215="","",IF(LOWER(R215)="brak","Brak",IF(OR(ISNUMBER(SEARCH("własn",LOWER(R215))),ISNUMBER(SEARCH("wlasn",LOWER(R215))),ISNUMBER(SEARCH("wojciechowski",LOWER(R215)))),"Własny","Zewnętrzny")))</f>
        <v/>
      </c>
      <c r="AN215" s="24">
        <f>IF(C215="","",YEAR(C215))</f>
        <v/>
      </c>
      <c r="AO215" s="24">
        <f>IF(C215="","",MONTH(C215))</f>
        <v/>
      </c>
      <c r="AP215">
        <f>IF(C215="","",UPPER(TEXT(C215,"mmmm")))</f>
        <v/>
      </c>
      <c r="AQ215">
        <f>IF(C215="","","Q"&amp;ROUNDUP(MONTH(C215)/3,0))</f>
        <v/>
      </c>
    </row>
    <row r="216">
      <c r="A216" s="19" t="n">
        <v>46232</v>
      </c>
      <c r="C216" s="19" t="n">
        <v>46232</v>
      </c>
      <c r="D216" t="inlineStr">
        <is>
          <t>Magazyn Zabrze</t>
        </is>
      </c>
      <c r="E216" t="inlineStr">
        <is>
          <t>PRODUKCJA</t>
        </is>
      </c>
      <c r="F216" t="inlineStr">
        <is>
          <t>PZ/46</t>
        </is>
      </c>
      <c r="G216" t="inlineStr">
        <is>
          <t>TAK</t>
        </is>
      </c>
      <c r="H216" t="inlineStr">
        <is>
          <t>Deklaracja</t>
        </is>
      </c>
      <c r="I216" s="20" t="n">
        <v>85</v>
      </c>
      <c r="J216" t="inlineStr">
        <is>
          <t>MP</t>
        </is>
      </c>
      <c r="K216" s="21" t="n">
        <v>0</v>
      </c>
      <c r="L216" s="21" t="n">
        <v>0</v>
      </c>
      <c r="M216" s="21" t="n">
        <v>0</v>
      </c>
      <c r="N216" t="inlineStr">
        <is>
          <t>Zrębka Produkcyjna Leśna</t>
        </is>
      </c>
      <c r="O216" t="inlineStr">
        <is>
          <t>B</t>
        </is>
      </c>
      <c r="P216" t="inlineStr">
        <is>
          <t>własne</t>
        </is>
      </c>
      <c r="Q216" s="21" t="n">
        <v>10</v>
      </c>
      <c r="T216" s="22" t="n">
        <v>0</v>
      </c>
      <c r="U216" s="21" t="n">
        <v>0</v>
      </c>
      <c r="V216" s="21" t="n">
        <v>0</v>
      </c>
      <c r="W216" t="inlineStr">
        <is>
          <t>Magazyn Zabrze</t>
        </is>
      </c>
      <c r="Z216" t="inlineStr">
        <is>
          <t>Roesner Mateusz</t>
        </is>
      </c>
      <c r="AA216" s="23" t="n">
        <v>46234.3152662037</v>
      </c>
      <c r="AB216" t="inlineStr">
        <is>
          <t>OP-MIGR-00215</t>
        </is>
      </c>
      <c r="AD216" t="inlineStr">
        <is>
          <t>AKTYWNY</t>
        </is>
      </c>
      <c r="AE216" s="20">
        <f>IF(I216="",0,IF(ISNUMBER(SEARCH("MP",UPPER(J216))),I216,IF(ISNUMBER(SEARCH("TON",UPPER(J216))),I216/Przelicznik_MP_tona,IF(ISNUMBER(SEARCH("M3",UPPER(J216))),I216*Przelicznik_M3_MP,IF(ISNUMBER(SEARCH("GJ",UPPER(J216))),I216/Przelicznik_GJ_tona/Przelicznik_MP_tona,I216)))))</f>
        <v/>
      </c>
      <c r="AF216" s="20">
        <f>IF(I216="",0,IF(ISNUMBER(SEARCH("TON",UPPER(J216))),I216,IF(ISNUMBER(SEARCH("GJ",UPPER(J216))),I216/Przelicznik_GJ_tona,AE216*Przelicznik_MP_tona)))</f>
        <v/>
      </c>
      <c r="AG216" s="20">
        <f>AF216*Przelicznik_GJ_tona</f>
        <v/>
      </c>
      <c r="AH216" s="20">
        <f>IF(UPPER(AD216)="SKORYGOWANY",0,IF(OR(UPPER(E216)="TRANSPORT",UPPER(E216)="MM"),0,IF(UPPER(G216)&lt;&gt;"TAK",0,IF(OR(UPPER(E216)="ZAKUP",UPPER(E216)="PRODUKCJA"),AE216,IF(OR(UPPER(E216)="SPRZEDAŻ",UPPER(E216)="ZUŻYCIE"),-AE216,0)))))</f>
        <v/>
      </c>
      <c r="AI216" s="20">
        <f>IF(UPPER(AD216)="SKORYGOWANY",0,IF(OR(UPPER(E216)="TRANSPORT",UPPER(E216)="MM"),0,IF(UPPER(G216)&lt;&gt;"TAK",0,IF(OR(UPPER(E216)="ZAKUP",UPPER(E216)="PRODUKCJA"),AF216,IF(OR(UPPER(E216)="SPRZEDAŻ",UPPER(E216)="ZUŻYCIE"),-AF216,0)))))</f>
        <v/>
      </c>
      <c r="AJ216" s="21">
        <f>IF(UPPER(AD216)="SKORYGOWANY",0,IF(UPPER(E216)="ZAKUP",IF(L216&lt;&gt;"",L216,I216*K216),0))</f>
        <v/>
      </c>
      <c r="AK216" s="21">
        <f>IF(UPPER(AD216)="SKORYGOWANY",0,IF(UPPER(E216)="SPRZEDAŻ",IF(L216&lt;&gt;"",L216,I216*M216),0))</f>
        <v/>
      </c>
      <c r="AL216" s="21">
        <f>AE216*Q216</f>
        <v/>
      </c>
      <c r="AM216">
        <f>IF(R216="","",IF(LOWER(R216)="brak","Brak",IF(OR(ISNUMBER(SEARCH("własn",LOWER(R216))),ISNUMBER(SEARCH("wlasn",LOWER(R216))),ISNUMBER(SEARCH("wojciechowski",LOWER(R216)))),"Własny","Zewnętrzny")))</f>
        <v/>
      </c>
      <c r="AN216" s="24">
        <f>IF(C216="","",YEAR(C216))</f>
        <v/>
      </c>
      <c r="AO216" s="24">
        <f>IF(C216="","",MONTH(C216))</f>
        <v/>
      </c>
      <c r="AP216">
        <f>IF(C216="","",UPPER(TEXT(C216,"mmmm")))</f>
        <v/>
      </c>
      <c r="AQ216">
        <f>IF(C216="","","Q"&amp;ROUNDUP(MONTH(C216)/3,0))</f>
        <v/>
      </c>
    </row>
    <row r="217">
      <c r="A217" s="19" t="n">
        <v>46232</v>
      </c>
      <c r="C217" s="19" t="n">
        <v>46232</v>
      </c>
      <c r="D217" t="inlineStr">
        <is>
          <t>Magazyn Zabrze</t>
        </is>
      </c>
      <c r="E217" t="inlineStr">
        <is>
          <t>ZUŻYCIE</t>
        </is>
      </c>
      <c r="F217" t="inlineStr">
        <is>
          <t>PZ/46</t>
        </is>
      </c>
      <c r="G217" t="inlineStr">
        <is>
          <t>TAK</t>
        </is>
      </c>
      <c r="H217" t="inlineStr">
        <is>
          <t>Deklaracja</t>
        </is>
      </c>
      <c r="I217" s="20" t="n">
        <v>85</v>
      </c>
      <c r="J217" t="inlineStr">
        <is>
          <t>MP</t>
        </is>
      </c>
      <c r="K217" s="21" t="n">
        <v>0</v>
      </c>
      <c r="L217" s="21" t="n">
        <v>0</v>
      </c>
      <c r="M217" s="21" t="n">
        <v>0</v>
      </c>
      <c r="N217" t="inlineStr">
        <is>
          <t>Zrębka Produkcyjna Leśna</t>
        </is>
      </c>
      <c r="O217" t="inlineStr">
        <is>
          <t>B</t>
        </is>
      </c>
      <c r="P217" t="inlineStr">
        <is>
          <t>własne</t>
        </is>
      </c>
      <c r="Q217" s="21" t="n">
        <v>10</v>
      </c>
      <c r="T217" s="22" t="n">
        <v>0</v>
      </c>
      <c r="U217" s="21" t="n">
        <v>0</v>
      </c>
      <c r="V217" s="21" t="n">
        <v>0</v>
      </c>
      <c r="W217" t="inlineStr">
        <is>
          <t>Magazyn Zabrze</t>
        </is>
      </c>
      <c r="Y217" t="inlineStr">
        <is>
          <t>Automatyczne zużycie surowca do produkcji</t>
        </is>
      </c>
      <c r="AA217" s="23" t="n">
        <v>46234.3152662037</v>
      </c>
      <c r="AB217" t="inlineStr">
        <is>
          <t>OP-MIGR-00216</t>
        </is>
      </c>
      <c r="AD217" t="inlineStr">
        <is>
          <t>AKTYWNY</t>
        </is>
      </c>
      <c r="AE217" s="20">
        <f>IF(I217="",0,IF(ISNUMBER(SEARCH("MP",UPPER(J217))),I217,IF(ISNUMBER(SEARCH("TON",UPPER(J217))),I217/Przelicznik_MP_tona,IF(ISNUMBER(SEARCH("M3",UPPER(J217))),I217*Przelicznik_M3_MP,IF(ISNUMBER(SEARCH("GJ",UPPER(J217))),I217/Przelicznik_GJ_tona/Przelicznik_MP_tona,I217)))))</f>
        <v/>
      </c>
      <c r="AF217" s="20">
        <f>IF(I217="",0,IF(ISNUMBER(SEARCH("TON",UPPER(J217))),I217,IF(ISNUMBER(SEARCH("GJ",UPPER(J217))),I217/Przelicznik_GJ_tona,AE217*Przelicznik_MP_tona)))</f>
        <v/>
      </c>
      <c r="AG217" s="20">
        <f>AF217*Przelicznik_GJ_tona</f>
        <v/>
      </c>
      <c r="AH217" s="20">
        <f>IF(UPPER(AD217)="SKORYGOWANY",0,IF(OR(UPPER(E217)="TRANSPORT",UPPER(E217)="MM"),0,IF(UPPER(G217)&lt;&gt;"TAK",0,IF(OR(UPPER(E217)="ZAKUP",UPPER(E217)="PRODUKCJA"),AE217,IF(OR(UPPER(E217)="SPRZEDAŻ",UPPER(E217)="ZUŻYCIE"),-AE217,0)))))</f>
        <v/>
      </c>
      <c r="AI217" s="20">
        <f>IF(UPPER(AD217)="SKORYGOWANY",0,IF(OR(UPPER(E217)="TRANSPORT",UPPER(E217)="MM"),0,IF(UPPER(G217)&lt;&gt;"TAK",0,IF(OR(UPPER(E217)="ZAKUP",UPPER(E217)="PRODUKCJA"),AF217,IF(OR(UPPER(E217)="SPRZEDAŻ",UPPER(E217)="ZUŻYCIE"),-AF217,0)))))</f>
        <v/>
      </c>
      <c r="AJ217" s="21">
        <f>IF(UPPER(AD217)="SKORYGOWANY",0,IF(UPPER(E217)="ZAKUP",IF(L217&lt;&gt;"",L217,I217*K217),0))</f>
        <v/>
      </c>
      <c r="AK217" s="21">
        <f>IF(UPPER(AD217)="SKORYGOWANY",0,IF(UPPER(E217)="SPRZEDAŻ",IF(L217&lt;&gt;"",L217,I217*M217),0))</f>
        <v/>
      </c>
      <c r="AL217" s="21">
        <f>AE217*Q217</f>
        <v/>
      </c>
      <c r="AM217">
        <f>IF(R217="","",IF(LOWER(R217)="brak","Brak",IF(OR(ISNUMBER(SEARCH("własn",LOWER(R217))),ISNUMBER(SEARCH("wlasn",LOWER(R217))),ISNUMBER(SEARCH("wojciechowski",LOWER(R217)))),"Własny","Zewnętrzny")))</f>
        <v/>
      </c>
      <c r="AN217" s="24">
        <f>IF(C217="","",YEAR(C217))</f>
        <v/>
      </c>
      <c r="AO217" s="24">
        <f>IF(C217="","",MONTH(C217))</f>
        <v/>
      </c>
      <c r="AP217">
        <f>IF(C217="","",UPPER(TEXT(C217,"mmmm")))</f>
        <v/>
      </c>
      <c r="AQ217">
        <f>IF(C217="","","Q"&amp;ROUNDUP(MONTH(C217)/3,0))</f>
        <v/>
      </c>
    </row>
    <row r="218">
      <c r="A218" s="19" t="n">
        <v>46232</v>
      </c>
      <c r="B218" t="inlineStr">
        <is>
          <t>Chrzanów</t>
        </is>
      </c>
      <c r="C218" s="19" t="n">
        <v>46232</v>
      </c>
      <c r="D218" t="inlineStr">
        <is>
          <t>Magazyn Zabrze</t>
        </is>
      </c>
      <c r="E218" t="inlineStr">
        <is>
          <t>ZAKUP</t>
        </is>
      </c>
      <c r="F218" t="inlineStr">
        <is>
          <t>PZ/46  2/202624966/6105</t>
        </is>
      </c>
      <c r="G218" t="inlineStr">
        <is>
          <t>TAK</t>
        </is>
      </c>
      <c r="H218" t="inlineStr">
        <is>
          <t>Deklaracja</t>
        </is>
      </c>
      <c r="I218" s="20" t="n">
        <v>85</v>
      </c>
      <c r="J218" t="inlineStr">
        <is>
          <t>MP</t>
        </is>
      </c>
      <c r="K218" s="21" t="n">
        <v>0</v>
      </c>
      <c r="L218" s="21" t="n">
        <v>0</v>
      </c>
      <c r="M218" s="21" t="n">
        <v>0</v>
      </c>
      <c r="N218" t="inlineStr">
        <is>
          <t>Zrębka Produkcyjna Leśna</t>
        </is>
      </c>
      <c r="O218" t="inlineStr">
        <is>
          <t>B</t>
        </is>
      </c>
      <c r="Q218" s="21" t="n">
        <v>0</v>
      </c>
      <c r="R218" t="inlineStr">
        <is>
          <t>Nowatrans</t>
        </is>
      </c>
      <c r="S218" t="inlineStr">
        <is>
          <t>WND 3546F</t>
        </is>
      </c>
      <c r="T218" s="22" t="n">
        <v>200</v>
      </c>
      <c r="U218" s="21" t="n">
        <v>6</v>
      </c>
      <c r="V218" s="21" t="n">
        <v>1200</v>
      </c>
      <c r="W218" t="inlineStr">
        <is>
          <t>Magazyn Zabrze</t>
        </is>
      </c>
      <c r="Z218" t="inlineStr">
        <is>
          <t>Roesner Mateusz</t>
        </is>
      </c>
      <c r="AA218" s="23" t="n">
        <v>46234.43270833333</v>
      </c>
      <c r="AB218" t="inlineStr">
        <is>
          <t>OP-MIGR-00217</t>
        </is>
      </c>
      <c r="AD218" t="inlineStr">
        <is>
          <t>AKTYWNY</t>
        </is>
      </c>
      <c r="AE218" s="20">
        <f>IF(I218="",0,IF(ISNUMBER(SEARCH("MP",UPPER(J218))),I218,IF(ISNUMBER(SEARCH("TON",UPPER(J218))),I218/Przelicznik_MP_tona,IF(ISNUMBER(SEARCH("M3",UPPER(J218))),I218*Przelicznik_M3_MP,IF(ISNUMBER(SEARCH("GJ",UPPER(J218))),I218/Przelicznik_GJ_tona/Przelicznik_MP_tona,I218)))))</f>
        <v/>
      </c>
      <c r="AF218" s="20">
        <f>IF(I218="",0,IF(ISNUMBER(SEARCH("TON",UPPER(J218))),I218,IF(ISNUMBER(SEARCH("GJ",UPPER(J218))),I218/Przelicznik_GJ_tona,AE218*Przelicznik_MP_tona)))</f>
        <v/>
      </c>
      <c r="AG218" s="20">
        <f>AF218*Przelicznik_GJ_tona</f>
        <v/>
      </c>
      <c r="AH218" s="20">
        <f>IF(UPPER(AD218)="SKORYGOWANY",0,IF(OR(UPPER(E218)="TRANSPORT",UPPER(E218)="MM"),0,IF(UPPER(G218)&lt;&gt;"TAK",0,IF(OR(UPPER(E218)="ZAKUP",UPPER(E218)="PRODUKCJA"),AE218,IF(OR(UPPER(E218)="SPRZEDAŻ",UPPER(E218)="ZUŻYCIE"),-AE218,0)))))</f>
        <v/>
      </c>
      <c r="AI218" s="20">
        <f>IF(UPPER(AD218)="SKORYGOWANY",0,IF(OR(UPPER(E218)="TRANSPORT",UPPER(E218)="MM"),0,IF(UPPER(G218)&lt;&gt;"TAK",0,IF(OR(UPPER(E218)="ZAKUP",UPPER(E218)="PRODUKCJA"),AF218,IF(OR(UPPER(E218)="SPRZEDAŻ",UPPER(E218)="ZUŻYCIE"),-AF218,0)))))</f>
        <v/>
      </c>
      <c r="AJ218" s="21">
        <f>IF(UPPER(AD218)="SKORYGOWANY",0,IF(UPPER(E218)="ZAKUP",IF(L218&lt;&gt;"",L218,I218*K218),0))</f>
        <v/>
      </c>
      <c r="AK218" s="21">
        <f>IF(UPPER(AD218)="SKORYGOWANY",0,IF(UPPER(E218)="SPRZEDAŻ",IF(L218&lt;&gt;"",L218,I218*M218),0))</f>
        <v/>
      </c>
      <c r="AL218" s="21">
        <f>AE218*Q218</f>
        <v/>
      </c>
      <c r="AM218">
        <f>IF(R218="","",IF(LOWER(R218)="brak","Brak",IF(OR(ISNUMBER(SEARCH("własn",LOWER(R218))),ISNUMBER(SEARCH("wlasn",LOWER(R218))),ISNUMBER(SEARCH("wojciechowski",LOWER(R218)))),"Własny","Zewnętrzny")))</f>
        <v/>
      </c>
      <c r="AN218" s="24">
        <f>IF(C218="","",YEAR(C218))</f>
        <v/>
      </c>
      <c r="AO218" s="24">
        <f>IF(C218="","",MONTH(C218))</f>
        <v/>
      </c>
      <c r="AP218">
        <f>IF(C218="","",UPPER(TEXT(C218,"mmmm")))</f>
        <v/>
      </c>
      <c r="AQ218">
        <f>IF(C218="","","Q"&amp;ROUNDUP(MONTH(C218)/3,0))</f>
        <v/>
      </c>
    </row>
    <row r="219">
      <c r="A219" s="19" t="n">
        <v>46232</v>
      </c>
      <c r="C219" s="19" t="n">
        <v>46232</v>
      </c>
      <c r="D219" t="inlineStr">
        <is>
          <t>NDL Chrzanów, Leśnictwo Chełmek</t>
        </is>
      </c>
      <c r="E219" t="inlineStr">
        <is>
          <t>ZAKUP</t>
        </is>
      </c>
      <c r="F219" t="inlineStr">
        <is>
          <t>PZ/47</t>
        </is>
      </c>
      <c r="G219" t="inlineStr">
        <is>
          <t>TAK</t>
        </is>
      </c>
      <c r="H219" t="inlineStr">
        <is>
          <t>Deklaracja</t>
        </is>
      </c>
      <c r="I219" s="20" t="n">
        <v>6.03</v>
      </c>
      <c r="J219" t="inlineStr">
        <is>
          <t>M3</t>
        </is>
      </c>
      <c r="K219" s="21" t="n">
        <v>141</v>
      </c>
      <c r="L219" s="21" t="n">
        <v>850.23</v>
      </c>
      <c r="M219" s="21" t="n">
        <v>0</v>
      </c>
      <c r="N219" t="inlineStr">
        <is>
          <t>Drewno opałowe z lasu</t>
        </is>
      </c>
      <c r="O219" t="inlineStr">
        <is>
          <t>B</t>
        </is>
      </c>
      <c r="Q219" s="21" t="n">
        <v>0</v>
      </c>
      <c r="T219" s="22" t="n">
        <v>0</v>
      </c>
      <c r="U219" s="21" t="n">
        <v>0</v>
      </c>
      <c r="V219" s="21" t="n">
        <v>0</v>
      </c>
      <c r="W219" t="inlineStr">
        <is>
          <t>Magazyn Zabrze</t>
        </is>
      </c>
      <c r="Z219" t="inlineStr">
        <is>
          <t>Roesner Mateusz</t>
        </is>
      </c>
      <c r="AA219" s="23" t="n">
        <v>46237.4555787037</v>
      </c>
      <c r="AB219" t="inlineStr">
        <is>
          <t>OP-MIGR-00218</t>
        </is>
      </c>
      <c r="AD219" t="inlineStr">
        <is>
          <t>AKTYWNY</t>
        </is>
      </c>
      <c r="AE219" s="20">
        <f>IF(I219="",0,IF(ISNUMBER(SEARCH("MP",UPPER(J219))),I219,IF(ISNUMBER(SEARCH("TON",UPPER(J219))),I219/Przelicznik_MP_tona,IF(ISNUMBER(SEARCH("M3",UPPER(J219))),I219*Przelicznik_M3_MP,IF(ISNUMBER(SEARCH("GJ",UPPER(J219))),I219/Przelicznik_GJ_tona/Przelicznik_MP_tona,I219)))))</f>
        <v/>
      </c>
      <c r="AF219" s="20">
        <f>IF(I219="",0,IF(ISNUMBER(SEARCH("TON",UPPER(J219))),I219,IF(ISNUMBER(SEARCH("GJ",UPPER(J219))),I219/Przelicznik_GJ_tona,AE219*Przelicznik_MP_tona)))</f>
        <v/>
      </c>
      <c r="AG219" s="20">
        <f>AF219*Przelicznik_GJ_tona</f>
        <v/>
      </c>
      <c r="AH219" s="20">
        <f>IF(UPPER(AD219)="SKORYGOWANY",0,IF(OR(UPPER(E219)="TRANSPORT",UPPER(E219)="MM"),0,IF(UPPER(G219)&lt;&gt;"TAK",0,IF(OR(UPPER(E219)="ZAKUP",UPPER(E219)="PRODUKCJA"),AE219,IF(OR(UPPER(E219)="SPRZEDAŻ",UPPER(E219)="ZUŻYCIE"),-AE219,0)))))</f>
        <v/>
      </c>
      <c r="AI219" s="20">
        <f>IF(UPPER(AD219)="SKORYGOWANY",0,IF(OR(UPPER(E219)="TRANSPORT",UPPER(E219)="MM"),0,IF(UPPER(G219)&lt;&gt;"TAK",0,IF(OR(UPPER(E219)="ZAKUP",UPPER(E219)="PRODUKCJA"),AF219,IF(OR(UPPER(E219)="SPRZEDAŻ",UPPER(E219)="ZUŻYCIE"),-AF219,0)))))</f>
        <v/>
      </c>
      <c r="AJ219" s="21">
        <f>IF(UPPER(AD219)="SKORYGOWANY",0,IF(UPPER(E219)="ZAKUP",IF(L219&lt;&gt;"",L219,I219*K219),0))</f>
        <v/>
      </c>
      <c r="AK219" s="21">
        <f>IF(UPPER(AD219)="SKORYGOWANY",0,IF(UPPER(E219)="SPRZEDAŻ",IF(L219&lt;&gt;"",L219,I219*M219),0))</f>
        <v/>
      </c>
      <c r="AL219" s="21">
        <f>AE219*Q219</f>
        <v/>
      </c>
      <c r="AM219">
        <f>IF(R219="","",IF(LOWER(R219)="brak","Brak",IF(OR(ISNUMBER(SEARCH("własn",LOWER(R219))),ISNUMBER(SEARCH("wlasn",LOWER(R219))),ISNUMBER(SEARCH("wojciechowski",LOWER(R219)))),"Własny","Zewnętrzny")))</f>
        <v/>
      </c>
      <c r="AN219" s="24">
        <f>IF(C219="","",YEAR(C219))</f>
        <v/>
      </c>
      <c r="AO219" s="24">
        <f>IF(C219="","",MONTH(C219))</f>
        <v/>
      </c>
      <c r="AP219">
        <f>IF(C219="","",UPPER(TEXT(C219,"mmmm")))</f>
        <v/>
      </c>
      <c r="AQ219">
        <f>IF(C219="","","Q"&amp;ROUNDUP(MONTH(C219)/3,0))</f>
        <v/>
      </c>
    </row>
    <row r="220">
      <c r="A220" s="19" t="n">
        <v>46232</v>
      </c>
      <c r="C220" s="19" t="n">
        <v>46232</v>
      </c>
      <c r="D220" t="inlineStr">
        <is>
          <t>Magazyn Zabrze</t>
        </is>
      </c>
      <c r="E220" t="inlineStr">
        <is>
          <t>PRODUKCJA</t>
        </is>
      </c>
      <c r="F220" t="inlineStr">
        <is>
          <t>PZ/47</t>
        </is>
      </c>
      <c r="G220" t="inlineStr">
        <is>
          <t>TAK</t>
        </is>
      </c>
      <c r="H220" t="inlineStr">
        <is>
          <t>Deklaracja</t>
        </is>
      </c>
      <c r="I220" s="20" t="n">
        <v>24</v>
      </c>
      <c r="J220" t="inlineStr">
        <is>
          <t>MP</t>
        </is>
      </c>
      <c r="K220" s="21" t="n">
        <v>0</v>
      </c>
      <c r="L220" s="21" t="n">
        <v>0</v>
      </c>
      <c r="M220" s="21" t="n">
        <v>0</v>
      </c>
      <c r="N220" t="inlineStr">
        <is>
          <t>Zrębka Produkcyjna Leśna</t>
        </is>
      </c>
      <c r="O220" t="inlineStr">
        <is>
          <t>B</t>
        </is>
      </c>
      <c r="P220" t="inlineStr">
        <is>
          <t>własne</t>
        </is>
      </c>
      <c r="Q220" s="21" t="n">
        <v>10</v>
      </c>
      <c r="T220" s="22" t="n">
        <v>0</v>
      </c>
      <c r="U220" s="21" t="n">
        <v>0</v>
      </c>
      <c r="V220" s="21" t="n">
        <v>0</v>
      </c>
      <c r="W220" t="inlineStr">
        <is>
          <t>Magazyn Zabrze</t>
        </is>
      </c>
      <c r="Z220" t="inlineStr">
        <is>
          <t>Roesner Mateusz</t>
        </is>
      </c>
      <c r="AA220" s="23" t="n">
        <v>46237.45690972222</v>
      </c>
      <c r="AB220" t="inlineStr">
        <is>
          <t>OP-MIGR-00219</t>
        </is>
      </c>
      <c r="AD220" t="inlineStr">
        <is>
          <t>AKTYWNY</t>
        </is>
      </c>
      <c r="AE220" s="20">
        <f>IF(I220="",0,IF(ISNUMBER(SEARCH("MP",UPPER(J220))),I220,IF(ISNUMBER(SEARCH("TON",UPPER(J220))),I220/Przelicznik_MP_tona,IF(ISNUMBER(SEARCH("M3",UPPER(J220))),I220*Przelicznik_M3_MP,IF(ISNUMBER(SEARCH("GJ",UPPER(J220))),I220/Przelicznik_GJ_tona/Przelicznik_MP_tona,I220)))))</f>
        <v/>
      </c>
      <c r="AF220" s="20">
        <f>IF(I220="",0,IF(ISNUMBER(SEARCH("TON",UPPER(J220))),I220,IF(ISNUMBER(SEARCH("GJ",UPPER(J220))),I220/Przelicznik_GJ_tona,AE220*Przelicznik_MP_tona)))</f>
        <v/>
      </c>
      <c r="AG220" s="20">
        <f>AF220*Przelicznik_GJ_tona</f>
        <v/>
      </c>
      <c r="AH220" s="20">
        <f>IF(UPPER(AD220)="SKORYGOWANY",0,IF(OR(UPPER(E220)="TRANSPORT",UPPER(E220)="MM"),0,IF(UPPER(G220)&lt;&gt;"TAK",0,IF(OR(UPPER(E220)="ZAKUP",UPPER(E220)="PRODUKCJA"),AE220,IF(OR(UPPER(E220)="SPRZEDAŻ",UPPER(E220)="ZUŻYCIE"),-AE220,0)))))</f>
        <v/>
      </c>
      <c r="AI220" s="20">
        <f>IF(UPPER(AD220)="SKORYGOWANY",0,IF(OR(UPPER(E220)="TRANSPORT",UPPER(E220)="MM"),0,IF(UPPER(G220)&lt;&gt;"TAK",0,IF(OR(UPPER(E220)="ZAKUP",UPPER(E220)="PRODUKCJA"),AF220,IF(OR(UPPER(E220)="SPRZEDAŻ",UPPER(E220)="ZUŻYCIE"),-AF220,0)))))</f>
        <v/>
      </c>
      <c r="AJ220" s="21">
        <f>IF(UPPER(AD220)="SKORYGOWANY",0,IF(UPPER(E220)="ZAKUP",IF(L220&lt;&gt;"",L220,I220*K220),0))</f>
        <v/>
      </c>
      <c r="AK220" s="21">
        <f>IF(UPPER(AD220)="SKORYGOWANY",0,IF(UPPER(E220)="SPRZEDAŻ",IF(L220&lt;&gt;"",L220,I220*M220),0))</f>
        <v/>
      </c>
      <c r="AL220" s="21">
        <f>AE220*Q220</f>
        <v/>
      </c>
      <c r="AM220">
        <f>IF(R220="","",IF(LOWER(R220)="brak","Brak",IF(OR(ISNUMBER(SEARCH("własn",LOWER(R220))),ISNUMBER(SEARCH("wlasn",LOWER(R220))),ISNUMBER(SEARCH("wojciechowski",LOWER(R220)))),"Własny","Zewnętrzny")))</f>
        <v/>
      </c>
      <c r="AN220" s="24">
        <f>IF(C220="","",YEAR(C220))</f>
        <v/>
      </c>
      <c r="AO220" s="24">
        <f>IF(C220="","",MONTH(C220))</f>
        <v/>
      </c>
      <c r="AP220">
        <f>IF(C220="","",UPPER(TEXT(C220,"mmmm")))</f>
        <v/>
      </c>
      <c r="AQ220">
        <f>IF(C220="","","Q"&amp;ROUNDUP(MONTH(C220)/3,0))</f>
        <v/>
      </c>
    </row>
    <row r="221">
      <c r="A221" s="19" t="n">
        <v>46232</v>
      </c>
      <c r="C221" s="19" t="n">
        <v>46232</v>
      </c>
      <c r="D221" t="inlineStr">
        <is>
          <t>Magazyn Zabrze</t>
        </is>
      </c>
      <c r="E221" t="inlineStr">
        <is>
          <t>ZUŻYCIE</t>
        </is>
      </c>
      <c r="F221" t="inlineStr">
        <is>
          <t>PZ/47</t>
        </is>
      </c>
      <c r="G221" t="inlineStr">
        <is>
          <t>TAK</t>
        </is>
      </c>
      <c r="H221" t="inlineStr">
        <is>
          <t>Deklaracja</t>
        </is>
      </c>
      <c r="I221" s="20" t="n">
        <v>24</v>
      </c>
      <c r="J221" t="inlineStr">
        <is>
          <t>MP</t>
        </is>
      </c>
      <c r="K221" s="21" t="n">
        <v>0</v>
      </c>
      <c r="L221" s="21" t="n">
        <v>0</v>
      </c>
      <c r="M221" s="21" t="n">
        <v>0</v>
      </c>
      <c r="N221" t="inlineStr">
        <is>
          <t>Zrębka Produkcyjna Leśna</t>
        </is>
      </c>
      <c r="O221" t="inlineStr">
        <is>
          <t>B</t>
        </is>
      </c>
      <c r="P221" t="inlineStr">
        <is>
          <t>własne</t>
        </is>
      </c>
      <c r="Q221" s="21" t="n">
        <v>10</v>
      </c>
      <c r="T221" s="22" t="n">
        <v>0</v>
      </c>
      <c r="U221" s="21" t="n">
        <v>0</v>
      </c>
      <c r="V221" s="21" t="n">
        <v>0</v>
      </c>
      <c r="W221" t="inlineStr">
        <is>
          <t>Magazyn Zabrze</t>
        </is>
      </c>
      <c r="Y221" t="inlineStr">
        <is>
          <t>Automatyczne zużycie surowca do produkcji</t>
        </is>
      </c>
      <c r="AA221" s="23" t="n">
        <v>46237.45690972222</v>
      </c>
      <c r="AB221" t="inlineStr">
        <is>
          <t>OP-MIGR-00220</t>
        </is>
      </c>
      <c r="AD221" t="inlineStr">
        <is>
          <t>AKTYWNY</t>
        </is>
      </c>
      <c r="AE221" s="20">
        <f>IF(I221="",0,IF(ISNUMBER(SEARCH("MP",UPPER(J221))),I221,IF(ISNUMBER(SEARCH("TON",UPPER(J221))),I221/Przelicznik_MP_tona,IF(ISNUMBER(SEARCH("M3",UPPER(J221))),I221*Przelicznik_M3_MP,IF(ISNUMBER(SEARCH("GJ",UPPER(J221))),I221/Przelicznik_GJ_tona/Przelicznik_MP_tona,I221)))))</f>
        <v/>
      </c>
      <c r="AF221" s="20">
        <f>IF(I221="",0,IF(ISNUMBER(SEARCH("TON",UPPER(J221))),I221,IF(ISNUMBER(SEARCH("GJ",UPPER(J221))),I221/Przelicznik_GJ_tona,AE221*Przelicznik_MP_tona)))</f>
        <v/>
      </c>
      <c r="AG221" s="20">
        <f>AF221*Przelicznik_GJ_tona</f>
        <v/>
      </c>
      <c r="AH221" s="20">
        <f>IF(UPPER(AD221)="SKORYGOWANY",0,IF(OR(UPPER(E221)="TRANSPORT",UPPER(E221)="MM"),0,IF(UPPER(G221)&lt;&gt;"TAK",0,IF(OR(UPPER(E221)="ZAKUP",UPPER(E221)="PRODUKCJA"),AE221,IF(OR(UPPER(E221)="SPRZEDAŻ",UPPER(E221)="ZUŻYCIE"),-AE221,0)))))</f>
        <v/>
      </c>
      <c r="AI221" s="20">
        <f>IF(UPPER(AD221)="SKORYGOWANY",0,IF(OR(UPPER(E221)="TRANSPORT",UPPER(E221)="MM"),0,IF(UPPER(G221)&lt;&gt;"TAK",0,IF(OR(UPPER(E221)="ZAKUP",UPPER(E221)="PRODUKCJA"),AF221,IF(OR(UPPER(E221)="SPRZEDAŻ",UPPER(E221)="ZUŻYCIE"),-AF221,0)))))</f>
        <v/>
      </c>
      <c r="AJ221" s="21">
        <f>IF(UPPER(AD221)="SKORYGOWANY",0,IF(UPPER(E221)="ZAKUP",IF(L221&lt;&gt;"",L221,I221*K221),0))</f>
        <v/>
      </c>
      <c r="AK221" s="21">
        <f>IF(UPPER(AD221)="SKORYGOWANY",0,IF(UPPER(E221)="SPRZEDAŻ",IF(L221&lt;&gt;"",L221,I221*M221),0))</f>
        <v/>
      </c>
      <c r="AL221" s="21">
        <f>AE221*Q221</f>
        <v/>
      </c>
      <c r="AM221">
        <f>IF(R221="","",IF(LOWER(R221)="brak","Brak",IF(OR(ISNUMBER(SEARCH("własn",LOWER(R221))),ISNUMBER(SEARCH("wlasn",LOWER(R221))),ISNUMBER(SEARCH("wojciechowski",LOWER(R221)))),"Własny","Zewnętrzny")))</f>
        <v/>
      </c>
      <c r="AN221" s="24">
        <f>IF(C221="","",YEAR(C221))</f>
        <v/>
      </c>
      <c r="AO221" s="24">
        <f>IF(C221="","",MONTH(C221))</f>
        <v/>
      </c>
      <c r="AP221">
        <f>IF(C221="","",UPPER(TEXT(C221,"mmmm")))</f>
        <v/>
      </c>
      <c r="AQ221">
        <f>IF(C221="","","Q"&amp;ROUNDUP(MONTH(C221)/3,0))</f>
        <v/>
      </c>
    </row>
    <row r="222">
      <c r="A222" s="19" t="n">
        <v>46232</v>
      </c>
      <c r="B222" t="inlineStr">
        <is>
          <t>Chrzanów</t>
        </is>
      </c>
      <c r="C222" s="19" t="n">
        <v>46232</v>
      </c>
      <c r="D222" t="inlineStr">
        <is>
          <t>Magazyn Zabrze</t>
        </is>
      </c>
      <c r="E222" t="inlineStr">
        <is>
          <t>ZAKUP</t>
        </is>
      </c>
      <c r="F222" t="inlineStr">
        <is>
          <t>PZ/47  2/202624966/6107</t>
        </is>
      </c>
      <c r="G222" t="inlineStr">
        <is>
          <t>TAK</t>
        </is>
      </c>
      <c r="H222" t="inlineStr">
        <is>
          <t>Deklaracja</t>
        </is>
      </c>
      <c r="I222" s="20" t="n">
        <v>24</v>
      </c>
      <c r="J222" t="inlineStr">
        <is>
          <t>MP</t>
        </is>
      </c>
      <c r="K222" s="21" t="n">
        <v>0</v>
      </c>
      <c r="L222" s="21" t="n">
        <v>0</v>
      </c>
      <c r="M222" s="21" t="n">
        <v>0</v>
      </c>
      <c r="N222" t="inlineStr">
        <is>
          <t>Zrębka Produkcyjna Leśna</t>
        </is>
      </c>
      <c r="O222" t="inlineStr">
        <is>
          <t>B</t>
        </is>
      </c>
      <c r="Q222" s="21" t="n">
        <v>0</v>
      </c>
      <c r="R222" t="inlineStr">
        <is>
          <t>własny (Kretek)</t>
        </is>
      </c>
      <c r="S222" t="inlineStr">
        <is>
          <t>SK 7J885</t>
        </is>
      </c>
      <c r="T222" s="22" t="n">
        <v>200</v>
      </c>
      <c r="U222" s="21" t="n">
        <v>5</v>
      </c>
      <c r="V222" s="21" t="n">
        <v>1000</v>
      </c>
      <c r="W222" t="inlineStr">
        <is>
          <t>Magazyn Zabrze</t>
        </is>
      </c>
      <c r="Z222" t="inlineStr">
        <is>
          <t>Roesner Mateusz</t>
        </is>
      </c>
      <c r="AA222" s="23" t="n">
        <v>46237.45798611111</v>
      </c>
      <c r="AB222" t="inlineStr">
        <is>
          <t>OP-MIGR-00221</t>
        </is>
      </c>
      <c r="AD222" t="inlineStr">
        <is>
          <t>AKTYWNY</t>
        </is>
      </c>
      <c r="AE222" s="20">
        <f>IF(I222="",0,IF(ISNUMBER(SEARCH("MP",UPPER(J222))),I222,IF(ISNUMBER(SEARCH("TON",UPPER(J222))),I222/Przelicznik_MP_tona,IF(ISNUMBER(SEARCH("M3",UPPER(J222))),I222*Przelicznik_M3_MP,IF(ISNUMBER(SEARCH("GJ",UPPER(J222))),I222/Przelicznik_GJ_tona/Przelicznik_MP_tona,I222)))))</f>
        <v/>
      </c>
      <c r="AF222" s="20">
        <f>IF(I222="",0,IF(ISNUMBER(SEARCH("TON",UPPER(J222))),I222,IF(ISNUMBER(SEARCH("GJ",UPPER(J222))),I222/Przelicznik_GJ_tona,AE222*Przelicznik_MP_tona)))</f>
        <v/>
      </c>
      <c r="AG222" s="20">
        <f>AF222*Przelicznik_GJ_tona</f>
        <v/>
      </c>
      <c r="AH222" s="20">
        <f>IF(UPPER(AD222)="SKORYGOWANY",0,IF(OR(UPPER(E222)="TRANSPORT",UPPER(E222)="MM"),0,IF(UPPER(G222)&lt;&gt;"TAK",0,IF(OR(UPPER(E222)="ZAKUP",UPPER(E222)="PRODUKCJA"),AE222,IF(OR(UPPER(E222)="SPRZEDAŻ",UPPER(E222)="ZUŻYCIE"),-AE222,0)))))</f>
        <v/>
      </c>
      <c r="AI222" s="20">
        <f>IF(UPPER(AD222)="SKORYGOWANY",0,IF(OR(UPPER(E222)="TRANSPORT",UPPER(E222)="MM"),0,IF(UPPER(G222)&lt;&gt;"TAK",0,IF(OR(UPPER(E222)="ZAKUP",UPPER(E222)="PRODUKCJA"),AF222,IF(OR(UPPER(E222)="SPRZEDAŻ",UPPER(E222)="ZUŻYCIE"),-AF222,0)))))</f>
        <v/>
      </c>
      <c r="AJ222" s="21">
        <f>IF(UPPER(AD222)="SKORYGOWANY",0,IF(UPPER(E222)="ZAKUP",IF(L222&lt;&gt;"",L222,I222*K222),0))</f>
        <v/>
      </c>
      <c r="AK222" s="21">
        <f>IF(UPPER(AD222)="SKORYGOWANY",0,IF(UPPER(E222)="SPRZEDAŻ",IF(L222&lt;&gt;"",L222,I222*M222),0))</f>
        <v/>
      </c>
      <c r="AL222" s="21">
        <f>AE222*Q222</f>
        <v/>
      </c>
      <c r="AM222">
        <f>IF(R222="","",IF(LOWER(R222)="brak","Brak",IF(OR(ISNUMBER(SEARCH("własn",LOWER(R222))),ISNUMBER(SEARCH("wlasn",LOWER(R222))),ISNUMBER(SEARCH("wojciechowski",LOWER(R222)))),"Własny","Zewnętrzny")))</f>
        <v/>
      </c>
      <c r="AN222" s="24">
        <f>IF(C222="","",YEAR(C222))</f>
        <v/>
      </c>
      <c r="AO222" s="24">
        <f>IF(C222="","",MONTH(C222))</f>
        <v/>
      </c>
      <c r="AP222">
        <f>IF(C222="","",UPPER(TEXT(C222,"mmmm")))</f>
        <v/>
      </c>
      <c r="AQ222">
        <f>IF(C222="","","Q"&amp;ROUNDUP(MONTH(C222)/3,0))</f>
        <v/>
      </c>
    </row>
    <row r="223">
      <c r="A223" s="19" t="n">
        <v>46232</v>
      </c>
      <c r="C223" s="19" t="n">
        <v>46232</v>
      </c>
      <c r="D223" t="inlineStr">
        <is>
          <t>NDL Chrzanów, Leśnictwo Chełmek</t>
        </is>
      </c>
      <c r="E223" t="inlineStr">
        <is>
          <t>ZAKUP</t>
        </is>
      </c>
      <c r="F223" t="inlineStr">
        <is>
          <t>PZ/48</t>
        </is>
      </c>
      <c r="G223" t="inlineStr">
        <is>
          <t>TAK</t>
        </is>
      </c>
      <c r="H223" t="inlineStr">
        <is>
          <t>Deklaracja</t>
        </is>
      </c>
      <c r="I223" s="20" t="n">
        <v>20.1</v>
      </c>
      <c r="J223" t="inlineStr">
        <is>
          <t>M3</t>
        </is>
      </c>
      <c r="K223" s="21" t="n">
        <v>141</v>
      </c>
      <c r="L223" s="21" t="n">
        <v>2834.1</v>
      </c>
      <c r="M223" s="21" t="n">
        <v>0</v>
      </c>
      <c r="N223" t="inlineStr">
        <is>
          <t>Drewno opałowe z lasu</t>
        </is>
      </c>
      <c r="O223" t="inlineStr">
        <is>
          <t>B</t>
        </is>
      </c>
      <c r="Q223" s="21" t="n">
        <v>0</v>
      </c>
      <c r="T223" s="22" t="n">
        <v>0</v>
      </c>
      <c r="U223" s="21" t="n">
        <v>0</v>
      </c>
      <c r="V223" s="21" t="n">
        <v>0</v>
      </c>
      <c r="W223" t="inlineStr">
        <is>
          <t>Magazyn Zabrze</t>
        </is>
      </c>
      <c r="Z223" t="inlineStr">
        <is>
          <t>Roesner Mateusz</t>
        </is>
      </c>
      <c r="AA223" s="23" t="n">
        <v>46237.46012731481</v>
      </c>
      <c r="AB223" t="inlineStr">
        <is>
          <t>OP-MIGR-00222</t>
        </is>
      </c>
      <c r="AD223" t="inlineStr">
        <is>
          <t>AKTYWNY</t>
        </is>
      </c>
      <c r="AE223" s="20">
        <f>IF(I223="",0,IF(ISNUMBER(SEARCH("MP",UPPER(J223))),I223,IF(ISNUMBER(SEARCH("TON",UPPER(J223))),I223/Przelicznik_MP_tona,IF(ISNUMBER(SEARCH("M3",UPPER(J223))),I223*Przelicznik_M3_MP,IF(ISNUMBER(SEARCH("GJ",UPPER(J223))),I223/Przelicznik_GJ_tona/Przelicznik_MP_tona,I223)))))</f>
        <v/>
      </c>
      <c r="AF223" s="20">
        <f>IF(I223="",0,IF(ISNUMBER(SEARCH("TON",UPPER(J223))),I223,IF(ISNUMBER(SEARCH("GJ",UPPER(J223))),I223/Przelicznik_GJ_tona,AE223*Przelicznik_MP_tona)))</f>
        <v/>
      </c>
      <c r="AG223" s="20">
        <f>AF223*Przelicznik_GJ_tona</f>
        <v/>
      </c>
      <c r="AH223" s="20">
        <f>IF(UPPER(AD223)="SKORYGOWANY",0,IF(OR(UPPER(E223)="TRANSPORT",UPPER(E223)="MM"),0,IF(UPPER(G223)&lt;&gt;"TAK",0,IF(OR(UPPER(E223)="ZAKUP",UPPER(E223)="PRODUKCJA"),AE223,IF(OR(UPPER(E223)="SPRZEDAŻ",UPPER(E223)="ZUŻYCIE"),-AE223,0)))))</f>
        <v/>
      </c>
      <c r="AI223" s="20">
        <f>IF(UPPER(AD223)="SKORYGOWANY",0,IF(OR(UPPER(E223)="TRANSPORT",UPPER(E223)="MM"),0,IF(UPPER(G223)&lt;&gt;"TAK",0,IF(OR(UPPER(E223)="ZAKUP",UPPER(E223)="PRODUKCJA"),AF223,IF(OR(UPPER(E223)="SPRZEDAŻ",UPPER(E223)="ZUŻYCIE"),-AF223,0)))))</f>
        <v/>
      </c>
      <c r="AJ223" s="21">
        <f>IF(UPPER(AD223)="SKORYGOWANY",0,IF(UPPER(E223)="ZAKUP",IF(L223&lt;&gt;"",L223,I223*K223),0))</f>
        <v/>
      </c>
      <c r="AK223" s="21">
        <f>IF(UPPER(AD223)="SKORYGOWANY",0,IF(UPPER(E223)="SPRZEDAŻ",IF(L223&lt;&gt;"",L223,I223*M223),0))</f>
        <v/>
      </c>
      <c r="AL223" s="21">
        <f>AE223*Q223</f>
        <v/>
      </c>
      <c r="AM223">
        <f>IF(R223="","",IF(LOWER(R223)="brak","Brak",IF(OR(ISNUMBER(SEARCH("własn",LOWER(R223))),ISNUMBER(SEARCH("wlasn",LOWER(R223))),ISNUMBER(SEARCH("wojciechowski",LOWER(R223)))),"Własny","Zewnętrzny")))</f>
        <v/>
      </c>
      <c r="AN223" s="24">
        <f>IF(C223="","",YEAR(C223))</f>
        <v/>
      </c>
      <c r="AO223" s="24">
        <f>IF(C223="","",MONTH(C223))</f>
        <v/>
      </c>
      <c r="AP223">
        <f>IF(C223="","",UPPER(TEXT(C223,"mmmm")))</f>
        <v/>
      </c>
      <c r="AQ223">
        <f>IF(C223="","","Q"&amp;ROUNDUP(MONTH(C223)/3,0))</f>
        <v/>
      </c>
    </row>
    <row r="224">
      <c r="A224" s="19" t="n">
        <v>46232</v>
      </c>
      <c r="C224" s="19" t="n">
        <v>46232</v>
      </c>
      <c r="D224" t="inlineStr">
        <is>
          <t>Magazyn Zabrze</t>
        </is>
      </c>
      <c r="E224" t="inlineStr">
        <is>
          <t>PRODUKCJA</t>
        </is>
      </c>
      <c r="F224" t="inlineStr">
        <is>
          <t>PZ/48</t>
        </is>
      </c>
      <c r="G224" t="inlineStr">
        <is>
          <t>TAK</t>
        </is>
      </c>
      <c r="H224" t="inlineStr">
        <is>
          <t>Deklaracja</t>
        </is>
      </c>
      <c r="I224" s="20" t="n">
        <v>80.40000000000001</v>
      </c>
      <c r="J224" t="inlineStr">
        <is>
          <t>MP</t>
        </is>
      </c>
      <c r="K224" s="21" t="n">
        <v>0</v>
      </c>
      <c r="L224" s="21" t="n">
        <v>0</v>
      </c>
      <c r="M224" s="21" t="n">
        <v>0</v>
      </c>
      <c r="N224" t="inlineStr">
        <is>
          <t>Zrębka Produkcyjna Leśna</t>
        </is>
      </c>
      <c r="O224" t="inlineStr">
        <is>
          <t>B</t>
        </is>
      </c>
      <c r="P224" t="inlineStr">
        <is>
          <t>własne</t>
        </is>
      </c>
      <c r="Q224" s="21" t="n">
        <v>10</v>
      </c>
      <c r="T224" s="22" t="n">
        <v>0</v>
      </c>
      <c r="U224" s="21" t="n">
        <v>0</v>
      </c>
      <c r="V224" s="21" t="n">
        <v>0</v>
      </c>
      <c r="W224" t="inlineStr">
        <is>
          <t>Magazyn Zabrze</t>
        </is>
      </c>
      <c r="Z224" t="inlineStr">
        <is>
          <t>Roesner Mateusz</t>
        </is>
      </c>
      <c r="AA224" s="23" t="n">
        <v>46237.46097222222</v>
      </c>
      <c r="AB224" t="inlineStr">
        <is>
          <t>OP-MIGR-00223</t>
        </is>
      </c>
      <c r="AD224" t="inlineStr">
        <is>
          <t>AKTYWNY</t>
        </is>
      </c>
      <c r="AE224" s="20">
        <f>IF(I224="",0,IF(ISNUMBER(SEARCH("MP",UPPER(J224))),I224,IF(ISNUMBER(SEARCH("TON",UPPER(J224))),I224/Przelicznik_MP_tona,IF(ISNUMBER(SEARCH("M3",UPPER(J224))),I224*Przelicznik_M3_MP,IF(ISNUMBER(SEARCH("GJ",UPPER(J224))),I224/Przelicznik_GJ_tona/Przelicznik_MP_tona,I224)))))</f>
        <v/>
      </c>
      <c r="AF224" s="20">
        <f>IF(I224="",0,IF(ISNUMBER(SEARCH("TON",UPPER(J224))),I224,IF(ISNUMBER(SEARCH("GJ",UPPER(J224))),I224/Przelicznik_GJ_tona,AE224*Przelicznik_MP_tona)))</f>
        <v/>
      </c>
      <c r="AG224" s="20">
        <f>AF224*Przelicznik_GJ_tona</f>
        <v/>
      </c>
      <c r="AH224" s="20">
        <f>IF(UPPER(AD224)="SKORYGOWANY",0,IF(OR(UPPER(E224)="TRANSPORT",UPPER(E224)="MM"),0,IF(UPPER(G224)&lt;&gt;"TAK",0,IF(OR(UPPER(E224)="ZAKUP",UPPER(E224)="PRODUKCJA"),AE224,IF(OR(UPPER(E224)="SPRZEDAŻ",UPPER(E224)="ZUŻYCIE"),-AE224,0)))))</f>
        <v/>
      </c>
      <c r="AI224" s="20">
        <f>IF(UPPER(AD224)="SKORYGOWANY",0,IF(OR(UPPER(E224)="TRANSPORT",UPPER(E224)="MM"),0,IF(UPPER(G224)&lt;&gt;"TAK",0,IF(OR(UPPER(E224)="ZAKUP",UPPER(E224)="PRODUKCJA"),AF224,IF(OR(UPPER(E224)="SPRZEDAŻ",UPPER(E224)="ZUŻYCIE"),-AF224,0)))))</f>
        <v/>
      </c>
      <c r="AJ224" s="21">
        <f>IF(UPPER(AD224)="SKORYGOWANY",0,IF(UPPER(E224)="ZAKUP",IF(L224&lt;&gt;"",L224,I224*K224),0))</f>
        <v/>
      </c>
      <c r="AK224" s="21">
        <f>IF(UPPER(AD224)="SKORYGOWANY",0,IF(UPPER(E224)="SPRZEDAŻ",IF(L224&lt;&gt;"",L224,I224*M224),0))</f>
        <v/>
      </c>
      <c r="AL224" s="21">
        <f>AE224*Q224</f>
        <v/>
      </c>
      <c r="AM224">
        <f>IF(R224="","",IF(LOWER(R224)="brak","Brak",IF(OR(ISNUMBER(SEARCH("własn",LOWER(R224))),ISNUMBER(SEARCH("wlasn",LOWER(R224))),ISNUMBER(SEARCH("wojciechowski",LOWER(R224)))),"Własny","Zewnętrzny")))</f>
        <v/>
      </c>
      <c r="AN224" s="24">
        <f>IF(C224="","",YEAR(C224))</f>
        <v/>
      </c>
      <c r="AO224" s="24">
        <f>IF(C224="","",MONTH(C224))</f>
        <v/>
      </c>
      <c r="AP224">
        <f>IF(C224="","",UPPER(TEXT(C224,"mmmm")))</f>
        <v/>
      </c>
      <c r="AQ224">
        <f>IF(C224="","","Q"&amp;ROUNDUP(MONTH(C224)/3,0))</f>
        <v/>
      </c>
    </row>
    <row r="225">
      <c r="A225" s="19" t="n">
        <v>46232</v>
      </c>
      <c r="C225" s="19" t="n">
        <v>46232</v>
      </c>
      <c r="D225" t="inlineStr">
        <is>
          <t>Magazyn Zabrze</t>
        </is>
      </c>
      <c r="E225" t="inlineStr">
        <is>
          <t>ZUŻYCIE</t>
        </is>
      </c>
      <c r="F225" t="inlineStr">
        <is>
          <t>PZ/48</t>
        </is>
      </c>
      <c r="G225" t="inlineStr">
        <is>
          <t>TAK</t>
        </is>
      </c>
      <c r="H225" t="inlineStr">
        <is>
          <t>Deklaracja</t>
        </is>
      </c>
      <c r="I225" s="20" t="n">
        <v>80.40000000000001</v>
      </c>
      <c r="J225" t="inlineStr">
        <is>
          <t>MP</t>
        </is>
      </c>
      <c r="K225" s="21" t="n">
        <v>0</v>
      </c>
      <c r="L225" s="21" t="n">
        <v>0</v>
      </c>
      <c r="M225" s="21" t="n">
        <v>0</v>
      </c>
      <c r="N225" t="inlineStr">
        <is>
          <t>Zrębka Produkcyjna Leśna</t>
        </is>
      </c>
      <c r="O225" t="inlineStr">
        <is>
          <t>B</t>
        </is>
      </c>
      <c r="P225" t="inlineStr">
        <is>
          <t>własne</t>
        </is>
      </c>
      <c r="Q225" s="21" t="n">
        <v>10</v>
      </c>
      <c r="T225" s="22" t="n">
        <v>0</v>
      </c>
      <c r="U225" s="21" t="n">
        <v>0</v>
      </c>
      <c r="V225" s="21" t="n">
        <v>0</v>
      </c>
      <c r="W225" t="inlineStr">
        <is>
          <t>Magazyn Zabrze</t>
        </is>
      </c>
      <c r="Y225" t="inlineStr">
        <is>
          <t>Automatyczne zużycie surowca do produkcji</t>
        </is>
      </c>
      <c r="AA225" s="23" t="n">
        <v>46237.46097222222</v>
      </c>
      <c r="AB225" t="inlineStr">
        <is>
          <t>OP-MIGR-00224</t>
        </is>
      </c>
      <c r="AD225" t="inlineStr">
        <is>
          <t>AKTYWNY</t>
        </is>
      </c>
      <c r="AE225" s="20">
        <f>IF(I225="",0,IF(ISNUMBER(SEARCH("MP",UPPER(J225))),I225,IF(ISNUMBER(SEARCH("TON",UPPER(J225))),I225/Przelicznik_MP_tona,IF(ISNUMBER(SEARCH("M3",UPPER(J225))),I225*Przelicznik_M3_MP,IF(ISNUMBER(SEARCH("GJ",UPPER(J225))),I225/Przelicznik_GJ_tona/Przelicznik_MP_tona,I225)))))</f>
        <v/>
      </c>
      <c r="AF225" s="20">
        <f>IF(I225="",0,IF(ISNUMBER(SEARCH("TON",UPPER(J225))),I225,IF(ISNUMBER(SEARCH("GJ",UPPER(J225))),I225/Przelicznik_GJ_tona,AE225*Przelicznik_MP_tona)))</f>
        <v/>
      </c>
      <c r="AG225" s="20">
        <f>AF225*Przelicznik_GJ_tona</f>
        <v/>
      </c>
      <c r="AH225" s="20">
        <f>IF(UPPER(AD225)="SKORYGOWANY",0,IF(OR(UPPER(E225)="TRANSPORT",UPPER(E225)="MM"),0,IF(UPPER(G225)&lt;&gt;"TAK",0,IF(OR(UPPER(E225)="ZAKUP",UPPER(E225)="PRODUKCJA"),AE225,IF(OR(UPPER(E225)="SPRZEDAŻ",UPPER(E225)="ZUŻYCIE"),-AE225,0)))))</f>
        <v/>
      </c>
      <c r="AI225" s="20">
        <f>IF(UPPER(AD225)="SKORYGOWANY",0,IF(OR(UPPER(E225)="TRANSPORT",UPPER(E225)="MM"),0,IF(UPPER(G225)&lt;&gt;"TAK",0,IF(OR(UPPER(E225)="ZAKUP",UPPER(E225)="PRODUKCJA"),AF225,IF(OR(UPPER(E225)="SPRZEDAŻ",UPPER(E225)="ZUŻYCIE"),-AF225,0)))))</f>
        <v/>
      </c>
      <c r="AJ225" s="21">
        <f>IF(UPPER(AD225)="SKORYGOWANY",0,IF(UPPER(E225)="ZAKUP",IF(L225&lt;&gt;"",L225,I225*K225),0))</f>
        <v/>
      </c>
      <c r="AK225" s="21">
        <f>IF(UPPER(AD225)="SKORYGOWANY",0,IF(UPPER(E225)="SPRZEDAŻ",IF(L225&lt;&gt;"",L225,I225*M225),0))</f>
        <v/>
      </c>
      <c r="AL225" s="21">
        <f>AE225*Q225</f>
        <v/>
      </c>
      <c r="AM225">
        <f>IF(R225="","",IF(LOWER(R225)="brak","Brak",IF(OR(ISNUMBER(SEARCH("własn",LOWER(R225))),ISNUMBER(SEARCH("wlasn",LOWER(R225))),ISNUMBER(SEARCH("wojciechowski",LOWER(R225)))),"Własny","Zewnętrzny")))</f>
        <v/>
      </c>
      <c r="AN225" s="24">
        <f>IF(C225="","",YEAR(C225))</f>
        <v/>
      </c>
      <c r="AO225" s="24">
        <f>IF(C225="","",MONTH(C225))</f>
        <v/>
      </c>
      <c r="AP225">
        <f>IF(C225="","",UPPER(TEXT(C225,"mmmm")))</f>
        <v/>
      </c>
      <c r="AQ225">
        <f>IF(C225="","","Q"&amp;ROUNDUP(MONTH(C225)/3,0))</f>
        <v/>
      </c>
    </row>
    <row r="226">
      <c r="A226" s="19" t="n">
        <v>46232</v>
      </c>
      <c r="B226" t="inlineStr">
        <is>
          <t>Chrzanów</t>
        </is>
      </c>
      <c r="C226" s="19" t="n">
        <v>46232</v>
      </c>
      <c r="D226" t="inlineStr">
        <is>
          <t>Magazyn Zabrze</t>
        </is>
      </c>
      <c r="E226" t="inlineStr">
        <is>
          <t>ZAKUP</t>
        </is>
      </c>
      <c r="F226" t="inlineStr">
        <is>
          <t>PZ/478 2/202624966/6106</t>
        </is>
      </c>
      <c r="G226" t="inlineStr">
        <is>
          <t>TAK</t>
        </is>
      </c>
      <c r="H226" t="inlineStr">
        <is>
          <t>Deklaracja</t>
        </is>
      </c>
      <c r="I226" s="20" t="n">
        <v>80.40000000000001</v>
      </c>
      <c r="J226" t="inlineStr">
        <is>
          <t>MP</t>
        </is>
      </c>
      <c r="K226" s="21" t="n">
        <v>0</v>
      </c>
      <c r="L226" s="21" t="n">
        <v>0</v>
      </c>
      <c r="M226" s="21" t="n">
        <v>0</v>
      </c>
      <c r="N226" t="inlineStr">
        <is>
          <t>Zrębka Produkcyjna Leśna</t>
        </is>
      </c>
      <c r="O226" t="inlineStr">
        <is>
          <t>B</t>
        </is>
      </c>
      <c r="Q226" s="21" t="n">
        <v>0</v>
      </c>
      <c r="R226" t="inlineStr">
        <is>
          <t>własny (Wilczak)</t>
        </is>
      </c>
      <c r="S226" t="inlineStr">
        <is>
          <t>SK 7J884</t>
        </is>
      </c>
      <c r="T226" s="22" t="n">
        <v>200</v>
      </c>
      <c r="U226" s="21" t="n">
        <v>5</v>
      </c>
      <c r="V226" s="21" t="n">
        <v>1000</v>
      </c>
      <c r="W226" t="inlineStr">
        <is>
          <t>Magazyn Zabrze</t>
        </is>
      </c>
      <c r="Z226" t="inlineStr">
        <is>
          <t>Roesner Mateusz</t>
        </is>
      </c>
      <c r="AA226" s="23" t="n">
        <v>46237.46202546296</v>
      </c>
      <c r="AB226" t="inlineStr">
        <is>
          <t>OP-MIGR-00225</t>
        </is>
      </c>
      <c r="AD226" t="inlineStr">
        <is>
          <t>AKTYWNY</t>
        </is>
      </c>
      <c r="AE226" s="20">
        <f>IF(I226="",0,IF(ISNUMBER(SEARCH("MP",UPPER(J226))),I226,IF(ISNUMBER(SEARCH("TON",UPPER(J226))),I226/Przelicznik_MP_tona,IF(ISNUMBER(SEARCH("M3",UPPER(J226))),I226*Przelicznik_M3_MP,IF(ISNUMBER(SEARCH("GJ",UPPER(J226))),I226/Przelicznik_GJ_tona/Przelicznik_MP_tona,I226)))))</f>
        <v/>
      </c>
      <c r="AF226" s="20">
        <f>IF(I226="",0,IF(ISNUMBER(SEARCH("TON",UPPER(J226))),I226,IF(ISNUMBER(SEARCH("GJ",UPPER(J226))),I226/Przelicznik_GJ_tona,AE226*Przelicznik_MP_tona)))</f>
        <v/>
      </c>
      <c r="AG226" s="20">
        <f>AF226*Przelicznik_GJ_tona</f>
        <v/>
      </c>
      <c r="AH226" s="20">
        <f>IF(UPPER(AD226)="SKORYGOWANY",0,IF(OR(UPPER(E226)="TRANSPORT",UPPER(E226)="MM"),0,IF(UPPER(G226)&lt;&gt;"TAK",0,IF(OR(UPPER(E226)="ZAKUP",UPPER(E226)="PRODUKCJA"),AE226,IF(OR(UPPER(E226)="SPRZEDAŻ",UPPER(E226)="ZUŻYCIE"),-AE226,0)))))</f>
        <v/>
      </c>
      <c r="AI226" s="20">
        <f>IF(UPPER(AD226)="SKORYGOWANY",0,IF(OR(UPPER(E226)="TRANSPORT",UPPER(E226)="MM"),0,IF(UPPER(G226)&lt;&gt;"TAK",0,IF(OR(UPPER(E226)="ZAKUP",UPPER(E226)="PRODUKCJA"),AF226,IF(OR(UPPER(E226)="SPRZEDAŻ",UPPER(E226)="ZUŻYCIE"),-AF226,0)))))</f>
        <v/>
      </c>
      <c r="AJ226" s="21">
        <f>IF(UPPER(AD226)="SKORYGOWANY",0,IF(UPPER(E226)="ZAKUP",IF(L226&lt;&gt;"",L226,I226*K226),0))</f>
        <v/>
      </c>
      <c r="AK226" s="21">
        <f>IF(UPPER(AD226)="SKORYGOWANY",0,IF(UPPER(E226)="SPRZEDAŻ",IF(L226&lt;&gt;"",L226,I226*M226),0))</f>
        <v/>
      </c>
      <c r="AL226" s="21">
        <f>AE226*Q226</f>
        <v/>
      </c>
      <c r="AM226">
        <f>IF(R226="","",IF(LOWER(R226)="brak","Brak",IF(OR(ISNUMBER(SEARCH("własn",LOWER(R226))),ISNUMBER(SEARCH("wlasn",LOWER(R226))),ISNUMBER(SEARCH("wojciechowski",LOWER(R226)))),"Własny","Zewnętrzny")))</f>
        <v/>
      </c>
      <c r="AN226" s="24">
        <f>IF(C226="","",YEAR(C226))</f>
        <v/>
      </c>
      <c r="AO226" s="24">
        <f>IF(C226="","",MONTH(C226))</f>
        <v/>
      </c>
      <c r="AP226">
        <f>IF(C226="","",UPPER(TEXT(C226,"mmmm")))</f>
        <v/>
      </c>
      <c r="AQ226">
        <f>IF(C226="","","Q"&amp;ROUNDUP(MONTH(C226)/3,0))</f>
        <v/>
      </c>
    </row>
    <row r="227">
      <c r="A227" s="19" t="n">
        <v>46232</v>
      </c>
      <c r="C227" s="19" t="n">
        <v>46232</v>
      </c>
      <c r="D227" t="inlineStr">
        <is>
          <t>Lander Agro</t>
        </is>
      </c>
      <c r="E227" t="inlineStr">
        <is>
          <t>ZAKUP</t>
        </is>
      </c>
      <c r="F227" t="inlineStr">
        <is>
          <t>PZ/26/D</t>
        </is>
      </c>
      <c r="G227" t="inlineStr">
        <is>
          <t>TAK</t>
        </is>
      </c>
      <c r="H227" t="inlineStr">
        <is>
          <t>KZR</t>
        </is>
      </c>
      <c r="I227" s="20" t="n">
        <v>29.55</v>
      </c>
      <c r="J227" t="inlineStr">
        <is>
          <t>M3</t>
        </is>
      </c>
      <c r="K227" s="21" t="n">
        <v>230</v>
      </c>
      <c r="L227" s="21" t="n">
        <v>6796.5</v>
      </c>
      <c r="M227" s="21" t="n">
        <v>0</v>
      </c>
      <c r="N227" t="inlineStr">
        <is>
          <t>Drewno opałowe z lasu</t>
        </is>
      </c>
      <c r="Q227" s="21" t="n">
        <v>0</v>
      </c>
      <c r="T227" s="22" t="n">
        <v>0</v>
      </c>
      <c r="U227" s="21" t="n">
        <v>0</v>
      </c>
      <c r="V227" s="21" t="n">
        <v>0</v>
      </c>
      <c r="W227" t="inlineStr">
        <is>
          <t>Magazyn Zabrze</t>
        </is>
      </c>
      <c r="Y227" t="inlineStr">
        <is>
          <t>Waga b/d</t>
        </is>
      </c>
      <c r="Z227" t="inlineStr">
        <is>
          <t>Roesner Mateusz</t>
        </is>
      </c>
      <c r="AA227" s="23" t="n">
        <v>46237.48043981481</v>
      </c>
      <c r="AB227" t="inlineStr">
        <is>
          <t>OP-MIGR-00226</t>
        </is>
      </c>
      <c r="AD227" t="inlineStr">
        <is>
          <t>AKTYWNY</t>
        </is>
      </c>
      <c r="AE227" s="20">
        <f>IF(I227="",0,IF(ISNUMBER(SEARCH("MP",UPPER(J227))),I227,IF(ISNUMBER(SEARCH("TON",UPPER(J227))),I227/Przelicznik_MP_tona,IF(ISNUMBER(SEARCH("M3",UPPER(J227))),I227*Przelicznik_M3_MP,IF(ISNUMBER(SEARCH("GJ",UPPER(J227))),I227/Przelicznik_GJ_tona/Przelicznik_MP_tona,I227)))))</f>
        <v/>
      </c>
      <c r="AF227" s="20">
        <f>IF(I227="",0,IF(ISNUMBER(SEARCH("TON",UPPER(J227))),I227,IF(ISNUMBER(SEARCH("GJ",UPPER(J227))),I227/Przelicznik_GJ_tona,AE227*Przelicznik_MP_tona)))</f>
        <v/>
      </c>
      <c r="AG227" s="20">
        <f>AF227*Przelicznik_GJ_tona</f>
        <v/>
      </c>
      <c r="AH227" s="20">
        <f>IF(UPPER(AD227)="SKORYGOWANY",0,IF(OR(UPPER(E227)="TRANSPORT",UPPER(E227)="MM"),0,IF(UPPER(G227)&lt;&gt;"TAK",0,IF(OR(UPPER(E227)="ZAKUP",UPPER(E227)="PRODUKCJA"),AE227,IF(OR(UPPER(E227)="SPRZEDAŻ",UPPER(E227)="ZUŻYCIE"),-AE227,0)))))</f>
        <v/>
      </c>
      <c r="AI227" s="20">
        <f>IF(UPPER(AD227)="SKORYGOWANY",0,IF(OR(UPPER(E227)="TRANSPORT",UPPER(E227)="MM"),0,IF(UPPER(G227)&lt;&gt;"TAK",0,IF(OR(UPPER(E227)="ZAKUP",UPPER(E227)="PRODUKCJA"),AF227,IF(OR(UPPER(E227)="SPRZEDAŻ",UPPER(E227)="ZUŻYCIE"),-AF227,0)))))</f>
        <v/>
      </c>
      <c r="AJ227" s="21">
        <f>IF(UPPER(AD227)="SKORYGOWANY",0,IF(UPPER(E227)="ZAKUP",IF(L227&lt;&gt;"",L227,I227*K227),0))</f>
        <v/>
      </c>
      <c r="AK227" s="21">
        <f>IF(UPPER(AD227)="SKORYGOWANY",0,IF(UPPER(E227)="SPRZEDAŻ",IF(L227&lt;&gt;"",L227,I227*M227),0))</f>
        <v/>
      </c>
      <c r="AL227" s="21">
        <f>AE227*Q227</f>
        <v/>
      </c>
      <c r="AM227">
        <f>IF(R227="","",IF(LOWER(R227)="brak","Brak",IF(OR(ISNUMBER(SEARCH("własn",LOWER(R227))),ISNUMBER(SEARCH("wlasn",LOWER(R227))),ISNUMBER(SEARCH("wojciechowski",LOWER(R227)))),"Własny","Zewnętrzny")))</f>
        <v/>
      </c>
      <c r="AN227" s="24">
        <f>IF(C227="","",YEAR(C227))</f>
        <v/>
      </c>
      <c r="AO227" s="24">
        <f>IF(C227="","",MONTH(C227))</f>
        <v/>
      </c>
      <c r="AP227">
        <f>IF(C227="","",UPPER(TEXT(C227,"mmmm")))</f>
        <v/>
      </c>
      <c r="AQ227">
        <f>IF(C227="","","Q"&amp;ROUNDUP(MONTH(C227)/3,0))</f>
        <v/>
      </c>
    </row>
    <row r="228">
      <c r="A228" s="19" t="n">
        <v>46232</v>
      </c>
      <c r="C228" s="19" t="n">
        <v>46232</v>
      </c>
      <c r="D228" t="inlineStr">
        <is>
          <t>Lander Agro</t>
        </is>
      </c>
      <c r="E228" t="inlineStr">
        <is>
          <t>ZAKUP</t>
        </is>
      </c>
      <c r="F228" t="inlineStr">
        <is>
          <t>PZ/27/D</t>
        </is>
      </c>
      <c r="G228" t="inlineStr">
        <is>
          <t>TAK</t>
        </is>
      </c>
      <c r="H228" t="inlineStr">
        <is>
          <t>KZR</t>
        </is>
      </c>
      <c r="I228" s="20" t="n">
        <v>30</v>
      </c>
      <c r="J228" t="inlineStr">
        <is>
          <t>M3</t>
        </is>
      </c>
      <c r="K228" s="21" t="n">
        <v>230</v>
      </c>
      <c r="L228" s="21" t="n">
        <v>6900</v>
      </c>
      <c r="M228" s="21" t="n">
        <v>0</v>
      </c>
      <c r="N228" t="inlineStr">
        <is>
          <t>Drewno opałowe z lasu</t>
        </is>
      </c>
      <c r="O228" t="inlineStr">
        <is>
          <t>B</t>
        </is>
      </c>
      <c r="Q228" s="21" t="n">
        <v>0</v>
      </c>
      <c r="T228" s="22" t="n">
        <v>0</v>
      </c>
      <c r="U228" s="21" t="n">
        <v>0</v>
      </c>
      <c r="V228" s="21" t="n">
        <v>0</v>
      </c>
      <c r="W228" t="inlineStr">
        <is>
          <t>Magazyn Zabrze</t>
        </is>
      </c>
      <c r="Y228" t="inlineStr">
        <is>
          <t>Waga b/d</t>
        </is>
      </c>
      <c r="Z228" t="inlineStr">
        <is>
          <t>Roesner Mateusz</t>
        </is>
      </c>
      <c r="AA228" s="23" t="n">
        <v>46237.48278935185</v>
      </c>
      <c r="AB228" t="inlineStr">
        <is>
          <t>OP-MIGR-00227</t>
        </is>
      </c>
      <c r="AD228" t="inlineStr">
        <is>
          <t>AKTYWNY</t>
        </is>
      </c>
      <c r="AE228" s="20">
        <f>IF(I228="",0,IF(ISNUMBER(SEARCH("MP",UPPER(J228))),I228,IF(ISNUMBER(SEARCH("TON",UPPER(J228))),I228/Przelicznik_MP_tona,IF(ISNUMBER(SEARCH("M3",UPPER(J228))),I228*Przelicznik_M3_MP,IF(ISNUMBER(SEARCH("GJ",UPPER(J228))),I228/Przelicznik_GJ_tona/Przelicznik_MP_tona,I228)))))</f>
        <v/>
      </c>
      <c r="AF228" s="20">
        <f>IF(I228="",0,IF(ISNUMBER(SEARCH("TON",UPPER(J228))),I228,IF(ISNUMBER(SEARCH("GJ",UPPER(J228))),I228/Przelicznik_GJ_tona,AE228*Przelicznik_MP_tona)))</f>
        <v/>
      </c>
      <c r="AG228" s="20">
        <f>AF228*Przelicznik_GJ_tona</f>
        <v/>
      </c>
      <c r="AH228" s="20">
        <f>IF(UPPER(AD228)="SKORYGOWANY",0,IF(OR(UPPER(E228)="TRANSPORT",UPPER(E228)="MM"),0,IF(UPPER(G228)&lt;&gt;"TAK",0,IF(OR(UPPER(E228)="ZAKUP",UPPER(E228)="PRODUKCJA"),AE228,IF(OR(UPPER(E228)="SPRZEDAŻ",UPPER(E228)="ZUŻYCIE"),-AE228,0)))))</f>
        <v/>
      </c>
      <c r="AI228" s="20">
        <f>IF(UPPER(AD228)="SKORYGOWANY",0,IF(OR(UPPER(E228)="TRANSPORT",UPPER(E228)="MM"),0,IF(UPPER(G228)&lt;&gt;"TAK",0,IF(OR(UPPER(E228)="ZAKUP",UPPER(E228)="PRODUKCJA"),AF228,IF(OR(UPPER(E228)="SPRZEDAŻ",UPPER(E228)="ZUŻYCIE"),-AF228,0)))))</f>
        <v/>
      </c>
      <c r="AJ228" s="21">
        <f>IF(UPPER(AD228)="SKORYGOWANY",0,IF(UPPER(E228)="ZAKUP",IF(L228&lt;&gt;"",L228,I228*K228),0))</f>
        <v/>
      </c>
      <c r="AK228" s="21">
        <f>IF(UPPER(AD228)="SKORYGOWANY",0,IF(UPPER(E228)="SPRZEDAŻ",IF(L228&lt;&gt;"",L228,I228*M228),0))</f>
        <v/>
      </c>
      <c r="AL228" s="21">
        <f>AE228*Q228</f>
        <v/>
      </c>
      <c r="AM228">
        <f>IF(R228="","",IF(LOWER(R228)="brak","Brak",IF(OR(ISNUMBER(SEARCH("własn",LOWER(R228))),ISNUMBER(SEARCH("wlasn",LOWER(R228))),ISNUMBER(SEARCH("wojciechowski",LOWER(R228)))),"Własny","Zewnętrzny")))</f>
        <v/>
      </c>
      <c r="AN228" s="24">
        <f>IF(C228="","",YEAR(C228))</f>
        <v/>
      </c>
      <c r="AO228" s="24">
        <f>IF(C228="","",MONTH(C228))</f>
        <v/>
      </c>
      <c r="AP228">
        <f>IF(C228="","",UPPER(TEXT(C228,"mmmm")))</f>
        <v/>
      </c>
      <c r="AQ228">
        <f>IF(C228="","","Q"&amp;ROUNDUP(MONTH(C228)/3,0))</f>
        <v/>
      </c>
    </row>
    <row r="229">
      <c r="A229" s="19" t="n">
        <v>46232</v>
      </c>
      <c r="C229" s="19" t="n">
        <v>46232</v>
      </c>
      <c r="D229" t="inlineStr">
        <is>
          <t>NDL Chrzanów, Leśnictwo Chełmek</t>
        </is>
      </c>
      <c r="E229" t="inlineStr">
        <is>
          <t>ZAKUP</t>
        </is>
      </c>
      <c r="F229" t="inlineStr">
        <is>
          <t>PZ/49</t>
        </is>
      </c>
      <c r="G229" t="inlineStr">
        <is>
          <t>TAK</t>
        </is>
      </c>
      <c r="H229" t="inlineStr">
        <is>
          <t>Deklaracja</t>
        </is>
      </c>
      <c r="I229" s="20" t="n">
        <v>21.31</v>
      </c>
      <c r="J229" t="inlineStr">
        <is>
          <t>M3</t>
        </is>
      </c>
      <c r="K229" s="21" t="n">
        <v>141</v>
      </c>
      <c r="L229" s="21" t="n">
        <v>3004.71</v>
      </c>
      <c r="M229" s="21" t="n">
        <v>0</v>
      </c>
      <c r="N229" t="inlineStr">
        <is>
          <t>Drewno opałowe z lasu</t>
        </is>
      </c>
      <c r="O229" t="inlineStr">
        <is>
          <t>B</t>
        </is>
      </c>
      <c r="Q229" s="21" t="n">
        <v>0</v>
      </c>
      <c r="T229" s="22" t="n">
        <v>0</v>
      </c>
      <c r="U229" s="21" t="n">
        <v>0</v>
      </c>
      <c r="V229" s="21" t="n">
        <v>0</v>
      </c>
      <c r="W229" t="inlineStr">
        <is>
          <t>Magazyn Zabrze</t>
        </is>
      </c>
      <c r="Z229" t="inlineStr">
        <is>
          <t>Roesner Mateusz</t>
        </is>
      </c>
      <c r="AA229" s="23" t="n">
        <v>46240.40811342592</v>
      </c>
      <c r="AB229" t="inlineStr">
        <is>
          <t>OP-MIGR-00228</t>
        </is>
      </c>
      <c r="AD229" t="inlineStr">
        <is>
          <t>AKTYWNY</t>
        </is>
      </c>
      <c r="AE229" s="20">
        <f>IF(I229="",0,IF(ISNUMBER(SEARCH("MP",UPPER(J229))),I229,IF(ISNUMBER(SEARCH("TON",UPPER(J229))),I229/Przelicznik_MP_tona,IF(ISNUMBER(SEARCH("M3",UPPER(J229))),I229*Przelicznik_M3_MP,IF(ISNUMBER(SEARCH("GJ",UPPER(J229))),I229/Przelicznik_GJ_tona/Przelicznik_MP_tona,I229)))))</f>
        <v/>
      </c>
      <c r="AF229" s="20">
        <f>IF(I229="",0,IF(ISNUMBER(SEARCH("TON",UPPER(J229))),I229,IF(ISNUMBER(SEARCH("GJ",UPPER(J229))),I229/Przelicznik_GJ_tona,AE229*Przelicznik_MP_tona)))</f>
        <v/>
      </c>
      <c r="AG229" s="20">
        <f>AF229*Przelicznik_GJ_tona</f>
        <v/>
      </c>
      <c r="AH229" s="20">
        <f>IF(UPPER(AD229)="SKORYGOWANY",0,IF(OR(UPPER(E229)="TRANSPORT",UPPER(E229)="MM"),0,IF(UPPER(G229)&lt;&gt;"TAK",0,IF(OR(UPPER(E229)="ZAKUP",UPPER(E229)="PRODUKCJA"),AE229,IF(OR(UPPER(E229)="SPRZEDAŻ",UPPER(E229)="ZUŻYCIE"),-AE229,0)))))</f>
        <v/>
      </c>
      <c r="AI229" s="20">
        <f>IF(UPPER(AD229)="SKORYGOWANY",0,IF(OR(UPPER(E229)="TRANSPORT",UPPER(E229)="MM"),0,IF(UPPER(G229)&lt;&gt;"TAK",0,IF(OR(UPPER(E229)="ZAKUP",UPPER(E229)="PRODUKCJA"),AF229,IF(OR(UPPER(E229)="SPRZEDAŻ",UPPER(E229)="ZUŻYCIE"),-AF229,0)))))</f>
        <v/>
      </c>
      <c r="AJ229" s="21">
        <f>IF(UPPER(AD229)="SKORYGOWANY",0,IF(UPPER(E229)="ZAKUP",IF(L229&lt;&gt;"",L229,I229*K229),0))</f>
        <v/>
      </c>
      <c r="AK229" s="21">
        <f>IF(UPPER(AD229)="SKORYGOWANY",0,IF(UPPER(E229)="SPRZEDAŻ",IF(L229&lt;&gt;"",L229,I229*M229),0))</f>
        <v/>
      </c>
      <c r="AL229" s="21">
        <f>AE229*Q229</f>
        <v/>
      </c>
      <c r="AM229">
        <f>IF(R229="","",IF(LOWER(R229)="brak","Brak",IF(OR(ISNUMBER(SEARCH("własn",LOWER(R229))),ISNUMBER(SEARCH("wlasn",LOWER(R229))),ISNUMBER(SEARCH("wojciechowski",LOWER(R229)))),"Własny","Zewnętrzny")))</f>
        <v/>
      </c>
      <c r="AN229" s="24">
        <f>IF(C229="","",YEAR(C229))</f>
        <v/>
      </c>
      <c r="AO229" s="24">
        <f>IF(C229="","",MONTH(C229))</f>
        <v/>
      </c>
      <c r="AP229">
        <f>IF(C229="","",UPPER(TEXT(C229,"mmmm")))</f>
        <v/>
      </c>
      <c r="AQ229">
        <f>IF(C229="","","Q"&amp;ROUNDUP(MONTH(C229)/3,0))</f>
        <v/>
      </c>
    </row>
    <row r="230">
      <c r="A230" s="19" t="n">
        <v>46232</v>
      </c>
      <c r="C230" s="19" t="n">
        <v>46232</v>
      </c>
      <c r="D230" t="inlineStr">
        <is>
          <t>Magazyn Zabrze</t>
        </is>
      </c>
      <c r="E230" t="inlineStr">
        <is>
          <t>PRODUKCJA</t>
        </is>
      </c>
      <c r="F230" t="inlineStr">
        <is>
          <t>PZ/49</t>
        </is>
      </c>
      <c r="G230" t="inlineStr">
        <is>
          <t>TAK</t>
        </is>
      </c>
      <c r="H230" t="inlineStr">
        <is>
          <t>Deklaracja</t>
        </is>
      </c>
      <c r="I230" s="20" t="n">
        <v>85.23999999999999</v>
      </c>
      <c r="J230" t="inlineStr">
        <is>
          <t>MP</t>
        </is>
      </c>
      <c r="K230" s="21" t="n">
        <v>0</v>
      </c>
      <c r="L230" s="21" t="n">
        <v>0</v>
      </c>
      <c r="M230" s="21" t="n">
        <v>0</v>
      </c>
      <c r="N230" t="inlineStr">
        <is>
          <t>Zrębka Produkcyjna Leśna</t>
        </is>
      </c>
      <c r="O230" t="inlineStr">
        <is>
          <t>B</t>
        </is>
      </c>
      <c r="P230" t="inlineStr">
        <is>
          <t>własne</t>
        </is>
      </c>
      <c r="Q230" s="21" t="n">
        <v>10</v>
      </c>
      <c r="T230" s="22" t="n">
        <v>0</v>
      </c>
      <c r="U230" s="21" t="n">
        <v>0</v>
      </c>
      <c r="V230" s="21" t="n">
        <v>0</v>
      </c>
      <c r="W230" t="inlineStr">
        <is>
          <t>Magazyn Zabrze</t>
        </is>
      </c>
      <c r="Z230" t="inlineStr">
        <is>
          <t>Roesner Mateusz</t>
        </is>
      </c>
      <c r="AA230" s="23" t="n">
        <v>46240.40881944444</v>
      </c>
      <c r="AB230" t="inlineStr">
        <is>
          <t>OP-MIGR-00229</t>
        </is>
      </c>
      <c r="AD230" t="inlineStr">
        <is>
          <t>AKTYWNY</t>
        </is>
      </c>
      <c r="AE230" s="20">
        <f>IF(I230="",0,IF(ISNUMBER(SEARCH("MP",UPPER(J230))),I230,IF(ISNUMBER(SEARCH("TON",UPPER(J230))),I230/Przelicznik_MP_tona,IF(ISNUMBER(SEARCH("M3",UPPER(J230))),I230*Przelicznik_M3_MP,IF(ISNUMBER(SEARCH("GJ",UPPER(J230))),I230/Przelicznik_GJ_tona/Przelicznik_MP_tona,I230)))))</f>
        <v/>
      </c>
      <c r="AF230" s="20">
        <f>IF(I230="",0,IF(ISNUMBER(SEARCH("TON",UPPER(J230))),I230,IF(ISNUMBER(SEARCH("GJ",UPPER(J230))),I230/Przelicznik_GJ_tona,AE230*Przelicznik_MP_tona)))</f>
        <v/>
      </c>
      <c r="AG230" s="20">
        <f>AF230*Przelicznik_GJ_tona</f>
        <v/>
      </c>
      <c r="AH230" s="20">
        <f>IF(UPPER(AD230)="SKORYGOWANY",0,IF(OR(UPPER(E230)="TRANSPORT",UPPER(E230)="MM"),0,IF(UPPER(G230)&lt;&gt;"TAK",0,IF(OR(UPPER(E230)="ZAKUP",UPPER(E230)="PRODUKCJA"),AE230,IF(OR(UPPER(E230)="SPRZEDAŻ",UPPER(E230)="ZUŻYCIE"),-AE230,0)))))</f>
        <v/>
      </c>
      <c r="AI230" s="20">
        <f>IF(UPPER(AD230)="SKORYGOWANY",0,IF(OR(UPPER(E230)="TRANSPORT",UPPER(E230)="MM"),0,IF(UPPER(G230)&lt;&gt;"TAK",0,IF(OR(UPPER(E230)="ZAKUP",UPPER(E230)="PRODUKCJA"),AF230,IF(OR(UPPER(E230)="SPRZEDAŻ",UPPER(E230)="ZUŻYCIE"),-AF230,0)))))</f>
        <v/>
      </c>
      <c r="AJ230" s="21">
        <f>IF(UPPER(AD230)="SKORYGOWANY",0,IF(UPPER(E230)="ZAKUP",IF(L230&lt;&gt;"",L230,I230*K230),0))</f>
        <v/>
      </c>
      <c r="AK230" s="21">
        <f>IF(UPPER(AD230)="SKORYGOWANY",0,IF(UPPER(E230)="SPRZEDAŻ",IF(L230&lt;&gt;"",L230,I230*M230),0))</f>
        <v/>
      </c>
      <c r="AL230" s="21">
        <f>AE230*Q230</f>
        <v/>
      </c>
      <c r="AM230">
        <f>IF(R230="","",IF(LOWER(R230)="brak","Brak",IF(OR(ISNUMBER(SEARCH("własn",LOWER(R230))),ISNUMBER(SEARCH("wlasn",LOWER(R230))),ISNUMBER(SEARCH("wojciechowski",LOWER(R230)))),"Własny","Zewnętrzny")))</f>
        <v/>
      </c>
      <c r="AN230" s="24">
        <f>IF(C230="","",YEAR(C230))</f>
        <v/>
      </c>
      <c r="AO230" s="24">
        <f>IF(C230="","",MONTH(C230))</f>
        <v/>
      </c>
      <c r="AP230">
        <f>IF(C230="","",UPPER(TEXT(C230,"mmmm")))</f>
        <v/>
      </c>
      <c r="AQ230">
        <f>IF(C230="","","Q"&amp;ROUNDUP(MONTH(C230)/3,0))</f>
        <v/>
      </c>
    </row>
    <row r="231">
      <c r="A231" s="19" t="n">
        <v>46232</v>
      </c>
      <c r="C231" s="19" t="n">
        <v>46232</v>
      </c>
      <c r="D231" t="inlineStr">
        <is>
          <t>Magazyn Zabrze</t>
        </is>
      </c>
      <c r="E231" t="inlineStr">
        <is>
          <t>ZUŻYCIE</t>
        </is>
      </c>
      <c r="F231" t="inlineStr">
        <is>
          <t>PZ/49</t>
        </is>
      </c>
      <c r="G231" t="inlineStr">
        <is>
          <t>TAK</t>
        </is>
      </c>
      <c r="H231" t="inlineStr">
        <is>
          <t>Deklaracja</t>
        </is>
      </c>
      <c r="I231" s="20" t="n">
        <v>85.23999999999999</v>
      </c>
      <c r="J231" t="inlineStr">
        <is>
          <t>MP</t>
        </is>
      </c>
      <c r="K231" s="21" t="n">
        <v>0</v>
      </c>
      <c r="L231" s="21" t="n">
        <v>0</v>
      </c>
      <c r="M231" s="21" t="n">
        <v>0</v>
      </c>
      <c r="N231" t="inlineStr">
        <is>
          <t>Zrębka Produkcyjna Leśna</t>
        </is>
      </c>
      <c r="O231" t="inlineStr">
        <is>
          <t>B</t>
        </is>
      </c>
      <c r="P231" t="inlineStr">
        <is>
          <t>własne</t>
        </is>
      </c>
      <c r="Q231" s="21" t="n">
        <v>10</v>
      </c>
      <c r="T231" s="22" t="n">
        <v>0</v>
      </c>
      <c r="U231" s="21" t="n">
        <v>0</v>
      </c>
      <c r="V231" s="21" t="n">
        <v>0</v>
      </c>
      <c r="W231" t="inlineStr">
        <is>
          <t>Magazyn Zabrze</t>
        </is>
      </c>
      <c r="Y231" t="inlineStr">
        <is>
          <t>Automatyczne zużycie surowca do produkcji</t>
        </is>
      </c>
      <c r="AA231" s="23" t="n">
        <v>46240.40881944444</v>
      </c>
      <c r="AB231" t="inlineStr">
        <is>
          <t>OP-MIGR-00230</t>
        </is>
      </c>
      <c r="AD231" t="inlineStr">
        <is>
          <t>AKTYWNY</t>
        </is>
      </c>
      <c r="AE231" s="20">
        <f>IF(I231="",0,IF(ISNUMBER(SEARCH("MP",UPPER(J231))),I231,IF(ISNUMBER(SEARCH("TON",UPPER(J231))),I231/Przelicznik_MP_tona,IF(ISNUMBER(SEARCH("M3",UPPER(J231))),I231*Przelicznik_M3_MP,IF(ISNUMBER(SEARCH("GJ",UPPER(J231))),I231/Przelicznik_GJ_tona/Przelicznik_MP_tona,I231)))))</f>
        <v/>
      </c>
      <c r="AF231" s="20">
        <f>IF(I231="",0,IF(ISNUMBER(SEARCH("TON",UPPER(J231))),I231,IF(ISNUMBER(SEARCH("GJ",UPPER(J231))),I231/Przelicznik_GJ_tona,AE231*Przelicznik_MP_tona)))</f>
        <v/>
      </c>
      <c r="AG231" s="20">
        <f>AF231*Przelicznik_GJ_tona</f>
        <v/>
      </c>
      <c r="AH231" s="20">
        <f>IF(UPPER(AD231)="SKORYGOWANY",0,IF(OR(UPPER(E231)="TRANSPORT",UPPER(E231)="MM"),0,IF(UPPER(G231)&lt;&gt;"TAK",0,IF(OR(UPPER(E231)="ZAKUP",UPPER(E231)="PRODUKCJA"),AE231,IF(OR(UPPER(E231)="SPRZEDAŻ",UPPER(E231)="ZUŻYCIE"),-AE231,0)))))</f>
        <v/>
      </c>
      <c r="AI231" s="20">
        <f>IF(UPPER(AD231)="SKORYGOWANY",0,IF(OR(UPPER(E231)="TRANSPORT",UPPER(E231)="MM"),0,IF(UPPER(G231)&lt;&gt;"TAK",0,IF(OR(UPPER(E231)="ZAKUP",UPPER(E231)="PRODUKCJA"),AF231,IF(OR(UPPER(E231)="SPRZEDAŻ",UPPER(E231)="ZUŻYCIE"),-AF231,0)))))</f>
        <v/>
      </c>
      <c r="AJ231" s="21">
        <f>IF(UPPER(AD231)="SKORYGOWANY",0,IF(UPPER(E231)="ZAKUP",IF(L231&lt;&gt;"",L231,I231*K231),0))</f>
        <v/>
      </c>
      <c r="AK231" s="21">
        <f>IF(UPPER(AD231)="SKORYGOWANY",0,IF(UPPER(E231)="SPRZEDAŻ",IF(L231&lt;&gt;"",L231,I231*M231),0))</f>
        <v/>
      </c>
      <c r="AL231" s="21">
        <f>AE231*Q231</f>
        <v/>
      </c>
      <c r="AM231">
        <f>IF(R231="","",IF(LOWER(R231)="brak","Brak",IF(OR(ISNUMBER(SEARCH("własn",LOWER(R231))),ISNUMBER(SEARCH("wlasn",LOWER(R231))),ISNUMBER(SEARCH("wojciechowski",LOWER(R231)))),"Własny","Zewnętrzny")))</f>
        <v/>
      </c>
      <c r="AN231" s="24">
        <f>IF(C231="","",YEAR(C231))</f>
        <v/>
      </c>
      <c r="AO231" s="24">
        <f>IF(C231="","",MONTH(C231))</f>
        <v/>
      </c>
      <c r="AP231">
        <f>IF(C231="","",UPPER(TEXT(C231,"mmmm")))</f>
        <v/>
      </c>
      <c r="AQ231">
        <f>IF(C231="","","Q"&amp;ROUNDUP(MONTH(C231)/3,0))</f>
        <v/>
      </c>
    </row>
    <row r="232">
      <c r="A232" s="19" t="n">
        <v>46232</v>
      </c>
      <c r="B232" t="inlineStr">
        <is>
          <t>Chrzanów</t>
        </is>
      </c>
      <c r="C232" s="19" t="n">
        <v>46232</v>
      </c>
      <c r="D232" t="inlineStr">
        <is>
          <t>Magazyn Zabrze</t>
        </is>
      </c>
      <c r="E232" t="inlineStr">
        <is>
          <t>ZAKUP</t>
        </is>
      </c>
      <c r="F232" t="inlineStr">
        <is>
          <t>PZ/49  2/202624966/6108</t>
        </is>
      </c>
      <c r="G232" t="inlineStr">
        <is>
          <t>TAK</t>
        </is>
      </c>
      <c r="H232" t="inlineStr">
        <is>
          <t>Deklaracja</t>
        </is>
      </c>
      <c r="I232" s="20" t="n">
        <v>85.23999999999999</v>
      </c>
      <c r="J232" t="inlineStr">
        <is>
          <t>MP</t>
        </is>
      </c>
      <c r="K232" s="21" t="n">
        <v>0</v>
      </c>
      <c r="L232" s="21" t="n">
        <v>0</v>
      </c>
      <c r="M232" s="21" t="n">
        <v>0</v>
      </c>
      <c r="N232" t="inlineStr">
        <is>
          <t>Zrębka Produkcyjna Leśna</t>
        </is>
      </c>
      <c r="O232" t="inlineStr">
        <is>
          <t>B</t>
        </is>
      </c>
      <c r="Q232" s="21" t="n">
        <v>0</v>
      </c>
      <c r="R232" t="inlineStr">
        <is>
          <t>własny (Chrzan)</t>
        </is>
      </c>
      <c r="S232" t="inlineStr">
        <is>
          <t>SK 4K626</t>
        </is>
      </c>
      <c r="T232" s="22" t="n">
        <v>200</v>
      </c>
      <c r="U232" s="21" t="n">
        <v>5</v>
      </c>
      <c r="V232" s="21" t="n">
        <v>1000</v>
      </c>
      <c r="W232" t="inlineStr">
        <is>
          <t>Magazyn Zabrze</t>
        </is>
      </c>
      <c r="Z232" t="inlineStr">
        <is>
          <t>Roesner Mateusz</t>
        </is>
      </c>
      <c r="AA232" s="23" t="n">
        <v>46240.41732638889</v>
      </c>
      <c r="AB232" t="inlineStr">
        <is>
          <t>OP-MIGR-00231</t>
        </is>
      </c>
      <c r="AD232" t="inlineStr">
        <is>
          <t>AKTYWNY</t>
        </is>
      </c>
      <c r="AE232" s="20">
        <f>IF(I232="",0,IF(ISNUMBER(SEARCH("MP",UPPER(J232))),I232,IF(ISNUMBER(SEARCH("TON",UPPER(J232))),I232/Przelicznik_MP_tona,IF(ISNUMBER(SEARCH("M3",UPPER(J232))),I232*Przelicznik_M3_MP,IF(ISNUMBER(SEARCH("GJ",UPPER(J232))),I232/Przelicznik_GJ_tona/Przelicznik_MP_tona,I232)))))</f>
        <v/>
      </c>
      <c r="AF232" s="20">
        <f>IF(I232="",0,IF(ISNUMBER(SEARCH("TON",UPPER(J232))),I232,IF(ISNUMBER(SEARCH("GJ",UPPER(J232))),I232/Przelicznik_GJ_tona,AE232*Przelicznik_MP_tona)))</f>
        <v/>
      </c>
      <c r="AG232" s="20">
        <f>AF232*Przelicznik_GJ_tona</f>
        <v/>
      </c>
      <c r="AH232" s="20">
        <f>IF(UPPER(AD232)="SKORYGOWANY",0,IF(OR(UPPER(E232)="TRANSPORT",UPPER(E232)="MM"),0,IF(UPPER(G232)&lt;&gt;"TAK",0,IF(OR(UPPER(E232)="ZAKUP",UPPER(E232)="PRODUKCJA"),AE232,IF(OR(UPPER(E232)="SPRZEDAŻ",UPPER(E232)="ZUŻYCIE"),-AE232,0)))))</f>
        <v/>
      </c>
      <c r="AI232" s="20">
        <f>IF(UPPER(AD232)="SKORYGOWANY",0,IF(OR(UPPER(E232)="TRANSPORT",UPPER(E232)="MM"),0,IF(UPPER(G232)&lt;&gt;"TAK",0,IF(OR(UPPER(E232)="ZAKUP",UPPER(E232)="PRODUKCJA"),AF232,IF(OR(UPPER(E232)="SPRZEDAŻ",UPPER(E232)="ZUŻYCIE"),-AF232,0)))))</f>
        <v/>
      </c>
      <c r="AJ232" s="21">
        <f>IF(UPPER(AD232)="SKORYGOWANY",0,IF(UPPER(E232)="ZAKUP",IF(L232&lt;&gt;"",L232,I232*K232),0))</f>
        <v/>
      </c>
      <c r="AK232" s="21">
        <f>IF(UPPER(AD232)="SKORYGOWANY",0,IF(UPPER(E232)="SPRZEDAŻ",IF(L232&lt;&gt;"",L232,I232*M232),0))</f>
        <v/>
      </c>
      <c r="AL232" s="21">
        <f>AE232*Q232</f>
        <v/>
      </c>
      <c r="AM232">
        <f>IF(R232="","",IF(LOWER(R232)="brak","Brak",IF(OR(ISNUMBER(SEARCH("własn",LOWER(R232))),ISNUMBER(SEARCH("wlasn",LOWER(R232))),ISNUMBER(SEARCH("wojciechowski",LOWER(R232)))),"Własny","Zewnętrzny")))</f>
        <v/>
      </c>
      <c r="AN232" s="24">
        <f>IF(C232="","",YEAR(C232))</f>
        <v/>
      </c>
      <c r="AO232" s="24">
        <f>IF(C232="","",MONTH(C232))</f>
        <v/>
      </c>
      <c r="AP232">
        <f>IF(C232="","",UPPER(TEXT(C232,"mmmm")))</f>
        <v/>
      </c>
      <c r="AQ232">
        <f>IF(C232="","","Q"&amp;ROUNDUP(MONTH(C232)/3,0))</f>
        <v/>
      </c>
    </row>
    <row r="233">
      <c r="A233" s="19" t="n">
        <v>46233</v>
      </c>
      <c r="C233" s="19" t="n">
        <v>46233</v>
      </c>
      <c r="D233" t="inlineStr">
        <is>
          <t>NDL Chrzanów, Leśnictwo Płoki</t>
        </is>
      </c>
      <c r="E233" t="inlineStr">
        <is>
          <t>ZAKUP</t>
        </is>
      </c>
      <c r="F233" t="inlineStr">
        <is>
          <t>PZ/50</t>
        </is>
      </c>
      <c r="G233" t="inlineStr">
        <is>
          <t>TAK</t>
        </is>
      </c>
      <c r="H233" t="inlineStr">
        <is>
          <t>Deklaracja</t>
        </is>
      </c>
      <c r="I233" s="20" t="n">
        <v>20.28</v>
      </c>
      <c r="J233" t="inlineStr">
        <is>
          <t>M3</t>
        </is>
      </c>
      <c r="K233" s="21" t="n">
        <v>141</v>
      </c>
      <c r="L233" s="21" t="n">
        <v>2859.48</v>
      </c>
      <c r="M233" s="21" t="n">
        <v>0</v>
      </c>
      <c r="N233" t="inlineStr">
        <is>
          <t>Drewno opałowe z lasu</t>
        </is>
      </c>
      <c r="O233" t="inlineStr">
        <is>
          <t>B</t>
        </is>
      </c>
      <c r="Q233" s="21" t="n">
        <v>0</v>
      </c>
      <c r="T233" s="22" t="n">
        <v>0</v>
      </c>
      <c r="U233" s="21" t="n">
        <v>0</v>
      </c>
      <c r="V233" s="21" t="n">
        <v>0</v>
      </c>
      <c r="W233" t="inlineStr">
        <is>
          <t>Magazyn Zabrze</t>
        </is>
      </c>
      <c r="Z233" t="inlineStr">
        <is>
          <t>Roesner Mateusz</t>
        </is>
      </c>
      <c r="AA233" s="23" t="n">
        <v>46237.46350694444</v>
      </c>
      <c r="AB233" t="inlineStr">
        <is>
          <t>OP-MIGR-00232</t>
        </is>
      </c>
      <c r="AD233" t="inlineStr">
        <is>
          <t>AKTYWNY</t>
        </is>
      </c>
      <c r="AE233" s="20">
        <f>IF(I233="",0,IF(ISNUMBER(SEARCH("MP",UPPER(J233))),I233,IF(ISNUMBER(SEARCH("TON",UPPER(J233))),I233/Przelicznik_MP_tona,IF(ISNUMBER(SEARCH("M3",UPPER(J233))),I233*Przelicznik_M3_MP,IF(ISNUMBER(SEARCH("GJ",UPPER(J233))),I233/Przelicznik_GJ_tona/Przelicznik_MP_tona,I233)))))</f>
        <v/>
      </c>
      <c r="AF233" s="20">
        <f>IF(I233="",0,IF(ISNUMBER(SEARCH("TON",UPPER(J233))),I233,IF(ISNUMBER(SEARCH("GJ",UPPER(J233))),I233/Przelicznik_GJ_tona,AE233*Przelicznik_MP_tona)))</f>
        <v/>
      </c>
      <c r="AG233" s="20">
        <f>AF233*Przelicznik_GJ_tona</f>
        <v/>
      </c>
      <c r="AH233" s="20">
        <f>IF(UPPER(AD233)="SKORYGOWANY",0,IF(OR(UPPER(E233)="TRANSPORT",UPPER(E233)="MM"),0,IF(UPPER(G233)&lt;&gt;"TAK",0,IF(OR(UPPER(E233)="ZAKUP",UPPER(E233)="PRODUKCJA"),AE233,IF(OR(UPPER(E233)="SPRZEDAŻ",UPPER(E233)="ZUŻYCIE"),-AE233,0)))))</f>
        <v/>
      </c>
      <c r="AI233" s="20">
        <f>IF(UPPER(AD233)="SKORYGOWANY",0,IF(OR(UPPER(E233)="TRANSPORT",UPPER(E233)="MM"),0,IF(UPPER(G233)&lt;&gt;"TAK",0,IF(OR(UPPER(E233)="ZAKUP",UPPER(E233)="PRODUKCJA"),AF233,IF(OR(UPPER(E233)="SPRZEDAŻ",UPPER(E233)="ZUŻYCIE"),-AF233,0)))))</f>
        <v/>
      </c>
      <c r="AJ233" s="21">
        <f>IF(UPPER(AD233)="SKORYGOWANY",0,IF(UPPER(E233)="ZAKUP",IF(L233&lt;&gt;"",L233,I233*K233),0))</f>
        <v/>
      </c>
      <c r="AK233" s="21">
        <f>IF(UPPER(AD233)="SKORYGOWANY",0,IF(UPPER(E233)="SPRZEDAŻ",IF(L233&lt;&gt;"",L233,I233*M233),0))</f>
        <v/>
      </c>
      <c r="AL233" s="21">
        <f>AE233*Q233</f>
        <v/>
      </c>
      <c r="AM233">
        <f>IF(R233="","",IF(LOWER(R233)="brak","Brak",IF(OR(ISNUMBER(SEARCH("własn",LOWER(R233))),ISNUMBER(SEARCH("wlasn",LOWER(R233))),ISNUMBER(SEARCH("wojciechowski",LOWER(R233)))),"Własny","Zewnętrzny")))</f>
        <v/>
      </c>
      <c r="AN233" s="24">
        <f>IF(C233="","",YEAR(C233))</f>
        <v/>
      </c>
      <c r="AO233" s="24">
        <f>IF(C233="","",MONTH(C233))</f>
        <v/>
      </c>
      <c r="AP233">
        <f>IF(C233="","",UPPER(TEXT(C233,"mmmm")))</f>
        <v/>
      </c>
      <c r="AQ233">
        <f>IF(C233="","","Q"&amp;ROUNDUP(MONTH(C233)/3,0))</f>
        <v/>
      </c>
    </row>
    <row r="234">
      <c r="A234" s="19" t="n">
        <v>46233</v>
      </c>
      <c r="C234" s="19" t="n">
        <v>46233</v>
      </c>
      <c r="D234" t="inlineStr">
        <is>
          <t>Magazyn Zabrze</t>
        </is>
      </c>
      <c r="E234" t="inlineStr">
        <is>
          <t>PRODUKCJA</t>
        </is>
      </c>
      <c r="F234" t="inlineStr">
        <is>
          <t>PZ/50</t>
        </is>
      </c>
      <c r="G234" t="inlineStr">
        <is>
          <t>TAK</t>
        </is>
      </c>
      <c r="H234" t="inlineStr">
        <is>
          <t>Deklaracja</t>
        </is>
      </c>
      <c r="I234" s="20" t="n">
        <v>81</v>
      </c>
      <c r="J234" t="inlineStr">
        <is>
          <t>MP</t>
        </is>
      </c>
      <c r="K234" s="21" t="n">
        <v>0</v>
      </c>
      <c r="L234" s="21" t="n">
        <v>0</v>
      </c>
      <c r="M234" s="21" t="n">
        <v>0</v>
      </c>
      <c r="N234" t="inlineStr">
        <is>
          <t>Zrębka Produkcyjna Leśna</t>
        </is>
      </c>
      <c r="O234" t="inlineStr">
        <is>
          <t>B</t>
        </is>
      </c>
      <c r="P234" t="inlineStr">
        <is>
          <t>własne</t>
        </is>
      </c>
      <c r="Q234" s="21" t="n">
        <v>10</v>
      </c>
      <c r="T234" s="22" t="n">
        <v>0</v>
      </c>
      <c r="U234" s="21" t="n">
        <v>0</v>
      </c>
      <c r="V234" s="21" t="n">
        <v>0</v>
      </c>
      <c r="W234" t="inlineStr">
        <is>
          <t>Magazyn Zabrze</t>
        </is>
      </c>
      <c r="Z234" t="inlineStr">
        <is>
          <t>Roesner Mateusz</t>
        </is>
      </c>
      <c r="AA234" s="23" t="n">
        <v>46237.46417824074</v>
      </c>
      <c r="AB234" t="inlineStr">
        <is>
          <t>OP-MIGR-00233</t>
        </is>
      </c>
      <c r="AD234" t="inlineStr">
        <is>
          <t>AKTYWNY</t>
        </is>
      </c>
      <c r="AE234" s="20">
        <f>IF(I234="",0,IF(ISNUMBER(SEARCH("MP",UPPER(J234))),I234,IF(ISNUMBER(SEARCH("TON",UPPER(J234))),I234/Przelicznik_MP_tona,IF(ISNUMBER(SEARCH("M3",UPPER(J234))),I234*Przelicznik_M3_MP,IF(ISNUMBER(SEARCH("GJ",UPPER(J234))),I234/Przelicznik_GJ_tona/Przelicznik_MP_tona,I234)))))</f>
        <v/>
      </c>
      <c r="AF234" s="20">
        <f>IF(I234="",0,IF(ISNUMBER(SEARCH("TON",UPPER(J234))),I234,IF(ISNUMBER(SEARCH("GJ",UPPER(J234))),I234/Przelicznik_GJ_tona,AE234*Przelicznik_MP_tona)))</f>
        <v/>
      </c>
      <c r="AG234" s="20">
        <f>AF234*Przelicznik_GJ_tona</f>
        <v/>
      </c>
      <c r="AH234" s="20">
        <f>IF(UPPER(AD234)="SKORYGOWANY",0,IF(OR(UPPER(E234)="TRANSPORT",UPPER(E234)="MM"),0,IF(UPPER(G234)&lt;&gt;"TAK",0,IF(OR(UPPER(E234)="ZAKUP",UPPER(E234)="PRODUKCJA"),AE234,IF(OR(UPPER(E234)="SPRZEDAŻ",UPPER(E234)="ZUŻYCIE"),-AE234,0)))))</f>
        <v/>
      </c>
      <c r="AI234" s="20">
        <f>IF(UPPER(AD234)="SKORYGOWANY",0,IF(OR(UPPER(E234)="TRANSPORT",UPPER(E234)="MM"),0,IF(UPPER(G234)&lt;&gt;"TAK",0,IF(OR(UPPER(E234)="ZAKUP",UPPER(E234)="PRODUKCJA"),AF234,IF(OR(UPPER(E234)="SPRZEDAŻ",UPPER(E234)="ZUŻYCIE"),-AF234,0)))))</f>
        <v/>
      </c>
      <c r="AJ234" s="21">
        <f>IF(UPPER(AD234)="SKORYGOWANY",0,IF(UPPER(E234)="ZAKUP",IF(L234&lt;&gt;"",L234,I234*K234),0))</f>
        <v/>
      </c>
      <c r="AK234" s="21">
        <f>IF(UPPER(AD234)="SKORYGOWANY",0,IF(UPPER(E234)="SPRZEDAŻ",IF(L234&lt;&gt;"",L234,I234*M234),0))</f>
        <v/>
      </c>
      <c r="AL234" s="21">
        <f>AE234*Q234</f>
        <v/>
      </c>
      <c r="AM234">
        <f>IF(R234="","",IF(LOWER(R234)="brak","Brak",IF(OR(ISNUMBER(SEARCH("własn",LOWER(R234))),ISNUMBER(SEARCH("wlasn",LOWER(R234))),ISNUMBER(SEARCH("wojciechowski",LOWER(R234)))),"Własny","Zewnętrzny")))</f>
        <v/>
      </c>
      <c r="AN234" s="24">
        <f>IF(C234="","",YEAR(C234))</f>
        <v/>
      </c>
      <c r="AO234" s="24">
        <f>IF(C234="","",MONTH(C234))</f>
        <v/>
      </c>
      <c r="AP234">
        <f>IF(C234="","",UPPER(TEXT(C234,"mmmm")))</f>
        <v/>
      </c>
      <c r="AQ234">
        <f>IF(C234="","","Q"&amp;ROUNDUP(MONTH(C234)/3,0))</f>
        <v/>
      </c>
    </row>
    <row r="235">
      <c r="A235" s="19" t="n">
        <v>46233</v>
      </c>
      <c r="C235" s="19" t="n">
        <v>46233</v>
      </c>
      <c r="D235" t="inlineStr">
        <is>
          <t>Magazyn Zabrze</t>
        </is>
      </c>
      <c r="E235" t="inlineStr">
        <is>
          <t>ZUŻYCIE</t>
        </is>
      </c>
      <c r="F235" t="inlineStr">
        <is>
          <t>PZ/50</t>
        </is>
      </c>
      <c r="G235" t="inlineStr">
        <is>
          <t>TAK</t>
        </is>
      </c>
      <c r="H235" t="inlineStr">
        <is>
          <t>Deklaracja</t>
        </is>
      </c>
      <c r="I235" s="20" t="n">
        <v>81</v>
      </c>
      <c r="J235" t="inlineStr">
        <is>
          <t>MP</t>
        </is>
      </c>
      <c r="K235" s="21" t="n">
        <v>0</v>
      </c>
      <c r="L235" s="21" t="n">
        <v>0</v>
      </c>
      <c r="M235" s="21" t="n">
        <v>0</v>
      </c>
      <c r="N235" t="inlineStr">
        <is>
          <t>Zrębka Produkcyjna Leśna</t>
        </is>
      </c>
      <c r="O235" t="inlineStr">
        <is>
          <t>B</t>
        </is>
      </c>
      <c r="P235" t="inlineStr">
        <is>
          <t>własne</t>
        </is>
      </c>
      <c r="Q235" s="21" t="n">
        <v>10</v>
      </c>
      <c r="T235" s="22" t="n">
        <v>0</v>
      </c>
      <c r="U235" s="21" t="n">
        <v>0</v>
      </c>
      <c r="V235" s="21" t="n">
        <v>0</v>
      </c>
      <c r="W235" t="inlineStr">
        <is>
          <t>Magazyn Zabrze</t>
        </is>
      </c>
      <c r="Y235" t="inlineStr">
        <is>
          <t>Automatyczne zużycie surowca do produkcji</t>
        </is>
      </c>
      <c r="AA235" s="23" t="n">
        <v>46237.46417824074</v>
      </c>
      <c r="AB235" t="inlineStr">
        <is>
          <t>OP-MIGR-00234</t>
        </is>
      </c>
      <c r="AD235" t="inlineStr">
        <is>
          <t>AKTYWNY</t>
        </is>
      </c>
      <c r="AE235" s="20">
        <f>IF(I235="",0,IF(ISNUMBER(SEARCH("MP",UPPER(J235))),I235,IF(ISNUMBER(SEARCH("TON",UPPER(J235))),I235/Przelicznik_MP_tona,IF(ISNUMBER(SEARCH("M3",UPPER(J235))),I235*Przelicznik_M3_MP,IF(ISNUMBER(SEARCH("GJ",UPPER(J235))),I235/Przelicznik_GJ_tona/Przelicznik_MP_tona,I235)))))</f>
        <v/>
      </c>
      <c r="AF235" s="20">
        <f>IF(I235="",0,IF(ISNUMBER(SEARCH("TON",UPPER(J235))),I235,IF(ISNUMBER(SEARCH("GJ",UPPER(J235))),I235/Przelicznik_GJ_tona,AE235*Przelicznik_MP_tona)))</f>
        <v/>
      </c>
      <c r="AG235" s="20">
        <f>AF235*Przelicznik_GJ_tona</f>
        <v/>
      </c>
      <c r="AH235" s="20">
        <f>IF(UPPER(AD235)="SKORYGOWANY",0,IF(OR(UPPER(E235)="TRANSPORT",UPPER(E235)="MM"),0,IF(UPPER(G235)&lt;&gt;"TAK",0,IF(OR(UPPER(E235)="ZAKUP",UPPER(E235)="PRODUKCJA"),AE235,IF(OR(UPPER(E235)="SPRZEDAŻ",UPPER(E235)="ZUŻYCIE"),-AE235,0)))))</f>
        <v/>
      </c>
      <c r="AI235" s="20">
        <f>IF(UPPER(AD235)="SKORYGOWANY",0,IF(OR(UPPER(E235)="TRANSPORT",UPPER(E235)="MM"),0,IF(UPPER(G235)&lt;&gt;"TAK",0,IF(OR(UPPER(E235)="ZAKUP",UPPER(E235)="PRODUKCJA"),AF235,IF(OR(UPPER(E235)="SPRZEDAŻ",UPPER(E235)="ZUŻYCIE"),-AF235,0)))))</f>
        <v/>
      </c>
      <c r="AJ235" s="21">
        <f>IF(UPPER(AD235)="SKORYGOWANY",0,IF(UPPER(E235)="ZAKUP",IF(L235&lt;&gt;"",L235,I235*K235),0))</f>
        <v/>
      </c>
      <c r="AK235" s="21">
        <f>IF(UPPER(AD235)="SKORYGOWANY",0,IF(UPPER(E235)="SPRZEDAŻ",IF(L235&lt;&gt;"",L235,I235*M235),0))</f>
        <v/>
      </c>
      <c r="AL235" s="21">
        <f>AE235*Q235</f>
        <v/>
      </c>
      <c r="AM235">
        <f>IF(R235="","",IF(LOWER(R235)="brak","Brak",IF(OR(ISNUMBER(SEARCH("własn",LOWER(R235))),ISNUMBER(SEARCH("wlasn",LOWER(R235))),ISNUMBER(SEARCH("wojciechowski",LOWER(R235)))),"Własny","Zewnętrzny")))</f>
        <v/>
      </c>
      <c r="AN235" s="24">
        <f>IF(C235="","",YEAR(C235))</f>
        <v/>
      </c>
      <c r="AO235" s="24">
        <f>IF(C235="","",MONTH(C235))</f>
        <v/>
      </c>
      <c r="AP235">
        <f>IF(C235="","",UPPER(TEXT(C235,"mmmm")))</f>
        <v/>
      </c>
      <c r="AQ235">
        <f>IF(C235="","","Q"&amp;ROUNDUP(MONTH(C235)/3,0))</f>
        <v/>
      </c>
    </row>
    <row r="236">
      <c r="A236" s="19" t="n">
        <v>46233</v>
      </c>
      <c r="B236" t="inlineStr">
        <is>
          <t>Chrzanów</t>
        </is>
      </c>
      <c r="C236" s="19" t="n">
        <v>46233</v>
      </c>
      <c r="D236" t="inlineStr">
        <is>
          <t>Magazyn Zabrze</t>
        </is>
      </c>
      <c r="E236" t="inlineStr">
        <is>
          <t>ZAKUP</t>
        </is>
      </c>
      <c r="F236" t="inlineStr">
        <is>
          <t>PZ/50  5/202624969/6081</t>
        </is>
      </c>
      <c r="G236" t="inlineStr">
        <is>
          <t>TAK</t>
        </is>
      </c>
      <c r="H236" t="inlineStr">
        <is>
          <t>Deklaracja</t>
        </is>
      </c>
      <c r="I236" s="20" t="n">
        <v>81</v>
      </c>
      <c r="J236" t="inlineStr">
        <is>
          <t>MP</t>
        </is>
      </c>
      <c r="K236" s="21" t="n">
        <v>0</v>
      </c>
      <c r="L236" s="21" t="n">
        <v>0</v>
      </c>
      <c r="M236" s="21" t="n">
        <v>0</v>
      </c>
      <c r="N236" t="inlineStr">
        <is>
          <t>Zrębka Produkcyjna Leśna</t>
        </is>
      </c>
      <c r="O236" t="inlineStr">
        <is>
          <t>B</t>
        </is>
      </c>
      <c r="Q236" s="21" t="n">
        <v>0</v>
      </c>
      <c r="R236" t="inlineStr">
        <is>
          <t>własny (Kretek)</t>
        </is>
      </c>
      <c r="S236" t="inlineStr">
        <is>
          <t>SK 7J885</t>
        </is>
      </c>
      <c r="T236" s="22" t="n">
        <v>200</v>
      </c>
      <c r="U236" s="21" t="n">
        <v>5</v>
      </c>
      <c r="V236" s="21" t="n">
        <v>1000</v>
      </c>
      <c r="W236" t="inlineStr">
        <is>
          <t>Magazyn Zabrze</t>
        </is>
      </c>
      <c r="Z236" t="inlineStr">
        <is>
          <t>Roesner Mateusz</t>
        </is>
      </c>
      <c r="AA236" s="23" t="n">
        <v>46237.46540509259</v>
      </c>
      <c r="AB236" t="inlineStr">
        <is>
          <t>OP-MIGR-00235</t>
        </is>
      </c>
      <c r="AD236" t="inlineStr">
        <is>
          <t>AKTYWNY</t>
        </is>
      </c>
      <c r="AE236" s="20">
        <f>IF(I236="",0,IF(ISNUMBER(SEARCH("MP",UPPER(J236))),I236,IF(ISNUMBER(SEARCH("TON",UPPER(J236))),I236/Przelicznik_MP_tona,IF(ISNUMBER(SEARCH("M3",UPPER(J236))),I236*Przelicznik_M3_MP,IF(ISNUMBER(SEARCH("GJ",UPPER(J236))),I236/Przelicznik_GJ_tona/Przelicznik_MP_tona,I236)))))</f>
        <v/>
      </c>
      <c r="AF236" s="20">
        <f>IF(I236="",0,IF(ISNUMBER(SEARCH("TON",UPPER(J236))),I236,IF(ISNUMBER(SEARCH("GJ",UPPER(J236))),I236/Przelicznik_GJ_tona,AE236*Przelicznik_MP_tona)))</f>
        <v/>
      </c>
      <c r="AG236" s="20">
        <f>AF236*Przelicznik_GJ_tona</f>
        <v/>
      </c>
      <c r="AH236" s="20">
        <f>IF(UPPER(AD236)="SKORYGOWANY",0,IF(OR(UPPER(E236)="TRANSPORT",UPPER(E236)="MM"),0,IF(UPPER(G236)&lt;&gt;"TAK",0,IF(OR(UPPER(E236)="ZAKUP",UPPER(E236)="PRODUKCJA"),AE236,IF(OR(UPPER(E236)="SPRZEDAŻ",UPPER(E236)="ZUŻYCIE"),-AE236,0)))))</f>
        <v/>
      </c>
      <c r="AI236" s="20">
        <f>IF(UPPER(AD236)="SKORYGOWANY",0,IF(OR(UPPER(E236)="TRANSPORT",UPPER(E236)="MM"),0,IF(UPPER(G236)&lt;&gt;"TAK",0,IF(OR(UPPER(E236)="ZAKUP",UPPER(E236)="PRODUKCJA"),AF236,IF(OR(UPPER(E236)="SPRZEDAŻ",UPPER(E236)="ZUŻYCIE"),-AF236,0)))))</f>
        <v/>
      </c>
      <c r="AJ236" s="21">
        <f>IF(UPPER(AD236)="SKORYGOWANY",0,IF(UPPER(E236)="ZAKUP",IF(L236&lt;&gt;"",L236,I236*K236),0))</f>
        <v/>
      </c>
      <c r="AK236" s="21">
        <f>IF(UPPER(AD236)="SKORYGOWANY",0,IF(UPPER(E236)="SPRZEDAŻ",IF(L236&lt;&gt;"",L236,I236*M236),0))</f>
        <v/>
      </c>
      <c r="AL236" s="21">
        <f>AE236*Q236</f>
        <v/>
      </c>
      <c r="AM236">
        <f>IF(R236="","",IF(LOWER(R236)="brak","Brak",IF(OR(ISNUMBER(SEARCH("własn",LOWER(R236))),ISNUMBER(SEARCH("wlasn",LOWER(R236))),ISNUMBER(SEARCH("wojciechowski",LOWER(R236)))),"Własny","Zewnętrzny")))</f>
        <v/>
      </c>
      <c r="AN236" s="24">
        <f>IF(C236="","",YEAR(C236))</f>
        <v/>
      </c>
      <c r="AO236" s="24">
        <f>IF(C236="","",MONTH(C236))</f>
        <v/>
      </c>
      <c r="AP236">
        <f>IF(C236="","",UPPER(TEXT(C236,"mmmm")))</f>
        <v/>
      </c>
      <c r="AQ236">
        <f>IF(C236="","","Q"&amp;ROUNDUP(MONTH(C236)/3,0))</f>
        <v/>
      </c>
    </row>
    <row r="237">
      <c r="A237" s="19" t="n">
        <v>46233</v>
      </c>
      <c r="C237" s="19" t="n">
        <v>46233</v>
      </c>
      <c r="D237" t="inlineStr">
        <is>
          <t>NDL Chrzanów, Leśnictwo Płoki</t>
        </is>
      </c>
      <c r="E237" t="inlineStr">
        <is>
          <t>ZAKUP</t>
        </is>
      </c>
      <c r="F237" t="inlineStr">
        <is>
          <t>PZ/51</t>
        </is>
      </c>
      <c r="G237" t="inlineStr">
        <is>
          <t>TAK</t>
        </is>
      </c>
      <c r="H237" t="inlineStr">
        <is>
          <t>Deklaracja</t>
        </is>
      </c>
      <c r="I237" s="20" t="n">
        <v>20.28</v>
      </c>
      <c r="J237" t="inlineStr">
        <is>
          <t>M3</t>
        </is>
      </c>
      <c r="K237" s="21" t="n">
        <v>141</v>
      </c>
      <c r="L237" s="21" t="n">
        <v>2859.48</v>
      </c>
      <c r="M237" s="21" t="n">
        <v>0</v>
      </c>
      <c r="N237" t="inlineStr">
        <is>
          <t>Drewno opałowe z lasu</t>
        </is>
      </c>
      <c r="O237" t="inlineStr">
        <is>
          <t>B</t>
        </is>
      </c>
      <c r="Q237" s="21" t="n">
        <v>0</v>
      </c>
      <c r="T237" s="22" t="n">
        <v>0</v>
      </c>
      <c r="U237" s="21" t="n">
        <v>0</v>
      </c>
      <c r="V237" s="21" t="n">
        <v>0</v>
      </c>
      <c r="W237" t="inlineStr">
        <is>
          <t>Magazyn Zabrze</t>
        </is>
      </c>
      <c r="Z237" t="inlineStr">
        <is>
          <t>Roesner Mateusz</t>
        </is>
      </c>
      <c r="AA237" s="23" t="n">
        <v>46237.47515046296</v>
      </c>
      <c r="AB237" t="inlineStr">
        <is>
          <t>OP-MIGR-00236</t>
        </is>
      </c>
      <c r="AD237" t="inlineStr">
        <is>
          <t>AKTYWNY</t>
        </is>
      </c>
      <c r="AE237" s="20">
        <f>IF(I237="",0,IF(ISNUMBER(SEARCH("MP",UPPER(J237))),I237,IF(ISNUMBER(SEARCH("TON",UPPER(J237))),I237/Przelicznik_MP_tona,IF(ISNUMBER(SEARCH("M3",UPPER(J237))),I237*Przelicznik_M3_MP,IF(ISNUMBER(SEARCH("GJ",UPPER(J237))),I237/Przelicznik_GJ_tona/Przelicznik_MP_tona,I237)))))</f>
        <v/>
      </c>
      <c r="AF237" s="20">
        <f>IF(I237="",0,IF(ISNUMBER(SEARCH("TON",UPPER(J237))),I237,IF(ISNUMBER(SEARCH("GJ",UPPER(J237))),I237/Przelicznik_GJ_tona,AE237*Przelicznik_MP_tona)))</f>
        <v/>
      </c>
      <c r="AG237" s="20">
        <f>AF237*Przelicznik_GJ_tona</f>
        <v/>
      </c>
      <c r="AH237" s="20">
        <f>IF(UPPER(AD237)="SKORYGOWANY",0,IF(OR(UPPER(E237)="TRANSPORT",UPPER(E237)="MM"),0,IF(UPPER(G237)&lt;&gt;"TAK",0,IF(OR(UPPER(E237)="ZAKUP",UPPER(E237)="PRODUKCJA"),AE237,IF(OR(UPPER(E237)="SPRZEDAŻ",UPPER(E237)="ZUŻYCIE"),-AE237,0)))))</f>
        <v/>
      </c>
      <c r="AI237" s="20">
        <f>IF(UPPER(AD237)="SKORYGOWANY",0,IF(OR(UPPER(E237)="TRANSPORT",UPPER(E237)="MM"),0,IF(UPPER(G237)&lt;&gt;"TAK",0,IF(OR(UPPER(E237)="ZAKUP",UPPER(E237)="PRODUKCJA"),AF237,IF(OR(UPPER(E237)="SPRZEDAŻ",UPPER(E237)="ZUŻYCIE"),-AF237,0)))))</f>
        <v/>
      </c>
      <c r="AJ237" s="21">
        <f>IF(UPPER(AD237)="SKORYGOWANY",0,IF(UPPER(E237)="ZAKUP",IF(L237&lt;&gt;"",L237,I237*K237),0))</f>
        <v/>
      </c>
      <c r="AK237" s="21">
        <f>IF(UPPER(AD237)="SKORYGOWANY",0,IF(UPPER(E237)="SPRZEDAŻ",IF(L237&lt;&gt;"",L237,I237*M237),0))</f>
        <v/>
      </c>
      <c r="AL237" s="21">
        <f>AE237*Q237</f>
        <v/>
      </c>
      <c r="AM237">
        <f>IF(R237="","",IF(LOWER(R237)="brak","Brak",IF(OR(ISNUMBER(SEARCH("własn",LOWER(R237))),ISNUMBER(SEARCH("wlasn",LOWER(R237))),ISNUMBER(SEARCH("wojciechowski",LOWER(R237)))),"Własny","Zewnętrzny")))</f>
        <v/>
      </c>
      <c r="AN237" s="24">
        <f>IF(C237="","",YEAR(C237))</f>
        <v/>
      </c>
      <c r="AO237" s="24">
        <f>IF(C237="","",MONTH(C237))</f>
        <v/>
      </c>
      <c r="AP237">
        <f>IF(C237="","",UPPER(TEXT(C237,"mmmm")))</f>
        <v/>
      </c>
      <c r="AQ237">
        <f>IF(C237="","","Q"&amp;ROUNDUP(MONTH(C237)/3,0))</f>
        <v/>
      </c>
    </row>
    <row r="238">
      <c r="A238" s="19" t="n">
        <v>46233</v>
      </c>
      <c r="C238" s="19" t="n">
        <v>46233</v>
      </c>
      <c r="D238" t="inlineStr">
        <is>
          <t>Magazyn Zabrze</t>
        </is>
      </c>
      <c r="E238" t="inlineStr">
        <is>
          <t>PRODUKCJA</t>
        </is>
      </c>
      <c r="F238" t="inlineStr">
        <is>
          <t>PZ/51</t>
        </is>
      </c>
      <c r="G238" t="inlineStr">
        <is>
          <t>TAK</t>
        </is>
      </c>
      <c r="H238" t="inlineStr">
        <is>
          <t>Deklaracja</t>
        </is>
      </c>
      <c r="I238" s="20" t="n">
        <v>81.12</v>
      </c>
      <c r="J238" t="inlineStr">
        <is>
          <t>MP</t>
        </is>
      </c>
      <c r="K238" s="21" t="n">
        <v>0</v>
      </c>
      <c r="L238" s="21" t="n">
        <v>0</v>
      </c>
      <c r="M238" s="21" t="n">
        <v>0</v>
      </c>
      <c r="N238" t="inlineStr">
        <is>
          <t>Zrębka Produkcyjna Leśna</t>
        </is>
      </c>
      <c r="O238" t="inlineStr">
        <is>
          <t>B</t>
        </is>
      </c>
      <c r="P238" t="inlineStr">
        <is>
          <t>własne</t>
        </is>
      </c>
      <c r="Q238" s="21" t="n">
        <v>10</v>
      </c>
      <c r="T238" s="22" t="n">
        <v>0</v>
      </c>
      <c r="U238" s="21" t="n">
        <v>0</v>
      </c>
      <c r="V238" s="21" t="n">
        <v>0</v>
      </c>
      <c r="W238" t="inlineStr">
        <is>
          <t>Magazyn Zabrze</t>
        </is>
      </c>
      <c r="Z238" t="inlineStr">
        <is>
          <t>Roesner Mateusz</t>
        </is>
      </c>
      <c r="AA238" s="23" t="n">
        <v>46237.47576388889</v>
      </c>
      <c r="AB238" t="inlineStr">
        <is>
          <t>OP-MIGR-00237</t>
        </is>
      </c>
      <c r="AD238" t="inlineStr">
        <is>
          <t>AKTYWNY</t>
        </is>
      </c>
      <c r="AE238" s="20">
        <f>IF(I238="",0,IF(ISNUMBER(SEARCH("MP",UPPER(J238))),I238,IF(ISNUMBER(SEARCH("TON",UPPER(J238))),I238/Przelicznik_MP_tona,IF(ISNUMBER(SEARCH("M3",UPPER(J238))),I238*Przelicznik_M3_MP,IF(ISNUMBER(SEARCH("GJ",UPPER(J238))),I238/Przelicznik_GJ_tona/Przelicznik_MP_tona,I238)))))</f>
        <v/>
      </c>
      <c r="AF238" s="20">
        <f>IF(I238="",0,IF(ISNUMBER(SEARCH("TON",UPPER(J238))),I238,IF(ISNUMBER(SEARCH("GJ",UPPER(J238))),I238/Przelicznik_GJ_tona,AE238*Przelicznik_MP_tona)))</f>
        <v/>
      </c>
      <c r="AG238" s="20">
        <f>AF238*Przelicznik_GJ_tona</f>
        <v/>
      </c>
      <c r="AH238" s="20">
        <f>IF(UPPER(AD238)="SKORYGOWANY",0,IF(OR(UPPER(E238)="TRANSPORT",UPPER(E238)="MM"),0,IF(UPPER(G238)&lt;&gt;"TAK",0,IF(OR(UPPER(E238)="ZAKUP",UPPER(E238)="PRODUKCJA"),AE238,IF(OR(UPPER(E238)="SPRZEDAŻ",UPPER(E238)="ZUŻYCIE"),-AE238,0)))))</f>
        <v/>
      </c>
      <c r="AI238" s="20">
        <f>IF(UPPER(AD238)="SKORYGOWANY",0,IF(OR(UPPER(E238)="TRANSPORT",UPPER(E238)="MM"),0,IF(UPPER(G238)&lt;&gt;"TAK",0,IF(OR(UPPER(E238)="ZAKUP",UPPER(E238)="PRODUKCJA"),AF238,IF(OR(UPPER(E238)="SPRZEDAŻ",UPPER(E238)="ZUŻYCIE"),-AF238,0)))))</f>
        <v/>
      </c>
      <c r="AJ238" s="21">
        <f>IF(UPPER(AD238)="SKORYGOWANY",0,IF(UPPER(E238)="ZAKUP",IF(L238&lt;&gt;"",L238,I238*K238),0))</f>
        <v/>
      </c>
      <c r="AK238" s="21">
        <f>IF(UPPER(AD238)="SKORYGOWANY",0,IF(UPPER(E238)="SPRZEDAŻ",IF(L238&lt;&gt;"",L238,I238*M238),0))</f>
        <v/>
      </c>
      <c r="AL238" s="21">
        <f>AE238*Q238</f>
        <v/>
      </c>
      <c r="AM238">
        <f>IF(R238="","",IF(LOWER(R238)="brak","Brak",IF(OR(ISNUMBER(SEARCH("własn",LOWER(R238))),ISNUMBER(SEARCH("wlasn",LOWER(R238))),ISNUMBER(SEARCH("wojciechowski",LOWER(R238)))),"Własny","Zewnętrzny")))</f>
        <v/>
      </c>
      <c r="AN238" s="24">
        <f>IF(C238="","",YEAR(C238))</f>
        <v/>
      </c>
      <c r="AO238" s="24">
        <f>IF(C238="","",MONTH(C238))</f>
        <v/>
      </c>
      <c r="AP238">
        <f>IF(C238="","",UPPER(TEXT(C238,"mmmm")))</f>
        <v/>
      </c>
      <c r="AQ238">
        <f>IF(C238="","","Q"&amp;ROUNDUP(MONTH(C238)/3,0))</f>
        <v/>
      </c>
    </row>
    <row r="239">
      <c r="A239" s="19" t="n">
        <v>46233</v>
      </c>
      <c r="C239" s="19" t="n">
        <v>46233</v>
      </c>
      <c r="D239" t="inlineStr">
        <is>
          <t>Magazyn Zabrze</t>
        </is>
      </c>
      <c r="E239" t="inlineStr">
        <is>
          <t>ZUŻYCIE</t>
        </is>
      </c>
      <c r="F239" t="inlineStr">
        <is>
          <t>PZ/51</t>
        </is>
      </c>
      <c r="G239" t="inlineStr">
        <is>
          <t>TAK</t>
        </is>
      </c>
      <c r="H239" t="inlineStr">
        <is>
          <t>Deklaracja</t>
        </is>
      </c>
      <c r="I239" s="20" t="n">
        <v>81.12</v>
      </c>
      <c r="J239" t="inlineStr">
        <is>
          <t>MP</t>
        </is>
      </c>
      <c r="K239" s="21" t="n">
        <v>0</v>
      </c>
      <c r="L239" s="21" t="n">
        <v>0</v>
      </c>
      <c r="M239" s="21" t="n">
        <v>0</v>
      </c>
      <c r="N239" t="inlineStr">
        <is>
          <t>Zrębka Produkcyjna Leśna</t>
        </is>
      </c>
      <c r="O239" t="inlineStr">
        <is>
          <t>B</t>
        </is>
      </c>
      <c r="P239" t="inlineStr">
        <is>
          <t>własne</t>
        </is>
      </c>
      <c r="Q239" s="21" t="n">
        <v>10</v>
      </c>
      <c r="T239" s="22" t="n">
        <v>0</v>
      </c>
      <c r="U239" s="21" t="n">
        <v>0</v>
      </c>
      <c r="V239" s="21" t="n">
        <v>0</v>
      </c>
      <c r="W239" t="inlineStr">
        <is>
          <t>Magazyn Zabrze</t>
        </is>
      </c>
      <c r="Y239" t="inlineStr">
        <is>
          <t>Automatyczne zużycie surowca do produkcji</t>
        </is>
      </c>
      <c r="AA239" s="23" t="n">
        <v>46237.47576388889</v>
      </c>
      <c r="AB239" t="inlineStr">
        <is>
          <t>OP-MIGR-00238</t>
        </is>
      </c>
      <c r="AD239" t="inlineStr">
        <is>
          <t>AKTYWNY</t>
        </is>
      </c>
      <c r="AE239" s="20">
        <f>IF(I239="",0,IF(ISNUMBER(SEARCH("MP",UPPER(J239))),I239,IF(ISNUMBER(SEARCH("TON",UPPER(J239))),I239/Przelicznik_MP_tona,IF(ISNUMBER(SEARCH("M3",UPPER(J239))),I239*Przelicznik_M3_MP,IF(ISNUMBER(SEARCH("GJ",UPPER(J239))),I239/Przelicznik_GJ_tona/Przelicznik_MP_tona,I239)))))</f>
        <v/>
      </c>
      <c r="AF239" s="20">
        <f>IF(I239="",0,IF(ISNUMBER(SEARCH("TON",UPPER(J239))),I239,IF(ISNUMBER(SEARCH("GJ",UPPER(J239))),I239/Przelicznik_GJ_tona,AE239*Przelicznik_MP_tona)))</f>
        <v/>
      </c>
      <c r="AG239" s="20">
        <f>AF239*Przelicznik_GJ_tona</f>
        <v/>
      </c>
      <c r="AH239" s="20">
        <f>IF(UPPER(AD239)="SKORYGOWANY",0,IF(OR(UPPER(E239)="TRANSPORT",UPPER(E239)="MM"),0,IF(UPPER(G239)&lt;&gt;"TAK",0,IF(OR(UPPER(E239)="ZAKUP",UPPER(E239)="PRODUKCJA"),AE239,IF(OR(UPPER(E239)="SPRZEDAŻ",UPPER(E239)="ZUŻYCIE"),-AE239,0)))))</f>
        <v/>
      </c>
      <c r="AI239" s="20">
        <f>IF(UPPER(AD239)="SKORYGOWANY",0,IF(OR(UPPER(E239)="TRANSPORT",UPPER(E239)="MM"),0,IF(UPPER(G239)&lt;&gt;"TAK",0,IF(OR(UPPER(E239)="ZAKUP",UPPER(E239)="PRODUKCJA"),AF239,IF(OR(UPPER(E239)="SPRZEDAŻ",UPPER(E239)="ZUŻYCIE"),-AF239,0)))))</f>
        <v/>
      </c>
      <c r="AJ239" s="21">
        <f>IF(UPPER(AD239)="SKORYGOWANY",0,IF(UPPER(E239)="ZAKUP",IF(L239&lt;&gt;"",L239,I239*K239),0))</f>
        <v/>
      </c>
      <c r="AK239" s="21">
        <f>IF(UPPER(AD239)="SKORYGOWANY",0,IF(UPPER(E239)="SPRZEDAŻ",IF(L239&lt;&gt;"",L239,I239*M239),0))</f>
        <v/>
      </c>
      <c r="AL239" s="21">
        <f>AE239*Q239</f>
        <v/>
      </c>
      <c r="AM239">
        <f>IF(R239="","",IF(LOWER(R239)="brak","Brak",IF(OR(ISNUMBER(SEARCH("własn",LOWER(R239))),ISNUMBER(SEARCH("wlasn",LOWER(R239))),ISNUMBER(SEARCH("wojciechowski",LOWER(R239)))),"Własny","Zewnętrzny")))</f>
        <v/>
      </c>
      <c r="AN239" s="24">
        <f>IF(C239="","",YEAR(C239))</f>
        <v/>
      </c>
      <c r="AO239" s="24">
        <f>IF(C239="","",MONTH(C239))</f>
        <v/>
      </c>
      <c r="AP239">
        <f>IF(C239="","",UPPER(TEXT(C239,"mmmm")))</f>
        <v/>
      </c>
      <c r="AQ239">
        <f>IF(C239="","","Q"&amp;ROUNDUP(MONTH(C239)/3,0))</f>
        <v/>
      </c>
    </row>
    <row r="240">
      <c r="A240" s="19" t="n">
        <v>46233</v>
      </c>
      <c r="B240" t="inlineStr">
        <is>
          <t>Chrzanów</t>
        </is>
      </c>
      <c r="C240" s="19" t="n">
        <v>46233</v>
      </c>
      <c r="D240" t="inlineStr">
        <is>
          <t>Magazyn Zabrze</t>
        </is>
      </c>
      <c r="E240" t="inlineStr">
        <is>
          <t>ZAKUP</t>
        </is>
      </c>
      <c r="F240" t="inlineStr">
        <is>
          <t>PZ/51  5/202624969/6082</t>
        </is>
      </c>
      <c r="G240" t="inlineStr">
        <is>
          <t>TAK</t>
        </is>
      </c>
      <c r="H240" t="inlineStr">
        <is>
          <t>Deklaracja</t>
        </is>
      </c>
      <c r="I240" s="20" t="n">
        <v>80.12</v>
      </c>
      <c r="J240" t="inlineStr">
        <is>
          <t>MP</t>
        </is>
      </c>
      <c r="K240" s="21" t="n">
        <v>0</v>
      </c>
      <c r="L240" s="21" t="n">
        <v>0</v>
      </c>
      <c r="M240" s="21" t="n">
        <v>0</v>
      </c>
      <c r="N240" t="inlineStr">
        <is>
          <t>Zrębka Produkcyjna Leśna</t>
        </is>
      </c>
      <c r="O240" t="inlineStr">
        <is>
          <t>B</t>
        </is>
      </c>
      <c r="Q240" s="21" t="n">
        <v>0</v>
      </c>
      <c r="R240" t="inlineStr">
        <is>
          <t>własny (Wilczak)</t>
        </is>
      </c>
      <c r="S240" t="inlineStr">
        <is>
          <t>SK 7J884</t>
        </is>
      </c>
      <c r="T240" s="22" t="n">
        <v>200</v>
      </c>
      <c r="U240" s="21" t="n">
        <v>5</v>
      </c>
      <c r="V240" s="21" t="n">
        <v>1000</v>
      </c>
      <c r="W240" t="inlineStr">
        <is>
          <t>Magazyn Zabrze</t>
        </is>
      </c>
      <c r="Z240" t="inlineStr">
        <is>
          <t>Roesner Mateusz</t>
        </is>
      </c>
      <c r="AA240" s="23" t="n">
        <v>46237.47658564815</v>
      </c>
      <c r="AB240" t="inlineStr">
        <is>
          <t>OP-MIGR-00239</t>
        </is>
      </c>
      <c r="AD240" t="inlineStr">
        <is>
          <t>AKTYWNY</t>
        </is>
      </c>
      <c r="AE240" s="20">
        <f>IF(I240="",0,IF(ISNUMBER(SEARCH("MP",UPPER(J240))),I240,IF(ISNUMBER(SEARCH("TON",UPPER(J240))),I240/Przelicznik_MP_tona,IF(ISNUMBER(SEARCH("M3",UPPER(J240))),I240*Przelicznik_M3_MP,IF(ISNUMBER(SEARCH("GJ",UPPER(J240))),I240/Przelicznik_GJ_tona/Przelicznik_MP_tona,I240)))))</f>
        <v/>
      </c>
      <c r="AF240" s="20">
        <f>IF(I240="",0,IF(ISNUMBER(SEARCH("TON",UPPER(J240))),I240,IF(ISNUMBER(SEARCH("GJ",UPPER(J240))),I240/Przelicznik_GJ_tona,AE240*Przelicznik_MP_tona)))</f>
        <v/>
      </c>
      <c r="AG240" s="20">
        <f>AF240*Przelicznik_GJ_tona</f>
        <v/>
      </c>
      <c r="AH240" s="20">
        <f>IF(UPPER(AD240)="SKORYGOWANY",0,IF(OR(UPPER(E240)="TRANSPORT",UPPER(E240)="MM"),0,IF(UPPER(G240)&lt;&gt;"TAK",0,IF(OR(UPPER(E240)="ZAKUP",UPPER(E240)="PRODUKCJA"),AE240,IF(OR(UPPER(E240)="SPRZEDAŻ",UPPER(E240)="ZUŻYCIE"),-AE240,0)))))</f>
        <v/>
      </c>
      <c r="AI240" s="20">
        <f>IF(UPPER(AD240)="SKORYGOWANY",0,IF(OR(UPPER(E240)="TRANSPORT",UPPER(E240)="MM"),0,IF(UPPER(G240)&lt;&gt;"TAK",0,IF(OR(UPPER(E240)="ZAKUP",UPPER(E240)="PRODUKCJA"),AF240,IF(OR(UPPER(E240)="SPRZEDAŻ",UPPER(E240)="ZUŻYCIE"),-AF240,0)))))</f>
        <v/>
      </c>
      <c r="AJ240" s="21">
        <f>IF(UPPER(AD240)="SKORYGOWANY",0,IF(UPPER(E240)="ZAKUP",IF(L240&lt;&gt;"",L240,I240*K240),0))</f>
        <v/>
      </c>
      <c r="AK240" s="21">
        <f>IF(UPPER(AD240)="SKORYGOWANY",0,IF(UPPER(E240)="SPRZEDAŻ",IF(L240&lt;&gt;"",L240,I240*M240),0))</f>
        <v/>
      </c>
      <c r="AL240" s="21">
        <f>AE240*Q240</f>
        <v/>
      </c>
      <c r="AM240">
        <f>IF(R240="","",IF(LOWER(R240)="brak","Brak",IF(OR(ISNUMBER(SEARCH("własn",LOWER(R240))),ISNUMBER(SEARCH("wlasn",LOWER(R240))),ISNUMBER(SEARCH("wojciechowski",LOWER(R240)))),"Własny","Zewnętrzny")))</f>
        <v/>
      </c>
      <c r="AN240" s="24">
        <f>IF(C240="","",YEAR(C240))</f>
        <v/>
      </c>
      <c r="AO240" s="24">
        <f>IF(C240="","",MONTH(C240))</f>
        <v/>
      </c>
      <c r="AP240">
        <f>IF(C240="","",UPPER(TEXT(C240,"mmmm")))</f>
        <v/>
      </c>
      <c r="AQ240">
        <f>IF(C240="","","Q"&amp;ROUNDUP(MONTH(C240)/3,0))</f>
        <v/>
      </c>
    </row>
    <row r="241">
      <c r="A241" s="19" t="n">
        <v>46233</v>
      </c>
      <c r="C241" s="19" t="n">
        <v>46233</v>
      </c>
      <c r="D241" t="inlineStr">
        <is>
          <t>NDL Chrzanów, Leśnictwo Płoki</t>
        </is>
      </c>
      <c r="E241" t="inlineStr">
        <is>
          <t>ZAKUP</t>
        </is>
      </c>
      <c r="F241" t="inlineStr">
        <is>
          <t>PZ/52</t>
        </is>
      </c>
      <c r="G241" t="inlineStr">
        <is>
          <t>TAK</t>
        </is>
      </c>
      <c r="H241" t="inlineStr">
        <is>
          <t>Deklaracja</t>
        </is>
      </c>
      <c r="I241" s="20" t="n">
        <v>21.78</v>
      </c>
      <c r="J241" t="inlineStr">
        <is>
          <t>M3</t>
        </is>
      </c>
      <c r="K241" s="21" t="n">
        <v>141</v>
      </c>
      <c r="L241" s="21" t="n">
        <v>3070.98</v>
      </c>
      <c r="M241" s="21" t="n">
        <v>0</v>
      </c>
      <c r="N241" t="inlineStr">
        <is>
          <t>Drewno opałowe z lasu</t>
        </is>
      </c>
      <c r="O241" t="inlineStr">
        <is>
          <t>B</t>
        </is>
      </c>
      <c r="Q241" s="21" t="n">
        <v>0</v>
      </c>
      <c r="T241" s="22" t="n">
        <v>0</v>
      </c>
      <c r="U241" s="21" t="n">
        <v>0</v>
      </c>
      <c r="V241" s="21" t="n">
        <v>0</v>
      </c>
      <c r="W241" t="inlineStr">
        <is>
          <t>Magazyn Zabrze</t>
        </is>
      </c>
      <c r="Z241" t="inlineStr">
        <is>
          <t>Roesner Mateusz</t>
        </is>
      </c>
      <c r="AA241" s="23" t="n">
        <v>46237.48719907407</v>
      </c>
      <c r="AB241" t="inlineStr">
        <is>
          <t>OP-MIGR-00240</t>
        </is>
      </c>
      <c r="AD241" t="inlineStr">
        <is>
          <t>AKTYWNY</t>
        </is>
      </c>
      <c r="AE241" s="20">
        <f>IF(I241="",0,IF(ISNUMBER(SEARCH("MP",UPPER(J241))),I241,IF(ISNUMBER(SEARCH("TON",UPPER(J241))),I241/Przelicznik_MP_tona,IF(ISNUMBER(SEARCH("M3",UPPER(J241))),I241*Przelicznik_M3_MP,IF(ISNUMBER(SEARCH("GJ",UPPER(J241))),I241/Przelicznik_GJ_tona/Przelicznik_MP_tona,I241)))))</f>
        <v/>
      </c>
      <c r="AF241" s="20">
        <f>IF(I241="",0,IF(ISNUMBER(SEARCH("TON",UPPER(J241))),I241,IF(ISNUMBER(SEARCH("GJ",UPPER(J241))),I241/Przelicznik_GJ_tona,AE241*Przelicznik_MP_tona)))</f>
        <v/>
      </c>
      <c r="AG241" s="20">
        <f>AF241*Przelicznik_GJ_tona</f>
        <v/>
      </c>
      <c r="AH241" s="20">
        <f>IF(UPPER(AD241)="SKORYGOWANY",0,IF(OR(UPPER(E241)="TRANSPORT",UPPER(E241)="MM"),0,IF(UPPER(G241)&lt;&gt;"TAK",0,IF(OR(UPPER(E241)="ZAKUP",UPPER(E241)="PRODUKCJA"),AE241,IF(OR(UPPER(E241)="SPRZEDAŻ",UPPER(E241)="ZUŻYCIE"),-AE241,0)))))</f>
        <v/>
      </c>
      <c r="AI241" s="20">
        <f>IF(UPPER(AD241)="SKORYGOWANY",0,IF(OR(UPPER(E241)="TRANSPORT",UPPER(E241)="MM"),0,IF(UPPER(G241)&lt;&gt;"TAK",0,IF(OR(UPPER(E241)="ZAKUP",UPPER(E241)="PRODUKCJA"),AF241,IF(OR(UPPER(E241)="SPRZEDAŻ",UPPER(E241)="ZUŻYCIE"),-AF241,0)))))</f>
        <v/>
      </c>
      <c r="AJ241" s="21">
        <f>IF(UPPER(AD241)="SKORYGOWANY",0,IF(UPPER(E241)="ZAKUP",IF(L241&lt;&gt;"",L241,I241*K241),0))</f>
        <v/>
      </c>
      <c r="AK241" s="21">
        <f>IF(UPPER(AD241)="SKORYGOWANY",0,IF(UPPER(E241)="SPRZEDAŻ",IF(L241&lt;&gt;"",L241,I241*M241),0))</f>
        <v/>
      </c>
      <c r="AL241" s="21">
        <f>AE241*Q241</f>
        <v/>
      </c>
      <c r="AM241">
        <f>IF(R241="","",IF(LOWER(R241)="brak","Brak",IF(OR(ISNUMBER(SEARCH("własn",LOWER(R241))),ISNUMBER(SEARCH("wlasn",LOWER(R241))),ISNUMBER(SEARCH("wojciechowski",LOWER(R241)))),"Własny","Zewnętrzny")))</f>
        <v/>
      </c>
      <c r="AN241" s="24">
        <f>IF(C241="","",YEAR(C241))</f>
        <v/>
      </c>
      <c r="AO241" s="24">
        <f>IF(C241="","",MONTH(C241))</f>
        <v/>
      </c>
      <c r="AP241">
        <f>IF(C241="","",UPPER(TEXT(C241,"mmmm")))</f>
        <v/>
      </c>
      <c r="AQ241">
        <f>IF(C241="","","Q"&amp;ROUNDUP(MONTH(C241)/3,0))</f>
        <v/>
      </c>
    </row>
    <row r="242">
      <c r="A242" s="19" t="n">
        <v>46233</v>
      </c>
      <c r="C242" s="19" t="n">
        <v>46233</v>
      </c>
      <c r="D242" t="inlineStr">
        <is>
          <t>Magazyn Zabrze</t>
        </is>
      </c>
      <c r="E242" t="inlineStr">
        <is>
          <t>PRODUKCJA</t>
        </is>
      </c>
      <c r="F242" t="inlineStr">
        <is>
          <t>PZ/52</t>
        </is>
      </c>
      <c r="G242" t="inlineStr">
        <is>
          <t>TAK</t>
        </is>
      </c>
      <c r="H242" t="inlineStr">
        <is>
          <t>Deklaracja</t>
        </is>
      </c>
      <c r="I242" s="20" t="n">
        <v>87.12</v>
      </c>
      <c r="J242" t="inlineStr">
        <is>
          <t>MP</t>
        </is>
      </c>
      <c r="K242" s="21" t="n">
        <v>0</v>
      </c>
      <c r="L242" s="21" t="n">
        <v>0</v>
      </c>
      <c r="M242" s="21" t="n">
        <v>0</v>
      </c>
      <c r="N242" t="inlineStr">
        <is>
          <t>Zrębka Produkcyjna Leśna</t>
        </is>
      </c>
      <c r="O242" t="inlineStr">
        <is>
          <t>B</t>
        </is>
      </c>
      <c r="P242" t="inlineStr">
        <is>
          <t>własne</t>
        </is>
      </c>
      <c r="Q242" s="21" t="n">
        <v>10</v>
      </c>
      <c r="T242" s="22" t="n">
        <v>0</v>
      </c>
      <c r="U242" s="21" t="n">
        <v>0</v>
      </c>
      <c r="V242" s="21" t="n">
        <v>0</v>
      </c>
      <c r="W242" t="inlineStr">
        <is>
          <t>Magazyn Zabrze</t>
        </is>
      </c>
      <c r="Z242" t="inlineStr">
        <is>
          <t>Roesner Mateusz</t>
        </is>
      </c>
      <c r="AA242" s="23" t="n">
        <v>46237.4879050926</v>
      </c>
      <c r="AB242" t="inlineStr">
        <is>
          <t>OP-MIGR-00241</t>
        </is>
      </c>
      <c r="AD242" t="inlineStr">
        <is>
          <t>AKTYWNY</t>
        </is>
      </c>
      <c r="AE242" s="20">
        <f>IF(I242="",0,IF(ISNUMBER(SEARCH("MP",UPPER(J242))),I242,IF(ISNUMBER(SEARCH("TON",UPPER(J242))),I242/Przelicznik_MP_tona,IF(ISNUMBER(SEARCH("M3",UPPER(J242))),I242*Przelicznik_M3_MP,IF(ISNUMBER(SEARCH("GJ",UPPER(J242))),I242/Przelicznik_GJ_tona/Przelicznik_MP_tona,I242)))))</f>
        <v/>
      </c>
      <c r="AF242" s="20">
        <f>IF(I242="",0,IF(ISNUMBER(SEARCH("TON",UPPER(J242))),I242,IF(ISNUMBER(SEARCH("GJ",UPPER(J242))),I242/Przelicznik_GJ_tona,AE242*Przelicznik_MP_tona)))</f>
        <v/>
      </c>
      <c r="AG242" s="20">
        <f>AF242*Przelicznik_GJ_tona</f>
        <v/>
      </c>
      <c r="AH242" s="20">
        <f>IF(UPPER(AD242)="SKORYGOWANY",0,IF(OR(UPPER(E242)="TRANSPORT",UPPER(E242)="MM"),0,IF(UPPER(G242)&lt;&gt;"TAK",0,IF(OR(UPPER(E242)="ZAKUP",UPPER(E242)="PRODUKCJA"),AE242,IF(OR(UPPER(E242)="SPRZEDAŻ",UPPER(E242)="ZUŻYCIE"),-AE242,0)))))</f>
        <v/>
      </c>
      <c r="AI242" s="20">
        <f>IF(UPPER(AD242)="SKORYGOWANY",0,IF(OR(UPPER(E242)="TRANSPORT",UPPER(E242)="MM"),0,IF(UPPER(G242)&lt;&gt;"TAK",0,IF(OR(UPPER(E242)="ZAKUP",UPPER(E242)="PRODUKCJA"),AF242,IF(OR(UPPER(E242)="SPRZEDAŻ",UPPER(E242)="ZUŻYCIE"),-AF242,0)))))</f>
        <v/>
      </c>
      <c r="AJ242" s="21">
        <f>IF(UPPER(AD242)="SKORYGOWANY",0,IF(UPPER(E242)="ZAKUP",IF(L242&lt;&gt;"",L242,I242*K242),0))</f>
        <v/>
      </c>
      <c r="AK242" s="21">
        <f>IF(UPPER(AD242)="SKORYGOWANY",0,IF(UPPER(E242)="SPRZEDAŻ",IF(L242&lt;&gt;"",L242,I242*M242),0))</f>
        <v/>
      </c>
      <c r="AL242" s="21">
        <f>AE242*Q242</f>
        <v/>
      </c>
      <c r="AM242">
        <f>IF(R242="","",IF(LOWER(R242)="brak","Brak",IF(OR(ISNUMBER(SEARCH("własn",LOWER(R242))),ISNUMBER(SEARCH("wlasn",LOWER(R242))),ISNUMBER(SEARCH("wojciechowski",LOWER(R242)))),"Własny","Zewnętrzny")))</f>
        <v/>
      </c>
      <c r="AN242" s="24">
        <f>IF(C242="","",YEAR(C242))</f>
        <v/>
      </c>
      <c r="AO242" s="24">
        <f>IF(C242="","",MONTH(C242))</f>
        <v/>
      </c>
      <c r="AP242">
        <f>IF(C242="","",UPPER(TEXT(C242,"mmmm")))</f>
        <v/>
      </c>
      <c r="AQ242">
        <f>IF(C242="","","Q"&amp;ROUNDUP(MONTH(C242)/3,0))</f>
        <v/>
      </c>
    </row>
    <row r="243">
      <c r="A243" s="19" t="n">
        <v>46233</v>
      </c>
      <c r="C243" s="19" t="n">
        <v>46233</v>
      </c>
      <c r="D243" t="inlineStr">
        <is>
          <t>Magazyn Zabrze</t>
        </is>
      </c>
      <c r="E243" t="inlineStr">
        <is>
          <t>ZUŻYCIE</t>
        </is>
      </c>
      <c r="F243" t="inlineStr">
        <is>
          <t>PZ/52</t>
        </is>
      </c>
      <c r="G243" t="inlineStr">
        <is>
          <t>TAK</t>
        </is>
      </c>
      <c r="H243" t="inlineStr">
        <is>
          <t>Deklaracja</t>
        </is>
      </c>
      <c r="I243" s="20" t="n">
        <v>87.12</v>
      </c>
      <c r="J243" t="inlineStr">
        <is>
          <t>MP</t>
        </is>
      </c>
      <c r="K243" s="21" t="n">
        <v>0</v>
      </c>
      <c r="L243" s="21" t="n">
        <v>0</v>
      </c>
      <c r="M243" s="21" t="n">
        <v>0</v>
      </c>
      <c r="N243" t="inlineStr">
        <is>
          <t>Zrębka Produkcyjna Leśna</t>
        </is>
      </c>
      <c r="O243" t="inlineStr">
        <is>
          <t>B</t>
        </is>
      </c>
      <c r="P243" t="inlineStr">
        <is>
          <t>własne</t>
        </is>
      </c>
      <c r="Q243" s="21" t="n">
        <v>10</v>
      </c>
      <c r="T243" s="22" t="n">
        <v>0</v>
      </c>
      <c r="U243" s="21" t="n">
        <v>0</v>
      </c>
      <c r="V243" s="21" t="n">
        <v>0</v>
      </c>
      <c r="W243" t="inlineStr">
        <is>
          <t>Magazyn Zabrze</t>
        </is>
      </c>
      <c r="Y243" t="inlineStr">
        <is>
          <t>Automatyczne zużycie surowca do produkcji</t>
        </is>
      </c>
      <c r="AA243" s="23" t="n">
        <v>46237.4879050926</v>
      </c>
      <c r="AB243" t="inlineStr">
        <is>
          <t>OP-MIGR-00242</t>
        </is>
      </c>
      <c r="AD243" t="inlineStr">
        <is>
          <t>AKTYWNY</t>
        </is>
      </c>
      <c r="AE243" s="20">
        <f>IF(I243="",0,IF(ISNUMBER(SEARCH("MP",UPPER(J243))),I243,IF(ISNUMBER(SEARCH("TON",UPPER(J243))),I243/Przelicznik_MP_tona,IF(ISNUMBER(SEARCH("M3",UPPER(J243))),I243*Przelicznik_M3_MP,IF(ISNUMBER(SEARCH("GJ",UPPER(J243))),I243/Przelicznik_GJ_tona/Przelicznik_MP_tona,I243)))))</f>
        <v/>
      </c>
      <c r="AF243" s="20">
        <f>IF(I243="",0,IF(ISNUMBER(SEARCH("TON",UPPER(J243))),I243,IF(ISNUMBER(SEARCH("GJ",UPPER(J243))),I243/Przelicznik_GJ_tona,AE243*Przelicznik_MP_tona)))</f>
        <v/>
      </c>
      <c r="AG243" s="20">
        <f>AF243*Przelicznik_GJ_tona</f>
        <v/>
      </c>
      <c r="AH243" s="20">
        <f>IF(UPPER(AD243)="SKORYGOWANY",0,IF(OR(UPPER(E243)="TRANSPORT",UPPER(E243)="MM"),0,IF(UPPER(G243)&lt;&gt;"TAK",0,IF(OR(UPPER(E243)="ZAKUP",UPPER(E243)="PRODUKCJA"),AE243,IF(OR(UPPER(E243)="SPRZEDAŻ",UPPER(E243)="ZUŻYCIE"),-AE243,0)))))</f>
        <v/>
      </c>
      <c r="AI243" s="20">
        <f>IF(UPPER(AD243)="SKORYGOWANY",0,IF(OR(UPPER(E243)="TRANSPORT",UPPER(E243)="MM"),0,IF(UPPER(G243)&lt;&gt;"TAK",0,IF(OR(UPPER(E243)="ZAKUP",UPPER(E243)="PRODUKCJA"),AF243,IF(OR(UPPER(E243)="SPRZEDAŻ",UPPER(E243)="ZUŻYCIE"),-AF243,0)))))</f>
        <v/>
      </c>
      <c r="AJ243" s="21">
        <f>IF(UPPER(AD243)="SKORYGOWANY",0,IF(UPPER(E243)="ZAKUP",IF(L243&lt;&gt;"",L243,I243*K243),0))</f>
        <v/>
      </c>
      <c r="AK243" s="21">
        <f>IF(UPPER(AD243)="SKORYGOWANY",0,IF(UPPER(E243)="SPRZEDAŻ",IF(L243&lt;&gt;"",L243,I243*M243),0))</f>
        <v/>
      </c>
      <c r="AL243" s="21">
        <f>AE243*Q243</f>
        <v/>
      </c>
      <c r="AM243">
        <f>IF(R243="","",IF(LOWER(R243)="brak","Brak",IF(OR(ISNUMBER(SEARCH("własn",LOWER(R243))),ISNUMBER(SEARCH("wlasn",LOWER(R243))),ISNUMBER(SEARCH("wojciechowski",LOWER(R243)))),"Własny","Zewnętrzny")))</f>
        <v/>
      </c>
      <c r="AN243" s="24">
        <f>IF(C243="","",YEAR(C243))</f>
        <v/>
      </c>
      <c r="AO243" s="24">
        <f>IF(C243="","",MONTH(C243))</f>
        <v/>
      </c>
      <c r="AP243">
        <f>IF(C243="","",UPPER(TEXT(C243,"mmmm")))</f>
        <v/>
      </c>
      <c r="AQ243">
        <f>IF(C243="","","Q"&amp;ROUNDUP(MONTH(C243)/3,0))</f>
        <v/>
      </c>
    </row>
    <row r="244">
      <c r="A244" s="19" t="n">
        <v>46233</v>
      </c>
      <c r="B244" t="inlineStr">
        <is>
          <t>Chrzanów</t>
        </is>
      </c>
      <c r="C244" s="19" t="n">
        <v>46233</v>
      </c>
      <c r="D244" t="inlineStr">
        <is>
          <t>Magazyn Zabrze</t>
        </is>
      </c>
      <c r="E244" t="inlineStr">
        <is>
          <t>ZAKUP</t>
        </is>
      </c>
      <c r="F244" t="inlineStr">
        <is>
          <t>PZ/52  5/202624969/6083</t>
        </is>
      </c>
      <c r="G244" t="inlineStr">
        <is>
          <t>TAK</t>
        </is>
      </c>
      <c r="H244" t="inlineStr">
        <is>
          <t>KZR</t>
        </is>
      </c>
      <c r="I244" s="20" t="n">
        <v>87.12</v>
      </c>
      <c r="J244" t="inlineStr">
        <is>
          <t>MP</t>
        </is>
      </c>
      <c r="K244" s="21" t="n">
        <v>0</v>
      </c>
      <c r="L244" s="21" t="n">
        <v>0</v>
      </c>
      <c r="M244" s="21" t="n">
        <v>0</v>
      </c>
      <c r="N244" t="inlineStr">
        <is>
          <t>Zrębka Produkcyjna Leśna</t>
        </is>
      </c>
      <c r="O244" t="inlineStr">
        <is>
          <t>B</t>
        </is>
      </c>
      <c r="Q244" s="21" t="n">
        <v>0</v>
      </c>
      <c r="R244" t="inlineStr">
        <is>
          <t>własny (Chrzan)</t>
        </is>
      </c>
      <c r="S244" t="inlineStr">
        <is>
          <t>SK 4K626</t>
        </is>
      </c>
      <c r="T244" s="22" t="n">
        <v>200</v>
      </c>
      <c r="U244" s="21" t="n">
        <v>5</v>
      </c>
      <c r="V244" s="21" t="n">
        <v>1000</v>
      </c>
      <c r="W244" t="inlineStr">
        <is>
          <t>Magazyn Zabrze</t>
        </is>
      </c>
      <c r="Z244" t="inlineStr">
        <is>
          <t>Roesner Mateusz</t>
        </is>
      </c>
      <c r="AA244" s="23" t="n">
        <v>46237.48893518518</v>
      </c>
      <c r="AB244" t="inlineStr">
        <is>
          <t>OP-MIGR-00243</t>
        </is>
      </c>
      <c r="AD244" t="inlineStr">
        <is>
          <t>AKTYWNY</t>
        </is>
      </c>
      <c r="AE244" s="20">
        <f>IF(I244="",0,IF(ISNUMBER(SEARCH("MP",UPPER(J244))),I244,IF(ISNUMBER(SEARCH("TON",UPPER(J244))),I244/Przelicznik_MP_tona,IF(ISNUMBER(SEARCH("M3",UPPER(J244))),I244*Przelicznik_M3_MP,IF(ISNUMBER(SEARCH("GJ",UPPER(J244))),I244/Przelicznik_GJ_tona/Przelicznik_MP_tona,I244)))))</f>
        <v/>
      </c>
      <c r="AF244" s="20">
        <f>IF(I244="",0,IF(ISNUMBER(SEARCH("TON",UPPER(J244))),I244,IF(ISNUMBER(SEARCH("GJ",UPPER(J244))),I244/Przelicznik_GJ_tona,AE244*Przelicznik_MP_tona)))</f>
        <v/>
      </c>
      <c r="AG244" s="20">
        <f>AF244*Przelicznik_GJ_tona</f>
        <v/>
      </c>
      <c r="AH244" s="20">
        <f>IF(UPPER(AD244)="SKORYGOWANY",0,IF(OR(UPPER(E244)="TRANSPORT",UPPER(E244)="MM"),0,IF(UPPER(G244)&lt;&gt;"TAK",0,IF(OR(UPPER(E244)="ZAKUP",UPPER(E244)="PRODUKCJA"),AE244,IF(OR(UPPER(E244)="SPRZEDAŻ",UPPER(E244)="ZUŻYCIE"),-AE244,0)))))</f>
        <v/>
      </c>
      <c r="AI244" s="20">
        <f>IF(UPPER(AD244)="SKORYGOWANY",0,IF(OR(UPPER(E244)="TRANSPORT",UPPER(E244)="MM"),0,IF(UPPER(G244)&lt;&gt;"TAK",0,IF(OR(UPPER(E244)="ZAKUP",UPPER(E244)="PRODUKCJA"),AF244,IF(OR(UPPER(E244)="SPRZEDAŻ",UPPER(E244)="ZUŻYCIE"),-AF244,0)))))</f>
        <v/>
      </c>
      <c r="AJ244" s="21">
        <f>IF(UPPER(AD244)="SKORYGOWANY",0,IF(UPPER(E244)="ZAKUP",IF(L244&lt;&gt;"",L244,I244*K244),0))</f>
        <v/>
      </c>
      <c r="AK244" s="21">
        <f>IF(UPPER(AD244)="SKORYGOWANY",0,IF(UPPER(E244)="SPRZEDAŻ",IF(L244&lt;&gt;"",L244,I244*M244),0))</f>
        <v/>
      </c>
      <c r="AL244" s="21">
        <f>AE244*Q244</f>
        <v/>
      </c>
      <c r="AM244">
        <f>IF(R244="","",IF(LOWER(R244)="brak","Brak",IF(OR(ISNUMBER(SEARCH("własn",LOWER(R244))),ISNUMBER(SEARCH("wlasn",LOWER(R244))),ISNUMBER(SEARCH("wojciechowski",LOWER(R244)))),"Własny","Zewnętrzny")))</f>
        <v/>
      </c>
      <c r="AN244" s="24">
        <f>IF(C244="","",YEAR(C244))</f>
        <v/>
      </c>
      <c r="AO244" s="24">
        <f>IF(C244="","",MONTH(C244))</f>
        <v/>
      </c>
      <c r="AP244">
        <f>IF(C244="","",UPPER(TEXT(C244,"mmmm")))</f>
        <v/>
      </c>
      <c r="AQ244">
        <f>IF(C244="","","Q"&amp;ROUNDUP(MONTH(C244)/3,0))</f>
        <v/>
      </c>
    </row>
    <row r="245">
      <c r="A245" s="19" t="n">
        <v>46233</v>
      </c>
      <c r="C245" s="19" t="n">
        <v>46233</v>
      </c>
      <c r="D245" t="inlineStr">
        <is>
          <t>NDL Chrzanów, Leśnictwo Płoki</t>
        </is>
      </c>
      <c r="E245" t="inlineStr">
        <is>
          <t>ZAKUP</t>
        </is>
      </c>
      <c r="F245" t="inlineStr">
        <is>
          <t>PZ/53</t>
        </is>
      </c>
      <c r="G245" t="inlineStr">
        <is>
          <t>TAK</t>
        </is>
      </c>
      <c r="H245" t="inlineStr">
        <is>
          <t>Deklaracja</t>
        </is>
      </c>
      <c r="I245" s="20" t="n">
        <v>14</v>
      </c>
      <c r="J245" t="inlineStr">
        <is>
          <t>M3</t>
        </is>
      </c>
      <c r="K245" s="21" t="n">
        <v>141</v>
      </c>
      <c r="L245" s="21" t="n">
        <v>1974</v>
      </c>
      <c r="M245" s="21" t="n">
        <v>0</v>
      </c>
      <c r="N245" t="inlineStr">
        <is>
          <t>Drewno opałowe z lasu</t>
        </is>
      </c>
      <c r="O245" t="inlineStr">
        <is>
          <t>B</t>
        </is>
      </c>
      <c r="Q245" s="21" t="n">
        <v>0</v>
      </c>
      <c r="T245" s="22" t="n">
        <v>0</v>
      </c>
      <c r="U245" s="21" t="n">
        <v>0</v>
      </c>
      <c r="V245" s="21" t="n">
        <v>0</v>
      </c>
      <c r="W245" t="inlineStr">
        <is>
          <t>Magazyn Zabrze</t>
        </is>
      </c>
      <c r="Z245" t="inlineStr">
        <is>
          <t>Roesner Mateusz</t>
        </is>
      </c>
      <c r="AA245" s="23" t="n">
        <v>46237.49329861111</v>
      </c>
      <c r="AB245" t="inlineStr">
        <is>
          <t>OP-MIGR-00244</t>
        </is>
      </c>
      <c r="AD245" t="inlineStr">
        <is>
          <t>AKTYWNY</t>
        </is>
      </c>
      <c r="AE245" s="20">
        <f>IF(I245="",0,IF(ISNUMBER(SEARCH("MP",UPPER(J245))),I245,IF(ISNUMBER(SEARCH("TON",UPPER(J245))),I245/Przelicznik_MP_tona,IF(ISNUMBER(SEARCH("M3",UPPER(J245))),I245*Przelicznik_M3_MP,IF(ISNUMBER(SEARCH("GJ",UPPER(J245))),I245/Przelicznik_GJ_tona/Przelicznik_MP_tona,I245)))))</f>
        <v/>
      </c>
      <c r="AF245" s="20">
        <f>IF(I245="",0,IF(ISNUMBER(SEARCH("TON",UPPER(J245))),I245,IF(ISNUMBER(SEARCH("GJ",UPPER(J245))),I245/Przelicznik_GJ_tona,AE245*Przelicznik_MP_tona)))</f>
        <v/>
      </c>
      <c r="AG245" s="20">
        <f>AF245*Przelicznik_GJ_tona</f>
        <v/>
      </c>
      <c r="AH245" s="20">
        <f>IF(UPPER(AD245)="SKORYGOWANY",0,IF(OR(UPPER(E245)="TRANSPORT",UPPER(E245)="MM"),0,IF(UPPER(G245)&lt;&gt;"TAK",0,IF(OR(UPPER(E245)="ZAKUP",UPPER(E245)="PRODUKCJA"),AE245,IF(OR(UPPER(E245)="SPRZEDAŻ",UPPER(E245)="ZUŻYCIE"),-AE245,0)))))</f>
        <v/>
      </c>
      <c r="AI245" s="20">
        <f>IF(UPPER(AD245)="SKORYGOWANY",0,IF(OR(UPPER(E245)="TRANSPORT",UPPER(E245)="MM"),0,IF(UPPER(G245)&lt;&gt;"TAK",0,IF(OR(UPPER(E245)="ZAKUP",UPPER(E245)="PRODUKCJA"),AF245,IF(OR(UPPER(E245)="SPRZEDAŻ",UPPER(E245)="ZUŻYCIE"),-AF245,0)))))</f>
        <v/>
      </c>
      <c r="AJ245" s="21">
        <f>IF(UPPER(AD245)="SKORYGOWANY",0,IF(UPPER(E245)="ZAKUP",IF(L245&lt;&gt;"",L245,I245*K245),0))</f>
        <v/>
      </c>
      <c r="AK245" s="21">
        <f>IF(UPPER(AD245)="SKORYGOWANY",0,IF(UPPER(E245)="SPRZEDAŻ",IF(L245&lt;&gt;"",L245,I245*M245),0))</f>
        <v/>
      </c>
      <c r="AL245" s="21">
        <f>AE245*Q245</f>
        <v/>
      </c>
      <c r="AM245">
        <f>IF(R245="","",IF(LOWER(R245)="brak","Brak",IF(OR(ISNUMBER(SEARCH("własn",LOWER(R245))),ISNUMBER(SEARCH("wlasn",LOWER(R245))),ISNUMBER(SEARCH("wojciechowski",LOWER(R245)))),"Własny","Zewnętrzny")))</f>
        <v/>
      </c>
      <c r="AN245" s="24">
        <f>IF(C245="","",YEAR(C245))</f>
        <v/>
      </c>
      <c r="AO245" s="24">
        <f>IF(C245="","",MONTH(C245))</f>
        <v/>
      </c>
      <c r="AP245">
        <f>IF(C245="","",UPPER(TEXT(C245,"mmmm")))</f>
        <v/>
      </c>
      <c r="AQ245">
        <f>IF(C245="","","Q"&amp;ROUNDUP(MONTH(C245)/3,0))</f>
        <v/>
      </c>
    </row>
    <row r="246">
      <c r="A246" s="19" t="n">
        <v>46233</v>
      </c>
      <c r="C246" s="19" t="n">
        <v>46233</v>
      </c>
      <c r="D246" t="inlineStr">
        <is>
          <t>Magazyn Zabrze</t>
        </is>
      </c>
      <c r="E246" t="inlineStr">
        <is>
          <t>PRODUKCJA</t>
        </is>
      </c>
      <c r="F246" t="inlineStr">
        <is>
          <t>PZ/53</t>
        </is>
      </c>
      <c r="G246" t="inlineStr">
        <is>
          <t>TAK</t>
        </is>
      </c>
      <c r="H246" t="inlineStr">
        <is>
          <t>Deklaracja</t>
        </is>
      </c>
      <c r="I246" s="20" t="n">
        <v>56</v>
      </c>
      <c r="J246" t="inlineStr">
        <is>
          <t>MP</t>
        </is>
      </c>
      <c r="K246" s="21" t="n">
        <v>0</v>
      </c>
      <c r="L246" s="21" t="n">
        <v>0</v>
      </c>
      <c r="M246" s="21" t="n">
        <v>0</v>
      </c>
      <c r="N246" t="inlineStr">
        <is>
          <t>Zrębka Produkcyjna Leśna</t>
        </is>
      </c>
      <c r="O246" t="inlineStr">
        <is>
          <t>B</t>
        </is>
      </c>
      <c r="P246" t="inlineStr">
        <is>
          <t>własne</t>
        </is>
      </c>
      <c r="Q246" s="21" t="n">
        <v>10</v>
      </c>
      <c r="T246" s="22" t="n">
        <v>0</v>
      </c>
      <c r="U246" s="21" t="n">
        <v>0</v>
      </c>
      <c r="V246" s="21" t="n">
        <v>0</v>
      </c>
      <c r="W246" t="inlineStr">
        <is>
          <t>Magazyn Zabrze</t>
        </is>
      </c>
      <c r="Z246" t="inlineStr">
        <is>
          <t>Roesner Mateusz</t>
        </is>
      </c>
      <c r="AA246" s="23" t="n">
        <v>46237.49391203704</v>
      </c>
      <c r="AB246" t="inlineStr">
        <is>
          <t>OP-MIGR-00245</t>
        </is>
      </c>
      <c r="AD246" t="inlineStr">
        <is>
          <t>AKTYWNY</t>
        </is>
      </c>
      <c r="AE246" s="20">
        <f>IF(I246="",0,IF(ISNUMBER(SEARCH("MP",UPPER(J246))),I246,IF(ISNUMBER(SEARCH("TON",UPPER(J246))),I246/Przelicznik_MP_tona,IF(ISNUMBER(SEARCH("M3",UPPER(J246))),I246*Przelicznik_M3_MP,IF(ISNUMBER(SEARCH("GJ",UPPER(J246))),I246/Przelicznik_GJ_tona/Przelicznik_MP_tona,I246)))))</f>
        <v/>
      </c>
      <c r="AF246" s="20">
        <f>IF(I246="",0,IF(ISNUMBER(SEARCH("TON",UPPER(J246))),I246,IF(ISNUMBER(SEARCH("GJ",UPPER(J246))),I246/Przelicznik_GJ_tona,AE246*Przelicznik_MP_tona)))</f>
        <v/>
      </c>
      <c r="AG246" s="20">
        <f>AF246*Przelicznik_GJ_tona</f>
        <v/>
      </c>
      <c r="AH246" s="20">
        <f>IF(UPPER(AD246)="SKORYGOWANY",0,IF(OR(UPPER(E246)="TRANSPORT",UPPER(E246)="MM"),0,IF(UPPER(G246)&lt;&gt;"TAK",0,IF(OR(UPPER(E246)="ZAKUP",UPPER(E246)="PRODUKCJA"),AE246,IF(OR(UPPER(E246)="SPRZEDAŻ",UPPER(E246)="ZUŻYCIE"),-AE246,0)))))</f>
        <v/>
      </c>
      <c r="AI246" s="20">
        <f>IF(UPPER(AD246)="SKORYGOWANY",0,IF(OR(UPPER(E246)="TRANSPORT",UPPER(E246)="MM"),0,IF(UPPER(G246)&lt;&gt;"TAK",0,IF(OR(UPPER(E246)="ZAKUP",UPPER(E246)="PRODUKCJA"),AF246,IF(OR(UPPER(E246)="SPRZEDAŻ",UPPER(E246)="ZUŻYCIE"),-AF246,0)))))</f>
        <v/>
      </c>
      <c r="AJ246" s="21">
        <f>IF(UPPER(AD246)="SKORYGOWANY",0,IF(UPPER(E246)="ZAKUP",IF(L246&lt;&gt;"",L246,I246*K246),0))</f>
        <v/>
      </c>
      <c r="AK246" s="21">
        <f>IF(UPPER(AD246)="SKORYGOWANY",0,IF(UPPER(E246)="SPRZEDAŻ",IF(L246&lt;&gt;"",L246,I246*M246),0))</f>
        <v/>
      </c>
      <c r="AL246" s="21">
        <f>AE246*Q246</f>
        <v/>
      </c>
      <c r="AM246">
        <f>IF(R246="","",IF(LOWER(R246)="brak","Brak",IF(OR(ISNUMBER(SEARCH("własn",LOWER(R246))),ISNUMBER(SEARCH("wlasn",LOWER(R246))),ISNUMBER(SEARCH("wojciechowski",LOWER(R246)))),"Własny","Zewnętrzny")))</f>
        <v/>
      </c>
      <c r="AN246" s="24">
        <f>IF(C246="","",YEAR(C246))</f>
        <v/>
      </c>
      <c r="AO246" s="24">
        <f>IF(C246="","",MONTH(C246))</f>
        <v/>
      </c>
      <c r="AP246">
        <f>IF(C246="","",UPPER(TEXT(C246,"mmmm")))</f>
        <v/>
      </c>
      <c r="AQ246">
        <f>IF(C246="","","Q"&amp;ROUNDUP(MONTH(C246)/3,0))</f>
        <v/>
      </c>
    </row>
    <row r="247">
      <c r="A247" s="19" t="n">
        <v>46233</v>
      </c>
      <c r="C247" s="19" t="n">
        <v>46233</v>
      </c>
      <c r="D247" t="inlineStr">
        <is>
          <t>Magazyn Zabrze</t>
        </is>
      </c>
      <c r="E247" t="inlineStr">
        <is>
          <t>ZUŻYCIE</t>
        </is>
      </c>
      <c r="F247" t="inlineStr">
        <is>
          <t>PZ/53</t>
        </is>
      </c>
      <c r="G247" t="inlineStr">
        <is>
          <t>TAK</t>
        </is>
      </c>
      <c r="H247" t="inlineStr">
        <is>
          <t>Deklaracja</t>
        </is>
      </c>
      <c r="I247" s="20" t="n">
        <v>56</v>
      </c>
      <c r="J247" t="inlineStr">
        <is>
          <t>MP</t>
        </is>
      </c>
      <c r="K247" s="21" t="n">
        <v>0</v>
      </c>
      <c r="L247" s="21" t="n">
        <v>0</v>
      </c>
      <c r="M247" s="21" t="n">
        <v>0</v>
      </c>
      <c r="N247" t="inlineStr">
        <is>
          <t>Zrębka Produkcyjna Leśna</t>
        </is>
      </c>
      <c r="O247" t="inlineStr">
        <is>
          <t>B</t>
        </is>
      </c>
      <c r="P247" t="inlineStr">
        <is>
          <t>własne</t>
        </is>
      </c>
      <c r="Q247" s="21" t="n">
        <v>10</v>
      </c>
      <c r="T247" s="22" t="n">
        <v>0</v>
      </c>
      <c r="U247" s="21" t="n">
        <v>0</v>
      </c>
      <c r="V247" s="21" t="n">
        <v>0</v>
      </c>
      <c r="W247" t="inlineStr">
        <is>
          <t>Magazyn Zabrze</t>
        </is>
      </c>
      <c r="Y247" t="inlineStr">
        <is>
          <t>Automatyczne zużycie surowca do produkcji</t>
        </is>
      </c>
      <c r="AA247" s="23" t="n">
        <v>46237.49391203704</v>
      </c>
      <c r="AB247" t="inlineStr">
        <is>
          <t>OP-MIGR-00246</t>
        </is>
      </c>
      <c r="AD247" t="inlineStr">
        <is>
          <t>AKTYWNY</t>
        </is>
      </c>
      <c r="AE247" s="20">
        <f>IF(I247="",0,IF(ISNUMBER(SEARCH("MP",UPPER(J247))),I247,IF(ISNUMBER(SEARCH("TON",UPPER(J247))),I247/Przelicznik_MP_tona,IF(ISNUMBER(SEARCH("M3",UPPER(J247))),I247*Przelicznik_M3_MP,IF(ISNUMBER(SEARCH("GJ",UPPER(J247))),I247/Przelicznik_GJ_tona/Przelicznik_MP_tona,I247)))))</f>
        <v/>
      </c>
      <c r="AF247" s="20">
        <f>IF(I247="",0,IF(ISNUMBER(SEARCH("TON",UPPER(J247))),I247,IF(ISNUMBER(SEARCH("GJ",UPPER(J247))),I247/Przelicznik_GJ_tona,AE247*Przelicznik_MP_tona)))</f>
        <v/>
      </c>
      <c r="AG247" s="20">
        <f>AF247*Przelicznik_GJ_tona</f>
        <v/>
      </c>
      <c r="AH247" s="20">
        <f>IF(UPPER(AD247)="SKORYGOWANY",0,IF(OR(UPPER(E247)="TRANSPORT",UPPER(E247)="MM"),0,IF(UPPER(G247)&lt;&gt;"TAK",0,IF(OR(UPPER(E247)="ZAKUP",UPPER(E247)="PRODUKCJA"),AE247,IF(OR(UPPER(E247)="SPRZEDAŻ",UPPER(E247)="ZUŻYCIE"),-AE247,0)))))</f>
        <v/>
      </c>
      <c r="AI247" s="20">
        <f>IF(UPPER(AD247)="SKORYGOWANY",0,IF(OR(UPPER(E247)="TRANSPORT",UPPER(E247)="MM"),0,IF(UPPER(G247)&lt;&gt;"TAK",0,IF(OR(UPPER(E247)="ZAKUP",UPPER(E247)="PRODUKCJA"),AF247,IF(OR(UPPER(E247)="SPRZEDAŻ",UPPER(E247)="ZUŻYCIE"),-AF247,0)))))</f>
        <v/>
      </c>
      <c r="AJ247" s="21">
        <f>IF(UPPER(AD247)="SKORYGOWANY",0,IF(UPPER(E247)="ZAKUP",IF(L247&lt;&gt;"",L247,I247*K247),0))</f>
        <v/>
      </c>
      <c r="AK247" s="21">
        <f>IF(UPPER(AD247)="SKORYGOWANY",0,IF(UPPER(E247)="SPRZEDAŻ",IF(L247&lt;&gt;"",L247,I247*M247),0))</f>
        <v/>
      </c>
      <c r="AL247" s="21">
        <f>AE247*Q247</f>
        <v/>
      </c>
      <c r="AM247">
        <f>IF(R247="","",IF(LOWER(R247)="brak","Brak",IF(OR(ISNUMBER(SEARCH("własn",LOWER(R247))),ISNUMBER(SEARCH("wlasn",LOWER(R247))),ISNUMBER(SEARCH("wojciechowski",LOWER(R247)))),"Własny","Zewnętrzny")))</f>
        <v/>
      </c>
      <c r="AN247" s="24">
        <f>IF(C247="","",YEAR(C247))</f>
        <v/>
      </c>
      <c r="AO247" s="24">
        <f>IF(C247="","",MONTH(C247))</f>
        <v/>
      </c>
      <c r="AP247">
        <f>IF(C247="","",UPPER(TEXT(C247,"mmmm")))</f>
        <v/>
      </c>
      <c r="AQ247">
        <f>IF(C247="","","Q"&amp;ROUNDUP(MONTH(C247)/3,0))</f>
        <v/>
      </c>
    </row>
    <row r="248">
      <c r="A248" s="19" t="n">
        <v>46233</v>
      </c>
      <c r="B248" t="inlineStr">
        <is>
          <t>Chrzanów</t>
        </is>
      </c>
      <c r="C248" s="19" t="n">
        <v>46233</v>
      </c>
      <c r="D248" t="inlineStr">
        <is>
          <t>Magazyn Zabrze</t>
        </is>
      </c>
      <c r="E248" t="inlineStr">
        <is>
          <t>ZAKUP</t>
        </is>
      </c>
      <c r="F248" t="inlineStr">
        <is>
          <t>PZ/53  5/202624969/6084</t>
        </is>
      </c>
      <c r="G248" t="inlineStr">
        <is>
          <t>TAK</t>
        </is>
      </c>
      <c r="H248" t="inlineStr">
        <is>
          <t>Deklaracja</t>
        </is>
      </c>
      <c r="I248" s="20" t="n">
        <v>56</v>
      </c>
      <c r="J248" t="inlineStr">
        <is>
          <t>MP</t>
        </is>
      </c>
      <c r="K248" s="21" t="n">
        <v>0</v>
      </c>
      <c r="L248" s="21" t="n">
        <v>0</v>
      </c>
      <c r="M248" s="21" t="n">
        <v>0</v>
      </c>
      <c r="N248" t="inlineStr">
        <is>
          <t>Zrębka Produkcyjna Leśna</t>
        </is>
      </c>
      <c r="O248" t="inlineStr">
        <is>
          <t>B</t>
        </is>
      </c>
      <c r="Q248" s="21" t="n">
        <v>0</v>
      </c>
      <c r="R248" t="inlineStr">
        <is>
          <t>własny (Wiór)</t>
        </is>
      </c>
      <c r="S248" t="inlineStr">
        <is>
          <t>SK 7H433</t>
        </is>
      </c>
      <c r="T248" s="22" t="n">
        <v>200</v>
      </c>
      <c r="U248" s="21" t="n">
        <v>6</v>
      </c>
      <c r="V248" s="21" t="n">
        <v>1200</v>
      </c>
      <c r="W248" t="inlineStr">
        <is>
          <t>Magazyn Zabrze</t>
        </is>
      </c>
      <c r="Z248" t="inlineStr">
        <is>
          <t>Roesner Mateusz</t>
        </is>
      </c>
      <c r="AA248" s="23" t="n">
        <v>46237.49538194444</v>
      </c>
      <c r="AB248" t="inlineStr">
        <is>
          <t>OP-MIGR-00247</t>
        </is>
      </c>
      <c r="AD248" t="inlineStr">
        <is>
          <t>AKTYWNY</t>
        </is>
      </c>
      <c r="AE248" s="20">
        <f>IF(I248="",0,IF(ISNUMBER(SEARCH("MP",UPPER(J248))),I248,IF(ISNUMBER(SEARCH("TON",UPPER(J248))),I248/Przelicznik_MP_tona,IF(ISNUMBER(SEARCH("M3",UPPER(J248))),I248*Przelicznik_M3_MP,IF(ISNUMBER(SEARCH("GJ",UPPER(J248))),I248/Przelicznik_GJ_tona/Przelicznik_MP_tona,I248)))))</f>
        <v/>
      </c>
      <c r="AF248" s="20">
        <f>IF(I248="",0,IF(ISNUMBER(SEARCH("TON",UPPER(J248))),I248,IF(ISNUMBER(SEARCH("GJ",UPPER(J248))),I248/Przelicznik_GJ_tona,AE248*Przelicznik_MP_tona)))</f>
        <v/>
      </c>
      <c r="AG248" s="20">
        <f>AF248*Przelicznik_GJ_tona</f>
        <v/>
      </c>
      <c r="AH248" s="20">
        <f>IF(UPPER(AD248)="SKORYGOWANY",0,IF(OR(UPPER(E248)="TRANSPORT",UPPER(E248)="MM"),0,IF(UPPER(G248)&lt;&gt;"TAK",0,IF(OR(UPPER(E248)="ZAKUP",UPPER(E248)="PRODUKCJA"),AE248,IF(OR(UPPER(E248)="SPRZEDAŻ",UPPER(E248)="ZUŻYCIE"),-AE248,0)))))</f>
        <v/>
      </c>
      <c r="AI248" s="20">
        <f>IF(UPPER(AD248)="SKORYGOWANY",0,IF(OR(UPPER(E248)="TRANSPORT",UPPER(E248)="MM"),0,IF(UPPER(G248)&lt;&gt;"TAK",0,IF(OR(UPPER(E248)="ZAKUP",UPPER(E248)="PRODUKCJA"),AF248,IF(OR(UPPER(E248)="SPRZEDAŻ",UPPER(E248)="ZUŻYCIE"),-AF248,0)))))</f>
        <v/>
      </c>
      <c r="AJ248" s="21">
        <f>IF(UPPER(AD248)="SKORYGOWANY",0,IF(UPPER(E248)="ZAKUP",IF(L248&lt;&gt;"",L248,I248*K248),0))</f>
        <v/>
      </c>
      <c r="AK248" s="21">
        <f>IF(UPPER(AD248)="SKORYGOWANY",0,IF(UPPER(E248)="SPRZEDAŻ",IF(L248&lt;&gt;"",L248,I248*M248),0))</f>
        <v/>
      </c>
      <c r="AL248" s="21">
        <f>AE248*Q248</f>
        <v/>
      </c>
      <c r="AM248">
        <f>IF(R248="","",IF(LOWER(R248)="brak","Brak",IF(OR(ISNUMBER(SEARCH("własn",LOWER(R248))),ISNUMBER(SEARCH("wlasn",LOWER(R248))),ISNUMBER(SEARCH("wojciechowski",LOWER(R248)))),"Własny","Zewnętrzny")))</f>
        <v/>
      </c>
      <c r="AN248" s="24">
        <f>IF(C248="","",YEAR(C248))</f>
        <v/>
      </c>
      <c r="AO248" s="24">
        <f>IF(C248="","",MONTH(C248))</f>
        <v/>
      </c>
      <c r="AP248">
        <f>IF(C248="","",UPPER(TEXT(C248,"mmmm")))</f>
        <v/>
      </c>
      <c r="AQ248">
        <f>IF(C248="","","Q"&amp;ROUNDUP(MONTH(C248)/3,0))</f>
        <v/>
      </c>
    </row>
    <row r="249">
      <c r="A249" s="19" t="n">
        <v>46233</v>
      </c>
      <c r="B249" t="inlineStr">
        <is>
          <t>Gdańsk</t>
        </is>
      </c>
      <c r="C249" s="19" t="n">
        <v>46233</v>
      </c>
      <c r="D249" t="inlineStr">
        <is>
          <t>Port Północny Gdańsk</t>
        </is>
      </c>
      <c r="E249" t="inlineStr">
        <is>
          <t>ZAKUP</t>
        </is>
      </c>
      <c r="F249" t="inlineStr">
        <is>
          <t>PZ/4/ŁN</t>
        </is>
      </c>
      <c r="G249" t="inlineStr">
        <is>
          <t>TAK</t>
        </is>
      </c>
      <c r="H249" t="inlineStr">
        <is>
          <t>KZR</t>
        </is>
      </c>
      <c r="I249" s="20" t="n">
        <v>652.2</v>
      </c>
      <c r="J249" t="inlineStr">
        <is>
          <t>TON</t>
        </is>
      </c>
      <c r="K249" s="21" t="n">
        <v>0</v>
      </c>
      <c r="L249" s="21" t="n">
        <v>0</v>
      </c>
      <c r="M249" s="21" t="n">
        <v>0</v>
      </c>
      <c r="N249" t="inlineStr">
        <is>
          <t>Łupiny nerkowca</t>
        </is>
      </c>
      <c r="Q249" s="21" t="n">
        <v>0</v>
      </c>
      <c r="R249" t="inlineStr">
        <is>
          <t>DB Cargo</t>
        </is>
      </c>
      <c r="T249" s="22" t="n">
        <v>0</v>
      </c>
      <c r="U249" s="21" t="n">
        <v>0</v>
      </c>
      <c r="V249" s="21" t="n">
        <v>0</v>
      </c>
      <c r="W249" t="inlineStr">
        <is>
          <t>Magazyn Zabrze</t>
        </is>
      </c>
      <c r="Y249" t="inlineStr">
        <is>
          <t>23 Wagony Łupiny Nerkowca</t>
        </is>
      </c>
      <c r="Z249" t="inlineStr">
        <is>
          <t>Roesner Mateusz</t>
        </is>
      </c>
      <c r="AA249" s="23" t="n">
        <v>46238.28725694444</v>
      </c>
      <c r="AB249" t="inlineStr">
        <is>
          <t>OP-MIGR-00248</t>
        </is>
      </c>
      <c r="AD249" t="inlineStr">
        <is>
          <t>AKTYWNY</t>
        </is>
      </c>
      <c r="AE249" s="20">
        <f>IF(I249="",0,IF(ISNUMBER(SEARCH("MP",UPPER(J249))),I249,IF(ISNUMBER(SEARCH("TON",UPPER(J249))),I249/Przelicznik_MP_tona,IF(ISNUMBER(SEARCH("M3",UPPER(J249))),I249*Przelicznik_M3_MP,IF(ISNUMBER(SEARCH("GJ",UPPER(J249))),I249/Przelicznik_GJ_tona/Przelicznik_MP_tona,I249)))))</f>
        <v/>
      </c>
      <c r="AF249" s="20">
        <f>IF(I249="",0,IF(ISNUMBER(SEARCH("TON",UPPER(J249))),I249,IF(ISNUMBER(SEARCH("GJ",UPPER(J249))),I249/Przelicznik_GJ_tona,AE249*Przelicznik_MP_tona)))</f>
        <v/>
      </c>
      <c r="AG249" s="20">
        <f>AF249*Przelicznik_GJ_tona</f>
        <v/>
      </c>
      <c r="AH249" s="20">
        <f>IF(UPPER(AD249)="SKORYGOWANY",0,IF(OR(UPPER(E249)="TRANSPORT",UPPER(E249)="MM"),0,IF(UPPER(G249)&lt;&gt;"TAK",0,IF(OR(UPPER(E249)="ZAKUP",UPPER(E249)="PRODUKCJA"),AE249,IF(OR(UPPER(E249)="SPRZEDAŻ",UPPER(E249)="ZUŻYCIE"),-AE249,0)))))</f>
        <v/>
      </c>
      <c r="AI249" s="20">
        <f>IF(UPPER(AD249)="SKORYGOWANY",0,IF(OR(UPPER(E249)="TRANSPORT",UPPER(E249)="MM"),0,IF(UPPER(G249)&lt;&gt;"TAK",0,IF(OR(UPPER(E249)="ZAKUP",UPPER(E249)="PRODUKCJA"),AF249,IF(OR(UPPER(E249)="SPRZEDAŻ",UPPER(E249)="ZUŻYCIE"),-AF249,0)))))</f>
        <v/>
      </c>
      <c r="AJ249" s="21">
        <f>IF(UPPER(AD249)="SKORYGOWANY",0,IF(UPPER(E249)="ZAKUP",IF(L249&lt;&gt;"",L249,I249*K249),0))</f>
        <v/>
      </c>
      <c r="AK249" s="21">
        <f>IF(UPPER(AD249)="SKORYGOWANY",0,IF(UPPER(E249)="SPRZEDAŻ",IF(L249&lt;&gt;"",L249,I249*M249),0))</f>
        <v/>
      </c>
      <c r="AL249" s="21">
        <f>AE249*Q249</f>
        <v/>
      </c>
      <c r="AM249">
        <f>IF(R249="","",IF(LOWER(R249)="brak","Brak",IF(OR(ISNUMBER(SEARCH("własn",LOWER(R249))),ISNUMBER(SEARCH("wlasn",LOWER(R249))),ISNUMBER(SEARCH("wojciechowski",LOWER(R249)))),"Własny","Zewnętrzny")))</f>
        <v/>
      </c>
      <c r="AN249" s="24">
        <f>IF(C249="","",YEAR(C249))</f>
        <v/>
      </c>
      <c r="AO249" s="24">
        <f>IF(C249="","",MONTH(C249))</f>
        <v/>
      </c>
      <c r="AP249">
        <f>IF(C249="","",UPPER(TEXT(C249,"mmmm")))</f>
        <v/>
      </c>
      <c r="AQ249">
        <f>IF(C249="","","Q"&amp;ROUNDUP(MONTH(C249)/3,0))</f>
        <v/>
      </c>
    </row>
    <row r="250">
      <c r="A250" s="19" t="n">
        <v>46233</v>
      </c>
      <c r="B250" t="inlineStr">
        <is>
          <t>Gdańsk</t>
        </is>
      </c>
      <c r="C250" s="19" t="n">
        <v>46233</v>
      </c>
      <c r="D250" t="inlineStr">
        <is>
          <t>Port Północny Gdańsk</t>
        </is>
      </c>
      <c r="E250" t="inlineStr">
        <is>
          <t>ZAKUP</t>
        </is>
      </c>
      <c r="F250" t="inlineStr">
        <is>
          <t>PZ/4/ŁN</t>
        </is>
      </c>
      <c r="G250" t="inlineStr">
        <is>
          <t>TAK</t>
        </is>
      </c>
      <c r="H250" t="inlineStr">
        <is>
          <t>KZR</t>
        </is>
      </c>
      <c r="I250" s="20" t="n">
        <v>315.7</v>
      </c>
      <c r="J250" t="inlineStr">
        <is>
          <t>TON</t>
        </is>
      </c>
      <c r="K250" s="21" t="n">
        <v>0</v>
      </c>
      <c r="L250" s="21" t="n">
        <v>0</v>
      </c>
      <c r="M250" s="21" t="n">
        <v>0</v>
      </c>
      <c r="N250" t="inlineStr">
        <is>
          <t>PKS</t>
        </is>
      </c>
      <c r="Q250" s="21" t="n">
        <v>0</v>
      </c>
      <c r="R250" t="inlineStr">
        <is>
          <t>DB Cargo</t>
        </is>
      </c>
      <c r="T250" s="22" t="n">
        <v>0</v>
      </c>
      <c r="U250" s="21" t="n">
        <v>0</v>
      </c>
      <c r="V250" s="21" t="n">
        <v>0</v>
      </c>
      <c r="W250" t="inlineStr">
        <is>
          <t>Magazyn Zabrze</t>
        </is>
      </c>
      <c r="Y250" t="inlineStr">
        <is>
          <t>9 Wagonów + 1 dziurawy (pusty)</t>
        </is>
      </c>
      <c r="Z250" t="inlineStr">
        <is>
          <t>Roesner Mateusz</t>
        </is>
      </c>
      <c r="AA250" s="23" t="n">
        <v>46238.29005787037</v>
      </c>
      <c r="AB250" t="inlineStr">
        <is>
          <t>OP-MIGR-00249</t>
        </is>
      </c>
      <c r="AD250" t="inlineStr">
        <is>
          <t>AKTYWNY</t>
        </is>
      </c>
      <c r="AE250" s="20">
        <f>IF(I250="",0,IF(ISNUMBER(SEARCH("MP",UPPER(J250))),I250,IF(ISNUMBER(SEARCH("TON",UPPER(J250))),I250/Przelicznik_MP_tona,IF(ISNUMBER(SEARCH("M3",UPPER(J250))),I250*Przelicznik_M3_MP,IF(ISNUMBER(SEARCH("GJ",UPPER(J250))),I250/Przelicznik_GJ_tona/Przelicznik_MP_tona,I250)))))</f>
        <v/>
      </c>
      <c r="AF250" s="20">
        <f>IF(I250="",0,IF(ISNUMBER(SEARCH("TON",UPPER(J250))),I250,IF(ISNUMBER(SEARCH("GJ",UPPER(J250))),I250/Przelicznik_GJ_tona,AE250*Przelicznik_MP_tona)))</f>
        <v/>
      </c>
      <c r="AG250" s="20">
        <f>AF250*Przelicznik_GJ_tona</f>
        <v/>
      </c>
      <c r="AH250" s="20">
        <f>IF(UPPER(AD250)="SKORYGOWANY",0,IF(OR(UPPER(E250)="TRANSPORT",UPPER(E250)="MM"),0,IF(UPPER(G250)&lt;&gt;"TAK",0,IF(OR(UPPER(E250)="ZAKUP",UPPER(E250)="PRODUKCJA"),AE250,IF(OR(UPPER(E250)="SPRZEDAŻ",UPPER(E250)="ZUŻYCIE"),-AE250,0)))))</f>
        <v/>
      </c>
      <c r="AI250" s="20">
        <f>IF(UPPER(AD250)="SKORYGOWANY",0,IF(OR(UPPER(E250)="TRANSPORT",UPPER(E250)="MM"),0,IF(UPPER(G250)&lt;&gt;"TAK",0,IF(OR(UPPER(E250)="ZAKUP",UPPER(E250)="PRODUKCJA"),AF250,IF(OR(UPPER(E250)="SPRZEDAŻ",UPPER(E250)="ZUŻYCIE"),-AF250,0)))))</f>
        <v/>
      </c>
      <c r="AJ250" s="21">
        <f>IF(UPPER(AD250)="SKORYGOWANY",0,IF(UPPER(E250)="ZAKUP",IF(L250&lt;&gt;"",L250,I250*K250),0))</f>
        <v/>
      </c>
      <c r="AK250" s="21">
        <f>IF(UPPER(AD250)="SKORYGOWANY",0,IF(UPPER(E250)="SPRZEDAŻ",IF(L250&lt;&gt;"",L250,I250*M250),0))</f>
        <v/>
      </c>
      <c r="AL250" s="21">
        <f>AE250*Q250</f>
        <v/>
      </c>
      <c r="AM250">
        <f>IF(R250="","",IF(LOWER(R250)="brak","Brak",IF(OR(ISNUMBER(SEARCH("własn",LOWER(R250))),ISNUMBER(SEARCH("wlasn",LOWER(R250))),ISNUMBER(SEARCH("wojciechowski",LOWER(R250)))),"Własny","Zewnętrzny")))</f>
        <v/>
      </c>
      <c r="AN250" s="24">
        <f>IF(C250="","",YEAR(C250))</f>
        <v/>
      </c>
      <c r="AO250" s="24">
        <f>IF(C250="","",MONTH(C250))</f>
        <v/>
      </c>
      <c r="AP250">
        <f>IF(C250="","",UPPER(TEXT(C250,"mmmm")))</f>
        <v/>
      </c>
      <c r="AQ250">
        <f>IF(C250="","","Q"&amp;ROUNDUP(MONTH(C250)/3,0))</f>
        <v/>
      </c>
    </row>
    <row r="251">
      <c r="A251" s="19" t="n">
        <v>46233</v>
      </c>
      <c r="B251" t="inlineStr">
        <is>
          <t>Gdańsk</t>
        </is>
      </c>
      <c r="C251" s="19" t="n">
        <v>46233</v>
      </c>
      <c r="D251" t="inlineStr">
        <is>
          <t>Port Północny Gdańsk</t>
        </is>
      </c>
      <c r="E251" t="inlineStr">
        <is>
          <t>ZAKUP</t>
        </is>
      </c>
      <c r="F251" t="inlineStr">
        <is>
          <t>PZ/4/ŁN</t>
        </is>
      </c>
      <c r="G251" t="inlineStr">
        <is>
          <t>TAK</t>
        </is>
      </c>
      <c r="H251" t="inlineStr">
        <is>
          <t>KZR</t>
        </is>
      </c>
      <c r="I251" s="20" t="n">
        <v>271.35</v>
      </c>
      <c r="J251" t="inlineStr">
        <is>
          <t>TON</t>
        </is>
      </c>
      <c r="K251" s="21" t="n">
        <v>0</v>
      </c>
      <c r="L251" s="21" t="n">
        <v>0</v>
      </c>
      <c r="M251" s="21" t="n">
        <v>0</v>
      </c>
      <c r="N251" t="inlineStr">
        <is>
          <t>CNSC</t>
        </is>
      </c>
      <c r="Q251" s="21" t="n">
        <v>0</v>
      </c>
      <c r="R251" t="inlineStr">
        <is>
          <t>DB Cargo</t>
        </is>
      </c>
      <c r="T251" s="22" t="n">
        <v>0</v>
      </c>
      <c r="U251" s="21" t="n">
        <v>0</v>
      </c>
      <c r="V251" s="21" t="n">
        <v>0</v>
      </c>
      <c r="W251" t="inlineStr">
        <is>
          <t>Magazyn Zabrze</t>
        </is>
      </c>
      <c r="Y251" t="inlineStr">
        <is>
          <t>9 Wagonów + 1 dziurawy (pusty)</t>
        </is>
      </c>
      <c r="Z251" t="inlineStr">
        <is>
          <t>Roesner Mateusz</t>
        </is>
      </c>
      <c r="AA251" s="23" t="n">
        <v>46238.2921412037</v>
      </c>
      <c r="AB251" t="inlineStr">
        <is>
          <t>OP-MIGR-00250</t>
        </is>
      </c>
      <c r="AD251" t="inlineStr">
        <is>
          <t>AKTYWNY</t>
        </is>
      </c>
      <c r="AE251" s="20">
        <f>IF(I251="",0,IF(ISNUMBER(SEARCH("MP",UPPER(J251))),I251,IF(ISNUMBER(SEARCH("TON",UPPER(J251))),I251/Przelicznik_MP_tona,IF(ISNUMBER(SEARCH("M3",UPPER(J251))),I251*Przelicznik_M3_MP,IF(ISNUMBER(SEARCH("GJ",UPPER(J251))),I251/Przelicznik_GJ_tona/Przelicznik_MP_tona,I251)))))</f>
        <v/>
      </c>
      <c r="AF251" s="20">
        <f>IF(I251="",0,IF(ISNUMBER(SEARCH("TON",UPPER(J251))),I251,IF(ISNUMBER(SEARCH("GJ",UPPER(J251))),I251/Przelicznik_GJ_tona,AE251*Przelicznik_MP_tona)))</f>
        <v/>
      </c>
      <c r="AG251" s="20">
        <f>AF251*Przelicznik_GJ_tona</f>
        <v/>
      </c>
      <c r="AH251" s="20">
        <f>IF(UPPER(AD251)="SKORYGOWANY",0,IF(OR(UPPER(E251)="TRANSPORT",UPPER(E251)="MM"),0,IF(UPPER(G251)&lt;&gt;"TAK",0,IF(OR(UPPER(E251)="ZAKUP",UPPER(E251)="PRODUKCJA"),AE251,IF(OR(UPPER(E251)="SPRZEDAŻ",UPPER(E251)="ZUŻYCIE"),-AE251,0)))))</f>
        <v/>
      </c>
      <c r="AI251" s="20">
        <f>IF(UPPER(AD251)="SKORYGOWANY",0,IF(OR(UPPER(E251)="TRANSPORT",UPPER(E251)="MM"),0,IF(UPPER(G251)&lt;&gt;"TAK",0,IF(OR(UPPER(E251)="ZAKUP",UPPER(E251)="PRODUKCJA"),AF251,IF(OR(UPPER(E251)="SPRZEDAŻ",UPPER(E251)="ZUŻYCIE"),-AF251,0)))))</f>
        <v/>
      </c>
      <c r="AJ251" s="21">
        <f>IF(UPPER(AD251)="SKORYGOWANY",0,IF(UPPER(E251)="ZAKUP",IF(L251&lt;&gt;"",L251,I251*K251),0))</f>
        <v/>
      </c>
      <c r="AK251" s="21">
        <f>IF(UPPER(AD251)="SKORYGOWANY",0,IF(UPPER(E251)="SPRZEDAŻ",IF(L251&lt;&gt;"",L251,I251*M251),0))</f>
        <v/>
      </c>
      <c r="AL251" s="21">
        <f>AE251*Q251</f>
        <v/>
      </c>
      <c r="AM251">
        <f>IF(R251="","",IF(LOWER(R251)="brak","Brak",IF(OR(ISNUMBER(SEARCH("własn",LOWER(R251))),ISNUMBER(SEARCH("wlasn",LOWER(R251))),ISNUMBER(SEARCH("wojciechowski",LOWER(R251)))),"Własny","Zewnętrzny")))</f>
        <v/>
      </c>
      <c r="AN251" s="24">
        <f>IF(C251="","",YEAR(C251))</f>
        <v/>
      </c>
      <c r="AO251" s="24">
        <f>IF(C251="","",MONTH(C251))</f>
        <v/>
      </c>
      <c r="AP251">
        <f>IF(C251="","",UPPER(TEXT(C251,"mmmm")))</f>
        <v/>
      </c>
      <c r="AQ251">
        <f>IF(C251="","","Q"&amp;ROUNDUP(MONTH(C251)/3,0))</f>
        <v/>
      </c>
    </row>
    <row r="252">
      <c r="A252" s="19" t="n">
        <v>46234</v>
      </c>
      <c r="C252" s="19" t="n">
        <v>46234</v>
      </c>
      <c r="D252" t="inlineStr">
        <is>
          <t>Lander Agro</t>
        </is>
      </c>
      <c r="E252" t="inlineStr">
        <is>
          <t>ZAKUP</t>
        </is>
      </c>
      <c r="F252" t="inlineStr">
        <is>
          <t>PZ/28/D</t>
        </is>
      </c>
      <c r="G252" t="inlineStr">
        <is>
          <t>TAK</t>
        </is>
      </c>
      <c r="H252" t="inlineStr">
        <is>
          <t>KZR</t>
        </is>
      </c>
      <c r="I252" s="20" t="n">
        <v>6.44</v>
      </c>
      <c r="J252" t="inlineStr">
        <is>
          <t>M3</t>
        </is>
      </c>
      <c r="K252" s="21" t="n">
        <v>230</v>
      </c>
      <c r="L252" s="21" t="n">
        <v>1481.2</v>
      </c>
      <c r="M252" s="21" t="n">
        <v>0</v>
      </c>
      <c r="N252" t="inlineStr">
        <is>
          <t>Drewno opałowe z lasu</t>
        </is>
      </c>
      <c r="Q252" s="21" t="n">
        <v>0</v>
      </c>
      <c r="T252" s="22" t="n">
        <v>0</v>
      </c>
      <c r="U252" s="21" t="n">
        <v>0</v>
      </c>
      <c r="V252" s="21" t="n">
        <v>0</v>
      </c>
      <c r="W252" t="inlineStr">
        <is>
          <t>Magazyn Zabrze</t>
        </is>
      </c>
      <c r="Y252" t="inlineStr">
        <is>
          <t>Waga b/d</t>
        </is>
      </c>
      <c r="Z252" t="inlineStr">
        <is>
          <t>Roesner Mateusz</t>
        </is>
      </c>
      <c r="AA252" s="23" t="n">
        <v>46234.44774305556</v>
      </c>
      <c r="AB252" t="inlineStr">
        <is>
          <t>OP-MIGR-00251</t>
        </is>
      </c>
      <c r="AD252" t="inlineStr">
        <is>
          <t>AKTYWNY</t>
        </is>
      </c>
      <c r="AE252" s="20">
        <f>IF(I252="",0,IF(ISNUMBER(SEARCH("MP",UPPER(J252))),I252,IF(ISNUMBER(SEARCH("TON",UPPER(J252))),I252/Przelicznik_MP_tona,IF(ISNUMBER(SEARCH("M3",UPPER(J252))),I252*Przelicznik_M3_MP,IF(ISNUMBER(SEARCH("GJ",UPPER(J252))),I252/Przelicznik_GJ_tona/Przelicznik_MP_tona,I252)))))</f>
        <v/>
      </c>
      <c r="AF252" s="20">
        <f>IF(I252="",0,IF(ISNUMBER(SEARCH("TON",UPPER(J252))),I252,IF(ISNUMBER(SEARCH("GJ",UPPER(J252))),I252/Przelicznik_GJ_tona,AE252*Przelicznik_MP_tona)))</f>
        <v/>
      </c>
      <c r="AG252" s="20">
        <f>AF252*Przelicznik_GJ_tona</f>
        <v/>
      </c>
      <c r="AH252" s="20">
        <f>IF(UPPER(AD252)="SKORYGOWANY",0,IF(OR(UPPER(E252)="TRANSPORT",UPPER(E252)="MM"),0,IF(UPPER(G252)&lt;&gt;"TAK",0,IF(OR(UPPER(E252)="ZAKUP",UPPER(E252)="PRODUKCJA"),AE252,IF(OR(UPPER(E252)="SPRZEDAŻ",UPPER(E252)="ZUŻYCIE"),-AE252,0)))))</f>
        <v/>
      </c>
      <c r="AI252" s="20">
        <f>IF(UPPER(AD252)="SKORYGOWANY",0,IF(OR(UPPER(E252)="TRANSPORT",UPPER(E252)="MM"),0,IF(UPPER(G252)&lt;&gt;"TAK",0,IF(OR(UPPER(E252)="ZAKUP",UPPER(E252)="PRODUKCJA"),AF252,IF(OR(UPPER(E252)="SPRZEDAŻ",UPPER(E252)="ZUŻYCIE"),-AF252,0)))))</f>
        <v/>
      </c>
      <c r="AJ252" s="21">
        <f>IF(UPPER(AD252)="SKORYGOWANY",0,IF(UPPER(E252)="ZAKUP",IF(L252&lt;&gt;"",L252,I252*K252),0))</f>
        <v/>
      </c>
      <c r="AK252" s="21">
        <f>IF(UPPER(AD252)="SKORYGOWANY",0,IF(UPPER(E252)="SPRZEDAŻ",IF(L252&lt;&gt;"",L252,I252*M252),0))</f>
        <v/>
      </c>
      <c r="AL252" s="21">
        <f>AE252*Q252</f>
        <v/>
      </c>
      <c r="AM252">
        <f>IF(R252="","",IF(LOWER(R252)="brak","Brak",IF(OR(ISNUMBER(SEARCH("własn",LOWER(R252))),ISNUMBER(SEARCH("wlasn",LOWER(R252))),ISNUMBER(SEARCH("wojciechowski",LOWER(R252)))),"Własny","Zewnętrzny")))</f>
        <v/>
      </c>
      <c r="AN252" s="24">
        <f>IF(C252="","",YEAR(C252))</f>
        <v/>
      </c>
      <c r="AO252" s="24">
        <f>IF(C252="","",MONTH(C252))</f>
        <v/>
      </c>
      <c r="AP252">
        <f>IF(C252="","",UPPER(TEXT(C252,"mmmm")))</f>
        <v/>
      </c>
      <c r="AQ252">
        <f>IF(C252="","","Q"&amp;ROUNDUP(MONTH(C252)/3,0))</f>
        <v/>
      </c>
    </row>
    <row r="253">
      <c r="A253" s="19" t="n">
        <v>46237</v>
      </c>
      <c r="B253" t="inlineStr">
        <is>
          <t>Magazyn Pyskowice</t>
        </is>
      </c>
      <c r="C253" s="19" t="n">
        <v>46237</v>
      </c>
      <c r="D253" t="inlineStr">
        <is>
          <t>Magazyn Pyskowice</t>
        </is>
      </c>
      <c r="E253" t="inlineStr">
        <is>
          <t>MM</t>
        </is>
      </c>
      <c r="F253" t="inlineStr">
        <is>
          <t>MM-54</t>
        </is>
      </c>
      <c r="G253" t="inlineStr">
        <is>
          <t>TAK</t>
        </is>
      </c>
      <c r="I253" s="20" t="n">
        <v>23</v>
      </c>
      <c r="J253" t="inlineStr">
        <is>
          <t>MP</t>
        </is>
      </c>
      <c r="K253" s="21" t="n">
        <v>0</v>
      </c>
      <c r="L253" s="21" t="n">
        <v>0</v>
      </c>
      <c r="M253" s="21" t="n">
        <v>0</v>
      </c>
      <c r="N253" t="inlineStr">
        <is>
          <t>Zrębka Produkcyjna Leśna</t>
        </is>
      </c>
      <c r="O253" t="inlineStr">
        <is>
          <t>B</t>
        </is>
      </c>
      <c r="Q253" s="21" t="n">
        <v>0</v>
      </c>
      <c r="R253" t="inlineStr">
        <is>
          <t>własny (Wiór)</t>
        </is>
      </c>
      <c r="S253" t="inlineStr">
        <is>
          <t>SK 7H433</t>
        </is>
      </c>
      <c r="T253" s="22" t="n">
        <v>40</v>
      </c>
      <c r="U253" s="21" t="n">
        <v>6</v>
      </c>
      <c r="V253" s="21" t="n">
        <v>240</v>
      </c>
      <c r="W253" t="inlineStr">
        <is>
          <t>Magazyn Zabrze</t>
        </is>
      </c>
      <c r="X253" t="inlineStr">
        <is>
          <t>Magazyn Pyskowice</t>
        </is>
      </c>
      <c r="Z253" t="inlineStr">
        <is>
          <t>Roesner Mateusz</t>
        </is>
      </c>
      <c r="AA253" s="23" t="n">
        <v>46237.50429398148</v>
      </c>
      <c r="AB253" t="inlineStr">
        <is>
          <t>OP-MIGR-00252</t>
        </is>
      </c>
      <c r="AD253" t="inlineStr">
        <is>
          <t>AKTYWNY</t>
        </is>
      </c>
      <c r="AE253" s="20">
        <f>IF(I253="",0,IF(ISNUMBER(SEARCH("MP",UPPER(J253))),I253,IF(ISNUMBER(SEARCH("TON",UPPER(J253))),I253/Przelicznik_MP_tona,IF(ISNUMBER(SEARCH("M3",UPPER(J253))),I253*Przelicznik_M3_MP,IF(ISNUMBER(SEARCH("GJ",UPPER(J253))),I253/Przelicznik_GJ_tona/Przelicznik_MP_tona,I253)))))</f>
        <v/>
      </c>
      <c r="AF253" s="20">
        <f>IF(I253="",0,IF(ISNUMBER(SEARCH("TON",UPPER(J253))),I253,IF(ISNUMBER(SEARCH("GJ",UPPER(J253))),I253/Przelicznik_GJ_tona,AE253*Przelicznik_MP_tona)))</f>
        <v/>
      </c>
      <c r="AG253" s="20">
        <f>AF253*Przelicznik_GJ_tona</f>
        <v/>
      </c>
      <c r="AH253" s="20">
        <f>IF(UPPER(AD253)="SKORYGOWANY",0,IF(OR(UPPER(E253)="TRANSPORT",UPPER(E253)="MM"),0,IF(UPPER(G253)&lt;&gt;"TAK",0,IF(OR(UPPER(E253)="ZAKUP",UPPER(E253)="PRODUKCJA"),AE253,IF(OR(UPPER(E253)="SPRZEDAŻ",UPPER(E253)="ZUŻYCIE"),-AE253,0)))))</f>
        <v/>
      </c>
      <c r="AI253" s="20">
        <f>IF(UPPER(AD253)="SKORYGOWANY",0,IF(OR(UPPER(E253)="TRANSPORT",UPPER(E253)="MM"),0,IF(UPPER(G253)&lt;&gt;"TAK",0,IF(OR(UPPER(E253)="ZAKUP",UPPER(E253)="PRODUKCJA"),AF253,IF(OR(UPPER(E253)="SPRZEDAŻ",UPPER(E253)="ZUŻYCIE"),-AF253,0)))))</f>
        <v/>
      </c>
      <c r="AJ253" s="21">
        <f>IF(UPPER(AD253)="SKORYGOWANY",0,IF(UPPER(E253)="ZAKUP",IF(L253&lt;&gt;"",L253,I253*K253),0))</f>
        <v/>
      </c>
      <c r="AK253" s="21">
        <f>IF(UPPER(AD253)="SKORYGOWANY",0,IF(UPPER(E253)="SPRZEDAŻ",IF(L253&lt;&gt;"",L253,I253*M253),0))</f>
        <v/>
      </c>
      <c r="AL253" s="21">
        <f>AE253*Q253</f>
        <v/>
      </c>
      <c r="AM253">
        <f>IF(R253="","",IF(LOWER(R253)="brak","Brak",IF(OR(ISNUMBER(SEARCH("własn",LOWER(R253))),ISNUMBER(SEARCH("wlasn",LOWER(R253))),ISNUMBER(SEARCH("wojciechowski",LOWER(R253)))),"Własny","Zewnętrzny")))</f>
        <v/>
      </c>
      <c r="AN253" s="24">
        <f>IF(C253="","",YEAR(C253))</f>
        <v/>
      </c>
      <c r="AO253" s="24">
        <f>IF(C253="","",MONTH(C253))</f>
        <v/>
      </c>
      <c r="AP253">
        <f>IF(C253="","",UPPER(TEXT(C253,"mmmm")))</f>
        <v/>
      </c>
      <c r="AQ253">
        <f>IF(C253="","","Q"&amp;ROUNDUP(MONTH(C253)/3,0))</f>
        <v/>
      </c>
    </row>
    <row r="254">
      <c r="A254" s="19" t="n">
        <v>46237</v>
      </c>
      <c r="C254" s="19" t="n">
        <v>46237</v>
      </c>
      <c r="D254" t="inlineStr">
        <is>
          <t>NDL Chrzanów, Leśnictwo Płoki</t>
        </is>
      </c>
      <c r="E254" t="inlineStr">
        <is>
          <t>ZAKUP</t>
        </is>
      </c>
      <c r="F254" t="inlineStr">
        <is>
          <t>PZ/54  5/20264969/6088</t>
        </is>
      </c>
      <c r="G254" t="inlineStr">
        <is>
          <t>TAK</t>
        </is>
      </c>
      <c r="H254" t="inlineStr">
        <is>
          <t>Deklaracja</t>
        </is>
      </c>
      <c r="I254" s="20" t="n">
        <v>20.28</v>
      </c>
      <c r="J254" t="inlineStr">
        <is>
          <t>M3</t>
        </is>
      </c>
      <c r="K254" s="21" t="n">
        <v>141</v>
      </c>
      <c r="L254" s="21" t="n">
        <v>2859.48</v>
      </c>
      <c r="M254" s="21" t="n">
        <v>0</v>
      </c>
      <c r="N254" t="inlineStr">
        <is>
          <t>Drewno opałowe z lasu</t>
        </is>
      </c>
      <c r="O254" t="inlineStr">
        <is>
          <t>B</t>
        </is>
      </c>
      <c r="Q254" s="21" t="n">
        <v>0</v>
      </c>
      <c r="T254" s="22" t="n">
        <v>0</v>
      </c>
      <c r="U254" s="21" t="n">
        <v>0</v>
      </c>
      <c r="V254" s="21" t="n">
        <v>0</v>
      </c>
      <c r="W254" t="inlineStr">
        <is>
          <t>Magazyn Zabrze</t>
        </is>
      </c>
      <c r="Z254" t="inlineStr">
        <is>
          <t>Roesner Mateusz</t>
        </is>
      </c>
      <c r="AA254" s="23" t="n">
        <v>46244.38612268519</v>
      </c>
      <c r="AB254" t="inlineStr">
        <is>
          <t>OP-MIGR-00253</t>
        </is>
      </c>
      <c r="AD254" t="inlineStr">
        <is>
          <t>AKTYWNY</t>
        </is>
      </c>
      <c r="AE254" s="20">
        <f>IF(I254="",0,IF(ISNUMBER(SEARCH("MP",UPPER(J254))),I254,IF(ISNUMBER(SEARCH("TON",UPPER(J254))),I254/Przelicznik_MP_tona,IF(ISNUMBER(SEARCH("M3",UPPER(J254))),I254*Przelicznik_M3_MP,IF(ISNUMBER(SEARCH("GJ",UPPER(J254))),I254/Przelicznik_GJ_tona/Przelicznik_MP_tona,I254)))))</f>
        <v/>
      </c>
      <c r="AF254" s="20">
        <f>IF(I254="",0,IF(ISNUMBER(SEARCH("TON",UPPER(J254))),I254,IF(ISNUMBER(SEARCH("GJ",UPPER(J254))),I254/Przelicznik_GJ_tona,AE254*Przelicznik_MP_tona)))</f>
        <v/>
      </c>
      <c r="AG254" s="20">
        <f>AF254*Przelicznik_GJ_tona</f>
        <v/>
      </c>
      <c r="AH254" s="20">
        <f>IF(UPPER(AD254)="SKORYGOWANY",0,IF(OR(UPPER(E254)="TRANSPORT",UPPER(E254)="MM"),0,IF(UPPER(G254)&lt;&gt;"TAK",0,IF(OR(UPPER(E254)="ZAKUP",UPPER(E254)="PRODUKCJA"),AE254,IF(OR(UPPER(E254)="SPRZEDAŻ",UPPER(E254)="ZUŻYCIE"),-AE254,0)))))</f>
        <v/>
      </c>
      <c r="AI254" s="20">
        <f>IF(UPPER(AD254)="SKORYGOWANY",0,IF(OR(UPPER(E254)="TRANSPORT",UPPER(E254)="MM"),0,IF(UPPER(G254)&lt;&gt;"TAK",0,IF(OR(UPPER(E254)="ZAKUP",UPPER(E254)="PRODUKCJA"),AF254,IF(OR(UPPER(E254)="SPRZEDAŻ",UPPER(E254)="ZUŻYCIE"),-AF254,0)))))</f>
        <v/>
      </c>
      <c r="AJ254" s="21">
        <f>IF(UPPER(AD254)="SKORYGOWANY",0,IF(UPPER(E254)="ZAKUP",IF(L254&lt;&gt;"",L254,I254*K254),0))</f>
        <v/>
      </c>
      <c r="AK254" s="21">
        <f>IF(UPPER(AD254)="SKORYGOWANY",0,IF(UPPER(E254)="SPRZEDAŻ",IF(L254&lt;&gt;"",L254,I254*M254),0))</f>
        <v/>
      </c>
      <c r="AL254" s="21">
        <f>AE254*Q254</f>
        <v/>
      </c>
      <c r="AM254">
        <f>IF(R254="","",IF(LOWER(R254)="brak","Brak",IF(OR(ISNUMBER(SEARCH("własn",LOWER(R254))),ISNUMBER(SEARCH("wlasn",LOWER(R254))),ISNUMBER(SEARCH("wojciechowski",LOWER(R254)))),"Własny","Zewnętrzny")))</f>
        <v/>
      </c>
      <c r="AN254" s="24">
        <f>IF(C254="","",YEAR(C254))</f>
        <v/>
      </c>
      <c r="AO254" s="24">
        <f>IF(C254="","",MONTH(C254))</f>
        <v/>
      </c>
      <c r="AP254">
        <f>IF(C254="","",UPPER(TEXT(C254,"mmmm")))</f>
        <v/>
      </c>
      <c r="AQ254">
        <f>IF(C254="","","Q"&amp;ROUNDUP(MONTH(C254)/3,0))</f>
        <v/>
      </c>
    </row>
    <row r="255">
      <c r="A255" s="19" t="n">
        <v>46237</v>
      </c>
      <c r="C255" s="19" t="n">
        <v>46237</v>
      </c>
      <c r="D255" t="inlineStr">
        <is>
          <t>Magazyn Zabrze</t>
        </is>
      </c>
      <c r="E255" t="inlineStr">
        <is>
          <t>PRODUKCJA</t>
        </is>
      </c>
      <c r="F255" t="inlineStr">
        <is>
          <t>PZ/54</t>
        </is>
      </c>
      <c r="G255" t="inlineStr">
        <is>
          <t>TAK</t>
        </is>
      </c>
      <c r="H255" t="inlineStr">
        <is>
          <t>Deklaracja</t>
        </is>
      </c>
      <c r="I255" s="20" t="n">
        <v>81.12</v>
      </c>
      <c r="J255" t="inlineStr">
        <is>
          <t>MP</t>
        </is>
      </c>
      <c r="K255" s="21" t="n">
        <v>0</v>
      </c>
      <c r="L255" s="21" t="n">
        <v>0</v>
      </c>
      <c r="M255" s="21" t="n">
        <v>0</v>
      </c>
      <c r="N255" t="inlineStr">
        <is>
          <t>Zrębka Produkcyjna Leśna</t>
        </is>
      </c>
      <c r="O255" t="inlineStr">
        <is>
          <t>B</t>
        </is>
      </c>
      <c r="P255" t="inlineStr">
        <is>
          <t>własne</t>
        </is>
      </c>
      <c r="Q255" s="21" t="n">
        <v>10</v>
      </c>
      <c r="T255" s="22" t="n">
        <v>0</v>
      </c>
      <c r="U255" s="21" t="n">
        <v>0</v>
      </c>
      <c r="V255" s="21" t="n">
        <v>0</v>
      </c>
      <c r="W255" t="inlineStr">
        <is>
          <t>Magazyn Zabrze</t>
        </is>
      </c>
      <c r="Z255" t="inlineStr">
        <is>
          <t>Roesner Mateusz</t>
        </is>
      </c>
      <c r="AA255" s="23" t="n">
        <v>46244.38679398148</v>
      </c>
      <c r="AB255" t="inlineStr">
        <is>
          <t>OP-MIGR-00254</t>
        </is>
      </c>
      <c r="AD255" t="inlineStr">
        <is>
          <t>AKTYWNY</t>
        </is>
      </c>
      <c r="AE255" s="20">
        <f>IF(I255="",0,IF(ISNUMBER(SEARCH("MP",UPPER(J255))),I255,IF(ISNUMBER(SEARCH("TON",UPPER(J255))),I255/Przelicznik_MP_tona,IF(ISNUMBER(SEARCH("M3",UPPER(J255))),I255*Przelicznik_M3_MP,IF(ISNUMBER(SEARCH("GJ",UPPER(J255))),I255/Przelicznik_GJ_tona/Przelicznik_MP_tona,I255)))))</f>
        <v/>
      </c>
      <c r="AF255" s="20">
        <f>IF(I255="",0,IF(ISNUMBER(SEARCH("TON",UPPER(J255))),I255,IF(ISNUMBER(SEARCH("GJ",UPPER(J255))),I255/Przelicznik_GJ_tona,AE255*Przelicznik_MP_tona)))</f>
        <v/>
      </c>
      <c r="AG255" s="20">
        <f>AF255*Przelicznik_GJ_tona</f>
        <v/>
      </c>
      <c r="AH255" s="20">
        <f>IF(UPPER(AD255)="SKORYGOWANY",0,IF(OR(UPPER(E255)="TRANSPORT",UPPER(E255)="MM"),0,IF(UPPER(G255)&lt;&gt;"TAK",0,IF(OR(UPPER(E255)="ZAKUP",UPPER(E255)="PRODUKCJA"),AE255,IF(OR(UPPER(E255)="SPRZEDAŻ",UPPER(E255)="ZUŻYCIE"),-AE255,0)))))</f>
        <v/>
      </c>
      <c r="AI255" s="20">
        <f>IF(UPPER(AD255)="SKORYGOWANY",0,IF(OR(UPPER(E255)="TRANSPORT",UPPER(E255)="MM"),0,IF(UPPER(G255)&lt;&gt;"TAK",0,IF(OR(UPPER(E255)="ZAKUP",UPPER(E255)="PRODUKCJA"),AF255,IF(OR(UPPER(E255)="SPRZEDAŻ",UPPER(E255)="ZUŻYCIE"),-AF255,0)))))</f>
        <v/>
      </c>
      <c r="AJ255" s="21">
        <f>IF(UPPER(AD255)="SKORYGOWANY",0,IF(UPPER(E255)="ZAKUP",IF(L255&lt;&gt;"",L255,I255*K255),0))</f>
        <v/>
      </c>
      <c r="AK255" s="21">
        <f>IF(UPPER(AD255)="SKORYGOWANY",0,IF(UPPER(E255)="SPRZEDAŻ",IF(L255&lt;&gt;"",L255,I255*M255),0))</f>
        <v/>
      </c>
      <c r="AL255" s="21">
        <f>AE255*Q255</f>
        <v/>
      </c>
      <c r="AM255">
        <f>IF(R255="","",IF(LOWER(R255)="brak","Brak",IF(OR(ISNUMBER(SEARCH("własn",LOWER(R255))),ISNUMBER(SEARCH("wlasn",LOWER(R255))),ISNUMBER(SEARCH("wojciechowski",LOWER(R255)))),"Własny","Zewnętrzny")))</f>
        <v/>
      </c>
      <c r="AN255" s="24">
        <f>IF(C255="","",YEAR(C255))</f>
        <v/>
      </c>
      <c r="AO255" s="24">
        <f>IF(C255="","",MONTH(C255))</f>
        <v/>
      </c>
      <c r="AP255">
        <f>IF(C255="","",UPPER(TEXT(C255,"mmmm")))</f>
        <v/>
      </c>
      <c r="AQ255">
        <f>IF(C255="","","Q"&amp;ROUNDUP(MONTH(C255)/3,0))</f>
        <v/>
      </c>
    </row>
    <row r="256">
      <c r="A256" s="19" t="n">
        <v>46237</v>
      </c>
      <c r="C256" s="19" t="n">
        <v>46237</v>
      </c>
      <c r="D256" t="inlineStr">
        <is>
          <t>Magazyn Zabrze</t>
        </is>
      </c>
      <c r="E256" t="inlineStr">
        <is>
          <t>ZUŻYCIE</t>
        </is>
      </c>
      <c r="F256" t="inlineStr">
        <is>
          <t>PZ/54</t>
        </is>
      </c>
      <c r="G256" t="inlineStr">
        <is>
          <t>TAK</t>
        </is>
      </c>
      <c r="H256" t="inlineStr">
        <is>
          <t>Deklaracja</t>
        </is>
      </c>
      <c r="I256" s="20" t="n">
        <v>81.12</v>
      </c>
      <c r="J256" t="inlineStr">
        <is>
          <t>MP</t>
        </is>
      </c>
      <c r="K256" s="21" t="n">
        <v>0</v>
      </c>
      <c r="L256" s="21" t="n">
        <v>0</v>
      </c>
      <c r="M256" s="21" t="n">
        <v>0</v>
      </c>
      <c r="N256" t="inlineStr">
        <is>
          <t>Zrębka Produkcyjna Leśna</t>
        </is>
      </c>
      <c r="O256" t="inlineStr">
        <is>
          <t>B</t>
        </is>
      </c>
      <c r="P256" t="inlineStr">
        <is>
          <t>własne</t>
        </is>
      </c>
      <c r="Q256" s="21" t="n">
        <v>10</v>
      </c>
      <c r="T256" s="22" t="n">
        <v>0</v>
      </c>
      <c r="U256" s="21" t="n">
        <v>0</v>
      </c>
      <c r="V256" s="21" t="n">
        <v>0</v>
      </c>
      <c r="W256" t="inlineStr">
        <is>
          <t>Magazyn Zabrze</t>
        </is>
      </c>
      <c r="Y256" t="inlineStr">
        <is>
          <t>Automatyczne zużycie surowca do produkcji</t>
        </is>
      </c>
      <c r="AA256" s="23" t="n">
        <v>46244.38679398148</v>
      </c>
      <c r="AB256" t="inlineStr">
        <is>
          <t>OP-MIGR-00255</t>
        </is>
      </c>
      <c r="AD256" t="inlineStr">
        <is>
          <t>AKTYWNY</t>
        </is>
      </c>
      <c r="AE256" s="20">
        <f>IF(I256="",0,IF(ISNUMBER(SEARCH("MP",UPPER(J256))),I256,IF(ISNUMBER(SEARCH("TON",UPPER(J256))),I256/Przelicznik_MP_tona,IF(ISNUMBER(SEARCH("M3",UPPER(J256))),I256*Przelicznik_M3_MP,IF(ISNUMBER(SEARCH("GJ",UPPER(J256))),I256/Przelicznik_GJ_tona/Przelicznik_MP_tona,I256)))))</f>
        <v/>
      </c>
      <c r="AF256" s="20">
        <f>IF(I256="",0,IF(ISNUMBER(SEARCH("TON",UPPER(J256))),I256,IF(ISNUMBER(SEARCH("GJ",UPPER(J256))),I256/Przelicznik_GJ_tona,AE256*Przelicznik_MP_tona)))</f>
        <v/>
      </c>
      <c r="AG256" s="20">
        <f>AF256*Przelicznik_GJ_tona</f>
        <v/>
      </c>
      <c r="AH256" s="20">
        <f>IF(UPPER(AD256)="SKORYGOWANY",0,IF(OR(UPPER(E256)="TRANSPORT",UPPER(E256)="MM"),0,IF(UPPER(G256)&lt;&gt;"TAK",0,IF(OR(UPPER(E256)="ZAKUP",UPPER(E256)="PRODUKCJA"),AE256,IF(OR(UPPER(E256)="SPRZEDAŻ",UPPER(E256)="ZUŻYCIE"),-AE256,0)))))</f>
        <v/>
      </c>
      <c r="AI256" s="20">
        <f>IF(UPPER(AD256)="SKORYGOWANY",0,IF(OR(UPPER(E256)="TRANSPORT",UPPER(E256)="MM"),0,IF(UPPER(G256)&lt;&gt;"TAK",0,IF(OR(UPPER(E256)="ZAKUP",UPPER(E256)="PRODUKCJA"),AF256,IF(OR(UPPER(E256)="SPRZEDAŻ",UPPER(E256)="ZUŻYCIE"),-AF256,0)))))</f>
        <v/>
      </c>
      <c r="AJ256" s="21">
        <f>IF(UPPER(AD256)="SKORYGOWANY",0,IF(UPPER(E256)="ZAKUP",IF(L256&lt;&gt;"",L256,I256*K256),0))</f>
        <v/>
      </c>
      <c r="AK256" s="21">
        <f>IF(UPPER(AD256)="SKORYGOWANY",0,IF(UPPER(E256)="SPRZEDAŻ",IF(L256&lt;&gt;"",L256,I256*M256),0))</f>
        <v/>
      </c>
      <c r="AL256" s="21">
        <f>AE256*Q256</f>
        <v/>
      </c>
      <c r="AM256">
        <f>IF(R256="","",IF(LOWER(R256)="brak","Brak",IF(OR(ISNUMBER(SEARCH("własn",LOWER(R256))),ISNUMBER(SEARCH("wlasn",LOWER(R256))),ISNUMBER(SEARCH("wojciechowski",LOWER(R256)))),"Własny","Zewnętrzny")))</f>
        <v/>
      </c>
      <c r="AN256" s="24">
        <f>IF(C256="","",YEAR(C256))</f>
        <v/>
      </c>
      <c r="AO256" s="24">
        <f>IF(C256="","",MONTH(C256))</f>
        <v/>
      </c>
      <c r="AP256">
        <f>IF(C256="","",UPPER(TEXT(C256,"mmmm")))</f>
        <v/>
      </c>
      <c r="AQ256">
        <f>IF(C256="","","Q"&amp;ROUNDUP(MONTH(C256)/3,0))</f>
        <v/>
      </c>
    </row>
    <row r="257">
      <c r="A257" s="19" t="n">
        <v>46237</v>
      </c>
      <c r="B257" t="inlineStr">
        <is>
          <t>Chrzanów</t>
        </is>
      </c>
      <c r="C257" s="19" t="n">
        <v>46237</v>
      </c>
      <c r="D257" t="inlineStr">
        <is>
          <t>Magazyn Zabrze</t>
        </is>
      </c>
      <c r="E257" t="inlineStr">
        <is>
          <t>ZAKUP</t>
        </is>
      </c>
      <c r="F257" t="inlineStr">
        <is>
          <t>PZ/54</t>
        </is>
      </c>
      <c r="G257" t="inlineStr">
        <is>
          <t>TAK</t>
        </is>
      </c>
      <c r="H257" t="inlineStr">
        <is>
          <t>Deklaracja</t>
        </is>
      </c>
      <c r="I257" s="20" t="n">
        <v>81.12</v>
      </c>
      <c r="J257" t="inlineStr">
        <is>
          <t>MP</t>
        </is>
      </c>
      <c r="K257" s="21" t="n">
        <v>0</v>
      </c>
      <c r="L257" s="21" t="n">
        <v>0</v>
      </c>
      <c r="M257" s="21" t="n">
        <v>0</v>
      </c>
      <c r="N257" t="inlineStr">
        <is>
          <t>Zrębka Produkcyjna Leśna</t>
        </is>
      </c>
      <c r="O257" t="inlineStr">
        <is>
          <t>B</t>
        </is>
      </c>
      <c r="Q257" s="21" t="n">
        <v>0</v>
      </c>
      <c r="R257" t="inlineStr">
        <is>
          <t>własny (Wilczak)</t>
        </is>
      </c>
      <c r="S257" t="inlineStr">
        <is>
          <t>SK 7J884</t>
        </is>
      </c>
      <c r="T257" s="22" t="n">
        <v>200</v>
      </c>
      <c r="U257" s="21" t="n">
        <v>5</v>
      </c>
      <c r="V257" s="21" t="n">
        <v>1000</v>
      </c>
      <c r="W257" t="inlineStr">
        <is>
          <t>Magazyn Zabrze</t>
        </is>
      </c>
      <c r="Z257" t="inlineStr">
        <is>
          <t>Roesner Mateusz</t>
        </is>
      </c>
      <c r="AA257" s="23" t="n">
        <v>46244.38765046297</v>
      </c>
      <c r="AB257" t="inlineStr">
        <is>
          <t>OP-MIGR-00256</t>
        </is>
      </c>
      <c r="AD257" t="inlineStr">
        <is>
          <t>AKTYWNY</t>
        </is>
      </c>
      <c r="AE257" s="20">
        <f>IF(I257="",0,IF(ISNUMBER(SEARCH("MP",UPPER(J257))),I257,IF(ISNUMBER(SEARCH("TON",UPPER(J257))),I257/Przelicznik_MP_tona,IF(ISNUMBER(SEARCH("M3",UPPER(J257))),I257*Przelicznik_M3_MP,IF(ISNUMBER(SEARCH("GJ",UPPER(J257))),I257/Przelicznik_GJ_tona/Przelicznik_MP_tona,I257)))))</f>
        <v/>
      </c>
      <c r="AF257" s="20">
        <f>IF(I257="",0,IF(ISNUMBER(SEARCH("TON",UPPER(J257))),I257,IF(ISNUMBER(SEARCH("GJ",UPPER(J257))),I257/Przelicznik_GJ_tona,AE257*Przelicznik_MP_tona)))</f>
        <v/>
      </c>
      <c r="AG257" s="20">
        <f>AF257*Przelicznik_GJ_tona</f>
        <v/>
      </c>
      <c r="AH257" s="20">
        <f>IF(UPPER(AD257)="SKORYGOWANY",0,IF(OR(UPPER(E257)="TRANSPORT",UPPER(E257)="MM"),0,IF(UPPER(G257)&lt;&gt;"TAK",0,IF(OR(UPPER(E257)="ZAKUP",UPPER(E257)="PRODUKCJA"),AE257,IF(OR(UPPER(E257)="SPRZEDAŻ",UPPER(E257)="ZUŻYCIE"),-AE257,0)))))</f>
        <v/>
      </c>
      <c r="AI257" s="20">
        <f>IF(UPPER(AD257)="SKORYGOWANY",0,IF(OR(UPPER(E257)="TRANSPORT",UPPER(E257)="MM"),0,IF(UPPER(G257)&lt;&gt;"TAK",0,IF(OR(UPPER(E257)="ZAKUP",UPPER(E257)="PRODUKCJA"),AF257,IF(OR(UPPER(E257)="SPRZEDAŻ",UPPER(E257)="ZUŻYCIE"),-AF257,0)))))</f>
        <v/>
      </c>
      <c r="AJ257" s="21">
        <f>IF(UPPER(AD257)="SKORYGOWANY",0,IF(UPPER(E257)="ZAKUP",IF(L257&lt;&gt;"",L257,I257*K257),0))</f>
        <v/>
      </c>
      <c r="AK257" s="21">
        <f>IF(UPPER(AD257)="SKORYGOWANY",0,IF(UPPER(E257)="SPRZEDAŻ",IF(L257&lt;&gt;"",L257,I257*M257),0))</f>
        <v/>
      </c>
      <c r="AL257" s="21">
        <f>AE257*Q257</f>
        <v/>
      </c>
      <c r="AM257">
        <f>IF(R257="","",IF(LOWER(R257)="brak","Brak",IF(OR(ISNUMBER(SEARCH("własn",LOWER(R257))),ISNUMBER(SEARCH("wlasn",LOWER(R257))),ISNUMBER(SEARCH("wojciechowski",LOWER(R257)))),"Własny","Zewnętrzny")))</f>
        <v/>
      </c>
      <c r="AN257" s="24">
        <f>IF(C257="","",YEAR(C257))</f>
        <v/>
      </c>
      <c r="AO257" s="24">
        <f>IF(C257="","",MONTH(C257))</f>
        <v/>
      </c>
      <c r="AP257">
        <f>IF(C257="","",UPPER(TEXT(C257,"mmmm")))</f>
        <v/>
      </c>
      <c r="AQ257">
        <f>IF(C257="","","Q"&amp;ROUNDUP(MONTH(C257)/3,0))</f>
        <v/>
      </c>
    </row>
    <row r="258">
      <c r="A258" s="19" t="n">
        <v>46237</v>
      </c>
      <c r="C258" s="19" t="n">
        <v>46237</v>
      </c>
      <c r="D258" t="inlineStr">
        <is>
          <t>NDL Chrzanów, Leśnictwo Płoki</t>
        </is>
      </c>
      <c r="E258" t="inlineStr">
        <is>
          <t>ZAKUP</t>
        </is>
      </c>
      <c r="F258" t="inlineStr">
        <is>
          <t>PZ/55  5/26264969/6089</t>
        </is>
      </c>
      <c r="G258" t="inlineStr">
        <is>
          <t>TAK</t>
        </is>
      </c>
      <c r="H258" t="inlineStr">
        <is>
          <t>Deklaracja</t>
        </is>
      </c>
      <c r="I258" s="20" t="n">
        <v>20.28</v>
      </c>
      <c r="J258" t="inlineStr">
        <is>
          <t>M3</t>
        </is>
      </c>
      <c r="K258" s="21" t="n">
        <v>141</v>
      </c>
      <c r="L258" s="21" t="n">
        <v>2859.48</v>
      </c>
      <c r="M258" s="21" t="n">
        <v>0</v>
      </c>
      <c r="N258" t="inlineStr">
        <is>
          <t>Drewno opałowe z lasu</t>
        </is>
      </c>
      <c r="O258" t="inlineStr">
        <is>
          <t>B</t>
        </is>
      </c>
      <c r="Q258" s="21" t="n">
        <v>0</v>
      </c>
      <c r="T258" s="22" t="n">
        <v>0</v>
      </c>
      <c r="U258" s="21" t="n">
        <v>0</v>
      </c>
      <c r="V258" s="21" t="n">
        <v>0</v>
      </c>
      <c r="W258" t="inlineStr">
        <is>
          <t>Magazyn Zabrze</t>
        </is>
      </c>
      <c r="Z258" t="inlineStr">
        <is>
          <t>Roesner Mateusz</t>
        </is>
      </c>
      <c r="AA258" s="23" t="n">
        <v>46244.38988425926</v>
      </c>
      <c r="AB258" t="inlineStr">
        <is>
          <t>OP-MIGR-00257</t>
        </is>
      </c>
      <c r="AD258" t="inlineStr">
        <is>
          <t>AKTYWNY</t>
        </is>
      </c>
      <c r="AE258" s="20">
        <f>IF(I258="",0,IF(ISNUMBER(SEARCH("MP",UPPER(J258))),I258,IF(ISNUMBER(SEARCH("TON",UPPER(J258))),I258/Przelicznik_MP_tona,IF(ISNUMBER(SEARCH("M3",UPPER(J258))),I258*Przelicznik_M3_MP,IF(ISNUMBER(SEARCH("GJ",UPPER(J258))),I258/Przelicznik_GJ_tona/Przelicznik_MP_tona,I258)))))</f>
        <v/>
      </c>
      <c r="AF258" s="20">
        <f>IF(I258="",0,IF(ISNUMBER(SEARCH("TON",UPPER(J258))),I258,IF(ISNUMBER(SEARCH("GJ",UPPER(J258))),I258/Przelicznik_GJ_tona,AE258*Przelicznik_MP_tona)))</f>
        <v/>
      </c>
      <c r="AG258" s="20">
        <f>AF258*Przelicznik_GJ_tona</f>
        <v/>
      </c>
      <c r="AH258" s="20">
        <f>IF(UPPER(AD258)="SKORYGOWANY",0,IF(OR(UPPER(E258)="TRANSPORT",UPPER(E258)="MM"),0,IF(UPPER(G258)&lt;&gt;"TAK",0,IF(OR(UPPER(E258)="ZAKUP",UPPER(E258)="PRODUKCJA"),AE258,IF(OR(UPPER(E258)="SPRZEDAŻ",UPPER(E258)="ZUŻYCIE"),-AE258,0)))))</f>
        <v/>
      </c>
      <c r="AI258" s="20">
        <f>IF(UPPER(AD258)="SKORYGOWANY",0,IF(OR(UPPER(E258)="TRANSPORT",UPPER(E258)="MM"),0,IF(UPPER(G258)&lt;&gt;"TAK",0,IF(OR(UPPER(E258)="ZAKUP",UPPER(E258)="PRODUKCJA"),AF258,IF(OR(UPPER(E258)="SPRZEDAŻ",UPPER(E258)="ZUŻYCIE"),-AF258,0)))))</f>
        <v/>
      </c>
      <c r="AJ258" s="21">
        <f>IF(UPPER(AD258)="SKORYGOWANY",0,IF(UPPER(E258)="ZAKUP",IF(L258&lt;&gt;"",L258,I258*K258),0))</f>
        <v/>
      </c>
      <c r="AK258" s="21">
        <f>IF(UPPER(AD258)="SKORYGOWANY",0,IF(UPPER(E258)="SPRZEDAŻ",IF(L258&lt;&gt;"",L258,I258*M258),0))</f>
        <v/>
      </c>
      <c r="AL258" s="21">
        <f>AE258*Q258</f>
        <v/>
      </c>
      <c r="AM258">
        <f>IF(R258="","",IF(LOWER(R258)="brak","Brak",IF(OR(ISNUMBER(SEARCH("własn",LOWER(R258))),ISNUMBER(SEARCH("wlasn",LOWER(R258))),ISNUMBER(SEARCH("wojciechowski",LOWER(R258)))),"Własny","Zewnętrzny")))</f>
        <v/>
      </c>
      <c r="AN258" s="24">
        <f>IF(C258="","",YEAR(C258))</f>
        <v/>
      </c>
      <c r="AO258" s="24">
        <f>IF(C258="","",MONTH(C258))</f>
        <v/>
      </c>
      <c r="AP258">
        <f>IF(C258="","",UPPER(TEXT(C258,"mmmm")))</f>
        <v/>
      </c>
      <c r="AQ258">
        <f>IF(C258="","","Q"&amp;ROUNDUP(MONTH(C258)/3,0))</f>
        <v/>
      </c>
    </row>
    <row r="259">
      <c r="A259" s="19" t="n">
        <v>46237</v>
      </c>
      <c r="C259" s="19" t="n">
        <v>46237</v>
      </c>
      <c r="D259" t="inlineStr">
        <is>
          <t>Magazyn Zabrze</t>
        </is>
      </c>
      <c r="E259" t="inlineStr">
        <is>
          <t>PRODUKCJA</t>
        </is>
      </c>
      <c r="F259" t="inlineStr">
        <is>
          <t>PZ/55</t>
        </is>
      </c>
      <c r="G259" t="inlineStr">
        <is>
          <t>TAK</t>
        </is>
      </c>
      <c r="H259" t="inlineStr">
        <is>
          <t>Deklaracja</t>
        </is>
      </c>
      <c r="I259" s="20" t="n">
        <v>81.12</v>
      </c>
      <c r="J259" t="inlineStr">
        <is>
          <t>MP</t>
        </is>
      </c>
      <c r="K259" s="21" t="n">
        <v>0</v>
      </c>
      <c r="L259" s="21" t="n">
        <v>0</v>
      </c>
      <c r="M259" s="21" t="n">
        <v>0</v>
      </c>
      <c r="N259" t="inlineStr">
        <is>
          <t>Zrębka Produkcyjna Leśna</t>
        </is>
      </c>
      <c r="O259" t="inlineStr">
        <is>
          <t>B</t>
        </is>
      </c>
      <c r="P259" t="inlineStr">
        <is>
          <t>własne</t>
        </is>
      </c>
      <c r="Q259" s="21" t="n">
        <v>10</v>
      </c>
      <c r="T259" s="22" t="n">
        <v>0</v>
      </c>
      <c r="U259" s="21" t="n">
        <v>0</v>
      </c>
      <c r="V259" s="21" t="n">
        <v>0</v>
      </c>
      <c r="W259" t="inlineStr">
        <is>
          <t>Magazyn Zabrze</t>
        </is>
      </c>
      <c r="Z259" t="inlineStr">
        <is>
          <t>Roesner Mateusz</t>
        </is>
      </c>
      <c r="AA259" s="23" t="n">
        <v>46244.39050925926</v>
      </c>
      <c r="AB259" t="inlineStr">
        <is>
          <t>OP-MIGR-00258</t>
        </is>
      </c>
      <c r="AD259" t="inlineStr">
        <is>
          <t>AKTYWNY</t>
        </is>
      </c>
      <c r="AE259" s="20">
        <f>IF(I259="",0,IF(ISNUMBER(SEARCH("MP",UPPER(J259))),I259,IF(ISNUMBER(SEARCH("TON",UPPER(J259))),I259/Przelicznik_MP_tona,IF(ISNUMBER(SEARCH("M3",UPPER(J259))),I259*Przelicznik_M3_MP,IF(ISNUMBER(SEARCH("GJ",UPPER(J259))),I259/Przelicznik_GJ_tona/Przelicznik_MP_tona,I259)))))</f>
        <v/>
      </c>
      <c r="AF259" s="20">
        <f>IF(I259="",0,IF(ISNUMBER(SEARCH("TON",UPPER(J259))),I259,IF(ISNUMBER(SEARCH("GJ",UPPER(J259))),I259/Przelicznik_GJ_tona,AE259*Przelicznik_MP_tona)))</f>
        <v/>
      </c>
      <c r="AG259" s="20">
        <f>AF259*Przelicznik_GJ_tona</f>
        <v/>
      </c>
      <c r="AH259" s="20">
        <f>IF(UPPER(AD259)="SKORYGOWANY",0,IF(OR(UPPER(E259)="TRANSPORT",UPPER(E259)="MM"),0,IF(UPPER(G259)&lt;&gt;"TAK",0,IF(OR(UPPER(E259)="ZAKUP",UPPER(E259)="PRODUKCJA"),AE259,IF(OR(UPPER(E259)="SPRZEDAŻ",UPPER(E259)="ZUŻYCIE"),-AE259,0)))))</f>
        <v/>
      </c>
      <c r="AI259" s="20">
        <f>IF(UPPER(AD259)="SKORYGOWANY",0,IF(OR(UPPER(E259)="TRANSPORT",UPPER(E259)="MM"),0,IF(UPPER(G259)&lt;&gt;"TAK",0,IF(OR(UPPER(E259)="ZAKUP",UPPER(E259)="PRODUKCJA"),AF259,IF(OR(UPPER(E259)="SPRZEDAŻ",UPPER(E259)="ZUŻYCIE"),-AF259,0)))))</f>
        <v/>
      </c>
      <c r="AJ259" s="21">
        <f>IF(UPPER(AD259)="SKORYGOWANY",0,IF(UPPER(E259)="ZAKUP",IF(L259&lt;&gt;"",L259,I259*K259),0))</f>
        <v/>
      </c>
      <c r="AK259" s="21">
        <f>IF(UPPER(AD259)="SKORYGOWANY",0,IF(UPPER(E259)="SPRZEDAŻ",IF(L259&lt;&gt;"",L259,I259*M259),0))</f>
        <v/>
      </c>
      <c r="AL259" s="21">
        <f>AE259*Q259</f>
        <v/>
      </c>
      <c r="AM259">
        <f>IF(R259="","",IF(LOWER(R259)="brak","Brak",IF(OR(ISNUMBER(SEARCH("własn",LOWER(R259))),ISNUMBER(SEARCH("wlasn",LOWER(R259))),ISNUMBER(SEARCH("wojciechowski",LOWER(R259)))),"Własny","Zewnętrzny")))</f>
        <v/>
      </c>
      <c r="AN259" s="24">
        <f>IF(C259="","",YEAR(C259))</f>
        <v/>
      </c>
      <c r="AO259" s="24">
        <f>IF(C259="","",MONTH(C259))</f>
        <v/>
      </c>
      <c r="AP259">
        <f>IF(C259="","",UPPER(TEXT(C259,"mmmm")))</f>
        <v/>
      </c>
      <c r="AQ259">
        <f>IF(C259="","","Q"&amp;ROUNDUP(MONTH(C259)/3,0))</f>
        <v/>
      </c>
    </row>
    <row r="260">
      <c r="A260" s="19" t="n">
        <v>46237</v>
      </c>
      <c r="C260" s="19" t="n">
        <v>46237</v>
      </c>
      <c r="D260" t="inlineStr">
        <is>
          <t>Magazyn Zabrze</t>
        </is>
      </c>
      <c r="E260" t="inlineStr">
        <is>
          <t>ZUŻYCIE</t>
        </is>
      </c>
      <c r="F260" t="inlineStr">
        <is>
          <t>PZ/55</t>
        </is>
      </c>
      <c r="G260" t="inlineStr">
        <is>
          <t>TAK</t>
        </is>
      </c>
      <c r="H260" t="inlineStr">
        <is>
          <t>Deklaracja</t>
        </is>
      </c>
      <c r="I260" s="20" t="n">
        <v>81.12</v>
      </c>
      <c r="J260" t="inlineStr">
        <is>
          <t>MP</t>
        </is>
      </c>
      <c r="K260" s="21" t="n">
        <v>0</v>
      </c>
      <c r="L260" s="21" t="n">
        <v>0</v>
      </c>
      <c r="M260" s="21" t="n">
        <v>0</v>
      </c>
      <c r="N260" t="inlineStr">
        <is>
          <t>Zrębka Produkcyjna Leśna</t>
        </is>
      </c>
      <c r="O260" t="inlineStr">
        <is>
          <t>B</t>
        </is>
      </c>
      <c r="P260" t="inlineStr">
        <is>
          <t>własne</t>
        </is>
      </c>
      <c r="Q260" s="21" t="n">
        <v>10</v>
      </c>
      <c r="T260" s="22" t="n">
        <v>0</v>
      </c>
      <c r="U260" s="21" t="n">
        <v>0</v>
      </c>
      <c r="V260" s="21" t="n">
        <v>0</v>
      </c>
      <c r="W260" t="inlineStr">
        <is>
          <t>Magazyn Zabrze</t>
        </is>
      </c>
      <c r="Y260" t="inlineStr">
        <is>
          <t>Automatyczne zużycie surowca do produkcji</t>
        </is>
      </c>
      <c r="AA260" s="23" t="n">
        <v>46244.39050925926</v>
      </c>
      <c r="AB260" t="inlineStr">
        <is>
          <t>OP-MIGR-00259</t>
        </is>
      </c>
      <c r="AD260" t="inlineStr">
        <is>
          <t>AKTYWNY</t>
        </is>
      </c>
      <c r="AE260" s="20">
        <f>IF(I260="",0,IF(ISNUMBER(SEARCH("MP",UPPER(J260))),I260,IF(ISNUMBER(SEARCH("TON",UPPER(J260))),I260/Przelicznik_MP_tona,IF(ISNUMBER(SEARCH("M3",UPPER(J260))),I260*Przelicznik_M3_MP,IF(ISNUMBER(SEARCH("GJ",UPPER(J260))),I260/Przelicznik_GJ_tona/Przelicznik_MP_tona,I260)))))</f>
        <v/>
      </c>
      <c r="AF260" s="20">
        <f>IF(I260="",0,IF(ISNUMBER(SEARCH("TON",UPPER(J260))),I260,IF(ISNUMBER(SEARCH("GJ",UPPER(J260))),I260/Przelicznik_GJ_tona,AE260*Przelicznik_MP_tona)))</f>
        <v/>
      </c>
      <c r="AG260" s="20">
        <f>AF260*Przelicznik_GJ_tona</f>
        <v/>
      </c>
      <c r="AH260" s="20">
        <f>IF(UPPER(AD260)="SKORYGOWANY",0,IF(OR(UPPER(E260)="TRANSPORT",UPPER(E260)="MM"),0,IF(UPPER(G260)&lt;&gt;"TAK",0,IF(OR(UPPER(E260)="ZAKUP",UPPER(E260)="PRODUKCJA"),AE260,IF(OR(UPPER(E260)="SPRZEDAŻ",UPPER(E260)="ZUŻYCIE"),-AE260,0)))))</f>
        <v/>
      </c>
      <c r="AI260" s="20">
        <f>IF(UPPER(AD260)="SKORYGOWANY",0,IF(OR(UPPER(E260)="TRANSPORT",UPPER(E260)="MM"),0,IF(UPPER(G260)&lt;&gt;"TAK",0,IF(OR(UPPER(E260)="ZAKUP",UPPER(E260)="PRODUKCJA"),AF260,IF(OR(UPPER(E260)="SPRZEDAŻ",UPPER(E260)="ZUŻYCIE"),-AF260,0)))))</f>
        <v/>
      </c>
      <c r="AJ260" s="21">
        <f>IF(UPPER(AD260)="SKORYGOWANY",0,IF(UPPER(E260)="ZAKUP",IF(L260&lt;&gt;"",L260,I260*K260),0))</f>
        <v/>
      </c>
      <c r="AK260" s="21">
        <f>IF(UPPER(AD260)="SKORYGOWANY",0,IF(UPPER(E260)="SPRZEDAŻ",IF(L260&lt;&gt;"",L260,I260*M260),0))</f>
        <v/>
      </c>
      <c r="AL260" s="21">
        <f>AE260*Q260</f>
        <v/>
      </c>
      <c r="AM260">
        <f>IF(R260="","",IF(LOWER(R260)="brak","Brak",IF(OR(ISNUMBER(SEARCH("własn",LOWER(R260))),ISNUMBER(SEARCH("wlasn",LOWER(R260))),ISNUMBER(SEARCH("wojciechowski",LOWER(R260)))),"Własny","Zewnętrzny")))</f>
        <v/>
      </c>
      <c r="AN260" s="24">
        <f>IF(C260="","",YEAR(C260))</f>
        <v/>
      </c>
      <c r="AO260" s="24">
        <f>IF(C260="","",MONTH(C260))</f>
        <v/>
      </c>
      <c r="AP260">
        <f>IF(C260="","",UPPER(TEXT(C260,"mmmm")))</f>
        <v/>
      </c>
      <c r="AQ260">
        <f>IF(C260="","","Q"&amp;ROUNDUP(MONTH(C260)/3,0))</f>
        <v/>
      </c>
    </row>
    <row r="261">
      <c r="A261" s="19" t="n">
        <v>46237</v>
      </c>
      <c r="B261" t="inlineStr">
        <is>
          <t>Chrzanów</t>
        </is>
      </c>
      <c r="C261" s="19" t="n">
        <v>46237</v>
      </c>
      <c r="D261" t="inlineStr">
        <is>
          <t>Magazyn Zabrze</t>
        </is>
      </c>
      <c r="E261" t="inlineStr">
        <is>
          <t>ZAKUP</t>
        </is>
      </c>
      <c r="F261" t="inlineStr">
        <is>
          <t>PZ/55</t>
        </is>
      </c>
      <c r="G261" t="inlineStr">
        <is>
          <t>TAK</t>
        </is>
      </c>
      <c r="H261" t="inlineStr">
        <is>
          <t>Deklaracja</t>
        </is>
      </c>
      <c r="I261" s="20" t="n">
        <v>81.12</v>
      </c>
      <c r="J261" t="inlineStr">
        <is>
          <t>MP</t>
        </is>
      </c>
      <c r="K261" s="21" t="n">
        <v>0</v>
      </c>
      <c r="L261" s="21" t="n">
        <v>0</v>
      </c>
      <c r="M261" s="21" t="n">
        <v>0</v>
      </c>
      <c r="N261" t="inlineStr">
        <is>
          <t>Zrębka Produkcyjna Leśna</t>
        </is>
      </c>
      <c r="O261" t="inlineStr">
        <is>
          <t>B</t>
        </is>
      </c>
      <c r="Q261" s="21" t="n">
        <v>0</v>
      </c>
      <c r="R261" t="inlineStr">
        <is>
          <t>własny (Kretek)</t>
        </is>
      </c>
      <c r="S261" t="inlineStr">
        <is>
          <t>SK 7J885</t>
        </is>
      </c>
      <c r="T261" s="22" t="n">
        <v>200</v>
      </c>
      <c r="U261" s="21" t="n">
        <v>5</v>
      </c>
      <c r="V261" s="21" t="n">
        <v>1000</v>
      </c>
      <c r="W261" t="inlineStr">
        <is>
          <t>Magazyn Zabrze</t>
        </is>
      </c>
      <c r="Z261" t="inlineStr">
        <is>
          <t>Roesner Mateusz</t>
        </is>
      </c>
      <c r="AA261" s="23" t="n">
        <v>46244.39103009259</v>
      </c>
      <c r="AB261" t="inlineStr">
        <is>
          <t>OP-MIGR-00260</t>
        </is>
      </c>
      <c r="AD261" t="inlineStr">
        <is>
          <t>AKTYWNY</t>
        </is>
      </c>
      <c r="AE261" s="20">
        <f>IF(I261="",0,IF(ISNUMBER(SEARCH("MP",UPPER(J261))),I261,IF(ISNUMBER(SEARCH("TON",UPPER(J261))),I261/Przelicznik_MP_tona,IF(ISNUMBER(SEARCH("M3",UPPER(J261))),I261*Przelicznik_M3_MP,IF(ISNUMBER(SEARCH("GJ",UPPER(J261))),I261/Przelicznik_GJ_tona/Przelicznik_MP_tona,I261)))))</f>
        <v/>
      </c>
      <c r="AF261" s="20">
        <f>IF(I261="",0,IF(ISNUMBER(SEARCH("TON",UPPER(J261))),I261,IF(ISNUMBER(SEARCH("GJ",UPPER(J261))),I261/Przelicznik_GJ_tona,AE261*Przelicznik_MP_tona)))</f>
        <v/>
      </c>
      <c r="AG261" s="20">
        <f>AF261*Przelicznik_GJ_tona</f>
        <v/>
      </c>
      <c r="AH261" s="20">
        <f>IF(UPPER(AD261)="SKORYGOWANY",0,IF(OR(UPPER(E261)="TRANSPORT",UPPER(E261)="MM"),0,IF(UPPER(G261)&lt;&gt;"TAK",0,IF(OR(UPPER(E261)="ZAKUP",UPPER(E261)="PRODUKCJA"),AE261,IF(OR(UPPER(E261)="SPRZEDAŻ",UPPER(E261)="ZUŻYCIE"),-AE261,0)))))</f>
        <v/>
      </c>
      <c r="AI261" s="20">
        <f>IF(UPPER(AD261)="SKORYGOWANY",0,IF(OR(UPPER(E261)="TRANSPORT",UPPER(E261)="MM"),0,IF(UPPER(G261)&lt;&gt;"TAK",0,IF(OR(UPPER(E261)="ZAKUP",UPPER(E261)="PRODUKCJA"),AF261,IF(OR(UPPER(E261)="SPRZEDAŻ",UPPER(E261)="ZUŻYCIE"),-AF261,0)))))</f>
        <v/>
      </c>
      <c r="AJ261" s="21">
        <f>IF(UPPER(AD261)="SKORYGOWANY",0,IF(UPPER(E261)="ZAKUP",IF(L261&lt;&gt;"",L261,I261*K261),0))</f>
        <v/>
      </c>
      <c r="AK261" s="21">
        <f>IF(UPPER(AD261)="SKORYGOWANY",0,IF(UPPER(E261)="SPRZEDAŻ",IF(L261&lt;&gt;"",L261,I261*M261),0))</f>
        <v/>
      </c>
      <c r="AL261" s="21">
        <f>AE261*Q261</f>
        <v/>
      </c>
      <c r="AM261">
        <f>IF(R261="","",IF(LOWER(R261)="brak","Brak",IF(OR(ISNUMBER(SEARCH("własn",LOWER(R261))),ISNUMBER(SEARCH("wlasn",LOWER(R261))),ISNUMBER(SEARCH("wojciechowski",LOWER(R261)))),"Własny","Zewnętrzny")))</f>
        <v/>
      </c>
      <c r="AN261" s="24">
        <f>IF(C261="","",YEAR(C261))</f>
        <v/>
      </c>
      <c r="AO261" s="24">
        <f>IF(C261="","",MONTH(C261))</f>
        <v/>
      </c>
      <c r="AP261">
        <f>IF(C261="","",UPPER(TEXT(C261,"mmmm")))</f>
        <v/>
      </c>
      <c r="AQ261">
        <f>IF(C261="","","Q"&amp;ROUNDUP(MONTH(C261)/3,0))</f>
        <v/>
      </c>
    </row>
    <row r="262">
      <c r="A262" s="19" t="n">
        <v>46237</v>
      </c>
      <c r="C262" s="19" t="n">
        <v>46237</v>
      </c>
      <c r="D262" t="inlineStr">
        <is>
          <t>NDL Chrzanów, Leśnictwo Płoki</t>
        </is>
      </c>
      <c r="E262" t="inlineStr">
        <is>
          <t>ZAKUP</t>
        </is>
      </c>
      <c r="F262" t="inlineStr">
        <is>
          <t>PZ/56</t>
        </is>
      </c>
      <c r="G262" t="inlineStr">
        <is>
          <t>TAK</t>
        </is>
      </c>
      <c r="H262" t="inlineStr">
        <is>
          <t>Deklaracja</t>
        </is>
      </c>
      <c r="I262" s="20" t="n">
        <v>17</v>
      </c>
      <c r="J262" t="inlineStr">
        <is>
          <t>M3</t>
        </is>
      </c>
      <c r="K262" s="21" t="n">
        <v>141</v>
      </c>
      <c r="L262" s="21" t="n">
        <v>2397</v>
      </c>
      <c r="M262" s="21" t="n">
        <v>0</v>
      </c>
      <c r="N262" t="inlineStr">
        <is>
          <t>Drewno opałowe z lasu</t>
        </is>
      </c>
      <c r="O262" t="inlineStr">
        <is>
          <t>B</t>
        </is>
      </c>
      <c r="Q262" s="21" t="n">
        <v>0</v>
      </c>
      <c r="T262" s="22" t="n">
        <v>0</v>
      </c>
      <c r="U262" s="21" t="n">
        <v>0</v>
      </c>
      <c r="V262" s="21" t="n">
        <v>0</v>
      </c>
      <c r="W262" t="inlineStr">
        <is>
          <t>Magazyn Zabrze</t>
        </is>
      </c>
      <c r="Z262" t="inlineStr">
        <is>
          <t>Roesner Mateusz</t>
        </is>
      </c>
      <c r="AA262" s="23" t="n">
        <v>46244.39298611111</v>
      </c>
      <c r="AB262" t="inlineStr">
        <is>
          <t>OP-MIGR-00261</t>
        </is>
      </c>
      <c r="AD262" t="inlineStr">
        <is>
          <t>AKTYWNY</t>
        </is>
      </c>
      <c r="AE262" s="20">
        <f>IF(I262="",0,IF(ISNUMBER(SEARCH("MP",UPPER(J262))),I262,IF(ISNUMBER(SEARCH("TON",UPPER(J262))),I262/Przelicznik_MP_tona,IF(ISNUMBER(SEARCH("M3",UPPER(J262))),I262*Przelicznik_M3_MP,IF(ISNUMBER(SEARCH("GJ",UPPER(J262))),I262/Przelicznik_GJ_tona/Przelicznik_MP_tona,I262)))))</f>
        <v/>
      </c>
      <c r="AF262" s="20">
        <f>IF(I262="",0,IF(ISNUMBER(SEARCH("TON",UPPER(J262))),I262,IF(ISNUMBER(SEARCH("GJ",UPPER(J262))),I262/Przelicznik_GJ_tona,AE262*Przelicznik_MP_tona)))</f>
        <v/>
      </c>
      <c r="AG262" s="20">
        <f>AF262*Przelicznik_GJ_tona</f>
        <v/>
      </c>
      <c r="AH262" s="20">
        <f>IF(UPPER(AD262)="SKORYGOWANY",0,IF(OR(UPPER(E262)="TRANSPORT",UPPER(E262)="MM"),0,IF(UPPER(G262)&lt;&gt;"TAK",0,IF(OR(UPPER(E262)="ZAKUP",UPPER(E262)="PRODUKCJA"),AE262,IF(OR(UPPER(E262)="SPRZEDAŻ",UPPER(E262)="ZUŻYCIE"),-AE262,0)))))</f>
        <v/>
      </c>
      <c r="AI262" s="20">
        <f>IF(UPPER(AD262)="SKORYGOWANY",0,IF(OR(UPPER(E262)="TRANSPORT",UPPER(E262)="MM"),0,IF(UPPER(G262)&lt;&gt;"TAK",0,IF(OR(UPPER(E262)="ZAKUP",UPPER(E262)="PRODUKCJA"),AF262,IF(OR(UPPER(E262)="SPRZEDAŻ",UPPER(E262)="ZUŻYCIE"),-AF262,0)))))</f>
        <v/>
      </c>
      <c r="AJ262" s="21">
        <f>IF(UPPER(AD262)="SKORYGOWANY",0,IF(UPPER(E262)="ZAKUP",IF(L262&lt;&gt;"",L262,I262*K262),0))</f>
        <v/>
      </c>
      <c r="AK262" s="21">
        <f>IF(UPPER(AD262)="SKORYGOWANY",0,IF(UPPER(E262)="SPRZEDAŻ",IF(L262&lt;&gt;"",L262,I262*M262),0))</f>
        <v/>
      </c>
      <c r="AL262" s="21">
        <f>AE262*Q262</f>
        <v/>
      </c>
      <c r="AM262">
        <f>IF(R262="","",IF(LOWER(R262)="brak","Brak",IF(OR(ISNUMBER(SEARCH("własn",LOWER(R262))),ISNUMBER(SEARCH("wlasn",LOWER(R262))),ISNUMBER(SEARCH("wojciechowski",LOWER(R262)))),"Własny","Zewnętrzny")))</f>
        <v/>
      </c>
      <c r="AN262" s="24">
        <f>IF(C262="","",YEAR(C262))</f>
        <v/>
      </c>
      <c r="AO262" s="24">
        <f>IF(C262="","",MONTH(C262))</f>
        <v/>
      </c>
      <c r="AP262">
        <f>IF(C262="","",UPPER(TEXT(C262,"mmmm")))</f>
        <v/>
      </c>
      <c r="AQ262">
        <f>IF(C262="","","Q"&amp;ROUNDUP(MONTH(C262)/3,0))</f>
        <v/>
      </c>
    </row>
    <row r="263">
      <c r="A263" s="19" t="n">
        <v>46237</v>
      </c>
      <c r="C263" s="19" t="n">
        <v>46237</v>
      </c>
      <c r="D263" t="inlineStr">
        <is>
          <t>Magazyn Zabrze</t>
        </is>
      </c>
      <c r="E263" t="inlineStr">
        <is>
          <t>PRODUKCJA</t>
        </is>
      </c>
      <c r="F263" t="inlineStr">
        <is>
          <t>PZ/56</t>
        </is>
      </c>
      <c r="G263" t="inlineStr">
        <is>
          <t>TAK</t>
        </is>
      </c>
      <c r="H263" t="inlineStr">
        <is>
          <t>Deklaracja</t>
        </is>
      </c>
      <c r="I263" s="20" t="n">
        <v>68</v>
      </c>
      <c r="J263" t="inlineStr">
        <is>
          <t>MP</t>
        </is>
      </c>
      <c r="K263" s="21" t="n">
        <v>0</v>
      </c>
      <c r="L263" s="21" t="n">
        <v>0</v>
      </c>
      <c r="M263" s="21" t="n">
        <v>0</v>
      </c>
      <c r="N263" t="inlineStr">
        <is>
          <t>Zrębka Produkcyjna Leśna</t>
        </is>
      </c>
      <c r="O263" t="inlineStr">
        <is>
          <t>B</t>
        </is>
      </c>
      <c r="P263" t="inlineStr">
        <is>
          <t>własne</t>
        </is>
      </c>
      <c r="Q263" s="21" t="n">
        <v>10</v>
      </c>
      <c r="T263" s="22" t="n">
        <v>0</v>
      </c>
      <c r="U263" s="21" t="n">
        <v>0</v>
      </c>
      <c r="V263" s="21" t="n">
        <v>0</v>
      </c>
      <c r="W263" t="inlineStr">
        <is>
          <t>Magazyn Zabrze</t>
        </is>
      </c>
      <c r="Z263" t="inlineStr">
        <is>
          <t>Roesner Mateusz</t>
        </is>
      </c>
      <c r="AA263" s="23" t="n">
        <v>46244.39350694444</v>
      </c>
      <c r="AB263" t="inlineStr">
        <is>
          <t>OP-MIGR-00262</t>
        </is>
      </c>
      <c r="AD263" t="inlineStr">
        <is>
          <t>AKTYWNY</t>
        </is>
      </c>
      <c r="AE263" s="20">
        <f>IF(I263="",0,IF(ISNUMBER(SEARCH("MP",UPPER(J263))),I263,IF(ISNUMBER(SEARCH("TON",UPPER(J263))),I263/Przelicznik_MP_tona,IF(ISNUMBER(SEARCH("M3",UPPER(J263))),I263*Przelicznik_M3_MP,IF(ISNUMBER(SEARCH("GJ",UPPER(J263))),I263/Przelicznik_GJ_tona/Przelicznik_MP_tona,I263)))))</f>
        <v/>
      </c>
      <c r="AF263" s="20">
        <f>IF(I263="",0,IF(ISNUMBER(SEARCH("TON",UPPER(J263))),I263,IF(ISNUMBER(SEARCH("GJ",UPPER(J263))),I263/Przelicznik_GJ_tona,AE263*Przelicznik_MP_tona)))</f>
        <v/>
      </c>
      <c r="AG263" s="20">
        <f>AF263*Przelicznik_GJ_tona</f>
        <v/>
      </c>
      <c r="AH263" s="20">
        <f>IF(UPPER(AD263)="SKORYGOWANY",0,IF(OR(UPPER(E263)="TRANSPORT",UPPER(E263)="MM"),0,IF(UPPER(G263)&lt;&gt;"TAK",0,IF(OR(UPPER(E263)="ZAKUP",UPPER(E263)="PRODUKCJA"),AE263,IF(OR(UPPER(E263)="SPRZEDAŻ",UPPER(E263)="ZUŻYCIE"),-AE263,0)))))</f>
        <v/>
      </c>
      <c r="AI263" s="20">
        <f>IF(UPPER(AD263)="SKORYGOWANY",0,IF(OR(UPPER(E263)="TRANSPORT",UPPER(E263)="MM"),0,IF(UPPER(G263)&lt;&gt;"TAK",0,IF(OR(UPPER(E263)="ZAKUP",UPPER(E263)="PRODUKCJA"),AF263,IF(OR(UPPER(E263)="SPRZEDAŻ",UPPER(E263)="ZUŻYCIE"),-AF263,0)))))</f>
        <v/>
      </c>
      <c r="AJ263" s="21">
        <f>IF(UPPER(AD263)="SKORYGOWANY",0,IF(UPPER(E263)="ZAKUP",IF(L263&lt;&gt;"",L263,I263*K263),0))</f>
        <v/>
      </c>
      <c r="AK263" s="21">
        <f>IF(UPPER(AD263)="SKORYGOWANY",0,IF(UPPER(E263)="SPRZEDAŻ",IF(L263&lt;&gt;"",L263,I263*M263),0))</f>
        <v/>
      </c>
      <c r="AL263" s="21">
        <f>AE263*Q263</f>
        <v/>
      </c>
      <c r="AM263">
        <f>IF(R263="","",IF(LOWER(R263)="brak","Brak",IF(OR(ISNUMBER(SEARCH("własn",LOWER(R263))),ISNUMBER(SEARCH("wlasn",LOWER(R263))),ISNUMBER(SEARCH("wojciechowski",LOWER(R263)))),"Własny","Zewnętrzny")))</f>
        <v/>
      </c>
      <c r="AN263" s="24">
        <f>IF(C263="","",YEAR(C263))</f>
        <v/>
      </c>
      <c r="AO263" s="24">
        <f>IF(C263="","",MONTH(C263))</f>
        <v/>
      </c>
      <c r="AP263">
        <f>IF(C263="","",UPPER(TEXT(C263,"mmmm")))</f>
        <v/>
      </c>
      <c r="AQ263">
        <f>IF(C263="","","Q"&amp;ROUNDUP(MONTH(C263)/3,0))</f>
        <v/>
      </c>
    </row>
    <row r="264">
      <c r="A264" s="19" t="n">
        <v>46237</v>
      </c>
      <c r="C264" s="19" t="n">
        <v>46237</v>
      </c>
      <c r="D264" t="inlineStr">
        <is>
          <t>Magazyn Zabrze</t>
        </is>
      </c>
      <c r="E264" t="inlineStr">
        <is>
          <t>ZUŻYCIE</t>
        </is>
      </c>
      <c r="F264" t="inlineStr">
        <is>
          <t>PZ/56</t>
        </is>
      </c>
      <c r="G264" t="inlineStr">
        <is>
          <t>TAK</t>
        </is>
      </c>
      <c r="H264" t="inlineStr">
        <is>
          <t>Deklaracja</t>
        </is>
      </c>
      <c r="I264" s="20" t="n">
        <v>68</v>
      </c>
      <c r="J264" t="inlineStr">
        <is>
          <t>MP</t>
        </is>
      </c>
      <c r="K264" s="21" t="n">
        <v>0</v>
      </c>
      <c r="L264" s="21" t="n">
        <v>0</v>
      </c>
      <c r="M264" s="21" t="n">
        <v>0</v>
      </c>
      <c r="N264" t="inlineStr">
        <is>
          <t>Zrębka Produkcyjna Leśna</t>
        </is>
      </c>
      <c r="O264" t="inlineStr">
        <is>
          <t>B</t>
        </is>
      </c>
      <c r="P264" t="inlineStr">
        <is>
          <t>własne</t>
        </is>
      </c>
      <c r="Q264" s="21" t="n">
        <v>10</v>
      </c>
      <c r="T264" s="22" t="n">
        <v>0</v>
      </c>
      <c r="U264" s="21" t="n">
        <v>0</v>
      </c>
      <c r="V264" s="21" t="n">
        <v>0</v>
      </c>
      <c r="W264" t="inlineStr">
        <is>
          <t>Magazyn Zabrze</t>
        </is>
      </c>
      <c r="Y264" t="inlineStr">
        <is>
          <t>Automatyczne zużycie surowca do produkcji</t>
        </is>
      </c>
      <c r="AA264" s="23" t="n">
        <v>46244.39351851852</v>
      </c>
      <c r="AB264" t="inlineStr">
        <is>
          <t>OP-MIGR-00263</t>
        </is>
      </c>
      <c r="AD264" t="inlineStr">
        <is>
          <t>AKTYWNY</t>
        </is>
      </c>
      <c r="AE264" s="20">
        <f>IF(I264="",0,IF(ISNUMBER(SEARCH("MP",UPPER(J264))),I264,IF(ISNUMBER(SEARCH("TON",UPPER(J264))),I264/Przelicznik_MP_tona,IF(ISNUMBER(SEARCH("M3",UPPER(J264))),I264*Przelicznik_M3_MP,IF(ISNUMBER(SEARCH("GJ",UPPER(J264))),I264/Przelicznik_GJ_tona/Przelicznik_MP_tona,I264)))))</f>
        <v/>
      </c>
      <c r="AF264" s="20">
        <f>IF(I264="",0,IF(ISNUMBER(SEARCH("TON",UPPER(J264))),I264,IF(ISNUMBER(SEARCH("GJ",UPPER(J264))),I264/Przelicznik_GJ_tona,AE264*Przelicznik_MP_tona)))</f>
        <v/>
      </c>
      <c r="AG264" s="20">
        <f>AF264*Przelicznik_GJ_tona</f>
        <v/>
      </c>
      <c r="AH264" s="20">
        <f>IF(UPPER(AD264)="SKORYGOWANY",0,IF(OR(UPPER(E264)="TRANSPORT",UPPER(E264)="MM"),0,IF(UPPER(G264)&lt;&gt;"TAK",0,IF(OR(UPPER(E264)="ZAKUP",UPPER(E264)="PRODUKCJA"),AE264,IF(OR(UPPER(E264)="SPRZEDAŻ",UPPER(E264)="ZUŻYCIE"),-AE264,0)))))</f>
        <v/>
      </c>
      <c r="AI264" s="20">
        <f>IF(UPPER(AD264)="SKORYGOWANY",0,IF(OR(UPPER(E264)="TRANSPORT",UPPER(E264)="MM"),0,IF(UPPER(G264)&lt;&gt;"TAK",0,IF(OR(UPPER(E264)="ZAKUP",UPPER(E264)="PRODUKCJA"),AF264,IF(OR(UPPER(E264)="SPRZEDAŻ",UPPER(E264)="ZUŻYCIE"),-AF264,0)))))</f>
        <v/>
      </c>
      <c r="AJ264" s="21">
        <f>IF(UPPER(AD264)="SKORYGOWANY",0,IF(UPPER(E264)="ZAKUP",IF(L264&lt;&gt;"",L264,I264*K264),0))</f>
        <v/>
      </c>
      <c r="AK264" s="21">
        <f>IF(UPPER(AD264)="SKORYGOWANY",0,IF(UPPER(E264)="SPRZEDAŻ",IF(L264&lt;&gt;"",L264,I264*M264),0))</f>
        <v/>
      </c>
      <c r="AL264" s="21">
        <f>AE264*Q264</f>
        <v/>
      </c>
      <c r="AM264">
        <f>IF(R264="","",IF(LOWER(R264)="brak","Brak",IF(OR(ISNUMBER(SEARCH("własn",LOWER(R264))),ISNUMBER(SEARCH("wlasn",LOWER(R264))),ISNUMBER(SEARCH("wojciechowski",LOWER(R264)))),"Własny","Zewnętrzny")))</f>
        <v/>
      </c>
      <c r="AN264" s="24">
        <f>IF(C264="","",YEAR(C264))</f>
        <v/>
      </c>
      <c r="AO264" s="24">
        <f>IF(C264="","",MONTH(C264))</f>
        <v/>
      </c>
      <c r="AP264">
        <f>IF(C264="","",UPPER(TEXT(C264,"mmmm")))</f>
        <v/>
      </c>
      <c r="AQ264">
        <f>IF(C264="","","Q"&amp;ROUNDUP(MONTH(C264)/3,0))</f>
        <v/>
      </c>
    </row>
    <row r="265">
      <c r="A265" s="19" t="n">
        <v>46237</v>
      </c>
      <c r="B265" t="inlineStr">
        <is>
          <t>Chrzanów</t>
        </is>
      </c>
      <c r="C265" s="19" t="n">
        <v>46237</v>
      </c>
      <c r="D265" t="inlineStr">
        <is>
          <t>Magazyn Zabrze</t>
        </is>
      </c>
      <c r="E265" t="inlineStr">
        <is>
          <t>ZAKUP</t>
        </is>
      </c>
      <c r="F265" t="inlineStr">
        <is>
          <t>PZ/56</t>
        </is>
      </c>
      <c r="G265" t="inlineStr">
        <is>
          <t>TAK</t>
        </is>
      </c>
      <c r="H265" t="inlineStr">
        <is>
          <t>Deklaracja</t>
        </is>
      </c>
      <c r="I265" s="20" t="n">
        <v>68</v>
      </c>
      <c r="J265" t="inlineStr">
        <is>
          <t>MP</t>
        </is>
      </c>
      <c r="K265" s="21" t="n">
        <v>0</v>
      </c>
      <c r="L265" s="21" t="n">
        <v>0</v>
      </c>
      <c r="M265" s="21" t="n">
        <v>0</v>
      </c>
      <c r="N265" t="inlineStr">
        <is>
          <t>Zrębka Produkcyjna Leśna</t>
        </is>
      </c>
      <c r="O265" t="inlineStr">
        <is>
          <t>B</t>
        </is>
      </c>
      <c r="Q265" s="21" t="n">
        <v>0</v>
      </c>
      <c r="R265" t="inlineStr">
        <is>
          <t>własny (Chrzan)</t>
        </is>
      </c>
      <c r="S265" t="inlineStr">
        <is>
          <t>SK 5L809</t>
        </is>
      </c>
      <c r="T265" s="22" t="n">
        <v>200</v>
      </c>
      <c r="U265" s="21" t="n">
        <v>5</v>
      </c>
      <c r="V265" s="21" t="n">
        <v>1000</v>
      </c>
      <c r="W265" t="inlineStr">
        <is>
          <t>Magazyn Zabrze</t>
        </is>
      </c>
      <c r="Z265" t="inlineStr">
        <is>
          <t>Roesner Mateusz</t>
        </is>
      </c>
      <c r="AA265" s="23" t="n">
        <v>46244.39414351852</v>
      </c>
      <c r="AB265" t="inlineStr">
        <is>
          <t>OP-MIGR-00264</t>
        </is>
      </c>
      <c r="AD265" t="inlineStr">
        <is>
          <t>AKTYWNY</t>
        </is>
      </c>
      <c r="AE265" s="20">
        <f>IF(I265="",0,IF(ISNUMBER(SEARCH("MP",UPPER(J265))),I265,IF(ISNUMBER(SEARCH("TON",UPPER(J265))),I265/Przelicznik_MP_tona,IF(ISNUMBER(SEARCH("M3",UPPER(J265))),I265*Przelicznik_M3_MP,IF(ISNUMBER(SEARCH("GJ",UPPER(J265))),I265/Przelicznik_GJ_tona/Przelicznik_MP_tona,I265)))))</f>
        <v/>
      </c>
      <c r="AF265" s="20">
        <f>IF(I265="",0,IF(ISNUMBER(SEARCH("TON",UPPER(J265))),I265,IF(ISNUMBER(SEARCH("GJ",UPPER(J265))),I265/Przelicznik_GJ_tona,AE265*Przelicznik_MP_tona)))</f>
        <v/>
      </c>
      <c r="AG265" s="20">
        <f>AF265*Przelicznik_GJ_tona</f>
        <v/>
      </c>
      <c r="AH265" s="20">
        <f>IF(UPPER(AD265)="SKORYGOWANY",0,IF(OR(UPPER(E265)="TRANSPORT",UPPER(E265)="MM"),0,IF(UPPER(G265)&lt;&gt;"TAK",0,IF(OR(UPPER(E265)="ZAKUP",UPPER(E265)="PRODUKCJA"),AE265,IF(OR(UPPER(E265)="SPRZEDAŻ",UPPER(E265)="ZUŻYCIE"),-AE265,0)))))</f>
        <v/>
      </c>
      <c r="AI265" s="20">
        <f>IF(UPPER(AD265)="SKORYGOWANY",0,IF(OR(UPPER(E265)="TRANSPORT",UPPER(E265)="MM"),0,IF(UPPER(G265)&lt;&gt;"TAK",0,IF(OR(UPPER(E265)="ZAKUP",UPPER(E265)="PRODUKCJA"),AF265,IF(OR(UPPER(E265)="SPRZEDAŻ",UPPER(E265)="ZUŻYCIE"),-AF265,0)))))</f>
        <v/>
      </c>
      <c r="AJ265" s="21">
        <f>IF(UPPER(AD265)="SKORYGOWANY",0,IF(UPPER(E265)="ZAKUP",IF(L265&lt;&gt;"",L265,I265*K265),0))</f>
        <v/>
      </c>
      <c r="AK265" s="21">
        <f>IF(UPPER(AD265)="SKORYGOWANY",0,IF(UPPER(E265)="SPRZEDAŻ",IF(L265&lt;&gt;"",L265,I265*M265),0))</f>
        <v/>
      </c>
      <c r="AL265" s="21">
        <f>AE265*Q265</f>
        <v/>
      </c>
      <c r="AM265">
        <f>IF(R265="","",IF(LOWER(R265)="brak","Brak",IF(OR(ISNUMBER(SEARCH("własn",LOWER(R265))),ISNUMBER(SEARCH("wlasn",LOWER(R265))),ISNUMBER(SEARCH("wojciechowski",LOWER(R265)))),"Własny","Zewnętrzny")))</f>
        <v/>
      </c>
      <c r="AN265" s="24">
        <f>IF(C265="","",YEAR(C265))</f>
        <v/>
      </c>
      <c r="AO265" s="24">
        <f>IF(C265="","",MONTH(C265))</f>
        <v/>
      </c>
      <c r="AP265">
        <f>IF(C265="","",UPPER(TEXT(C265,"mmmm")))</f>
        <v/>
      </c>
      <c r="AQ265">
        <f>IF(C265="","","Q"&amp;ROUNDUP(MONTH(C265)/3,0))</f>
        <v/>
      </c>
    </row>
    <row r="266">
      <c r="A266" s="19" t="n">
        <v>46238</v>
      </c>
      <c r="C266" s="19" t="n">
        <v>46238</v>
      </c>
      <c r="D266" t="inlineStr">
        <is>
          <t>NDL Siewierz, Leśnictwo Mitręga</t>
        </is>
      </c>
      <c r="E266" t="inlineStr">
        <is>
          <t>ZAKUP</t>
        </is>
      </c>
      <c r="F266" t="inlineStr">
        <is>
          <t>PZ/57  1/20263368/6070</t>
        </is>
      </c>
      <c r="G266" t="inlineStr">
        <is>
          <t>TAK</t>
        </is>
      </c>
      <c r="H266" t="inlineStr">
        <is>
          <t>Deklaracja</t>
        </is>
      </c>
      <c r="I266" s="20" t="n">
        <v>16.96</v>
      </c>
      <c r="J266" t="inlineStr">
        <is>
          <t>M3</t>
        </is>
      </c>
      <c r="K266" s="21" t="n">
        <v>141</v>
      </c>
      <c r="L266" s="21" t="n">
        <v>2391.36</v>
      </c>
      <c r="M266" s="21" t="n">
        <v>0</v>
      </c>
      <c r="N266" t="inlineStr">
        <is>
          <t>Drewno opałowe z lasu</t>
        </is>
      </c>
      <c r="O266" t="inlineStr">
        <is>
          <t>B</t>
        </is>
      </c>
      <c r="Q266" s="21" t="n">
        <v>0</v>
      </c>
      <c r="T266" s="22" t="n">
        <v>0</v>
      </c>
      <c r="U266" s="21" t="n">
        <v>0</v>
      </c>
      <c r="V266" s="21" t="n">
        <v>0</v>
      </c>
      <c r="W266" t="inlineStr">
        <is>
          <t>Magazyn Zabrze</t>
        </is>
      </c>
      <c r="Z266" t="inlineStr">
        <is>
          <t>Roesner Mateusz</t>
        </is>
      </c>
      <c r="AA266" s="23" t="n">
        <v>46244.39589120371</v>
      </c>
      <c r="AB266" t="inlineStr">
        <is>
          <t>OP-MIGR-00265</t>
        </is>
      </c>
      <c r="AD266" t="inlineStr">
        <is>
          <t>AKTYWNY</t>
        </is>
      </c>
      <c r="AE266" s="20">
        <f>IF(I266="",0,IF(ISNUMBER(SEARCH("MP",UPPER(J266))),I266,IF(ISNUMBER(SEARCH("TON",UPPER(J266))),I266/Przelicznik_MP_tona,IF(ISNUMBER(SEARCH("M3",UPPER(J266))),I266*Przelicznik_M3_MP,IF(ISNUMBER(SEARCH("GJ",UPPER(J266))),I266/Przelicznik_GJ_tona/Przelicznik_MP_tona,I266)))))</f>
        <v/>
      </c>
      <c r="AF266" s="20">
        <f>IF(I266="",0,IF(ISNUMBER(SEARCH("TON",UPPER(J266))),I266,IF(ISNUMBER(SEARCH("GJ",UPPER(J266))),I266/Przelicznik_GJ_tona,AE266*Przelicznik_MP_tona)))</f>
        <v/>
      </c>
      <c r="AG266" s="20">
        <f>AF266*Przelicznik_GJ_tona</f>
        <v/>
      </c>
      <c r="AH266" s="20">
        <f>IF(UPPER(AD266)="SKORYGOWANY",0,IF(OR(UPPER(E266)="TRANSPORT",UPPER(E266)="MM"),0,IF(UPPER(G266)&lt;&gt;"TAK",0,IF(OR(UPPER(E266)="ZAKUP",UPPER(E266)="PRODUKCJA"),AE266,IF(OR(UPPER(E266)="SPRZEDAŻ",UPPER(E266)="ZUŻYCIE"),-AE266,0)))))</f>
        <v/>
      </c>
      <c r="AI266" s="20">
        <f>IF(UPPER(AD266)="SKORYGOWANY",0,IF(OR(UPPER(E266)="TRANSPORT",UPPER(E266)="MM"),0,IF(UPPER(G266)&lt;&gt;"TAK",0,IF(OR(UPPER(E266)="ZAKUP",UPPER(E266)="PRODUKCJA"),AF266,IF(OR(UPPER(E266)="SPRZEDAŻ",UPPER(E266)="ZUŻYCIE"),-AF266,0)))))</f>
        <v/>
      </c>
      <c r="AJ266" s="21">
        <f>IF(UPPER(AD266)="SKORYGOWANY",0,IF(UPPER(E266)="ZAKUP",IF(L266&lt;&gt;"",L266,I266*K266),0))</f>
        <v/>
      </c>
      <c r="AK266" s="21">
        <f>IF(UPPER(AD266)="SKORYGOWANY",0,IF(UPPER(E266)="SPRZEDAŻ",IF(L266&lt;&gt;"",L266,I266*M266),0))</f>
        <v/>
      </c>
      <c r="AL266" s="21">
        <f>AE266*Q266</f>
        <v/>
      </c>
      <c r="AM266">
        <f>IF(R266="","",IF(LOWER(R266)="brak","Brak",IF(OR(ISNUMBER(SEARCH("własn",LOWER(R266))),ISNUMBER(SEARCH("wlasn",LOWER(R266))),ISNUMBER(SEARCH("wojciechowski",LOWER(R266)))),"Własny","Zewnętrzny")))</f>
        <v/>
      </c>
      <c r="AN266" s="24">
        <f>IF(C266="","",YEAR(C266))</f>
        <v/>
      </c>
      <c r="AO266" s="24">
        <f>IF(C266="","",MONTH(C266))</f>
        <v/>
      </c>
      <c r="AP266">
        <f>IF(C266="","",UPPER(TEXT(C266,"mmmm")))</f>
        <v/>
      </c>
      <c r="AQ266">
        <f>IF(C266="","","Q"&amp;ROUNDUP(MONTH(C266)/3,0))</f>
        <v/>
      </c>
    </row>
    <row r="267">
      <c r="A267" s="19" t="n">
        <v>46238</v>
      </c>
      <c r="C267" s="19" t="n">
        <v>46238</v>
      </c>
      <c r="D267" t="inlineStr">
        <is>
          <t>Magazyn Zabrze</t>
        </is>
      </c>
      <c r="E267" t="inlineStr">
        <is>
          <t>PRODUKCJA</t>
        </is>
      </c>
      <c r="F267" t="inlineStr">
        <is>
          <t>PZ/57</t>
        </is>
      </c>
      <c r="G267" t="inlineStr">
        <is>
          <t>TAK</t>
        </is>
      </c>
      <c r="H267" t="inlineStr">
        <is>
          <t>Deklaracja</t>
        </is>
      </c>
      <c r="I267" s="20" t="n">
        <v>67.84</v>
      </c>
      <c r="J267" t="inlineStr">
        <is>
          <t>MP</t>
        </is>
      </c>
      <c r="K267" s="21" t="n">
        <v>0</v>
      </c>
      <c r="L267" s="21" t="n">
        <v>0</v>
      </c>
      <c r="M267" s="21" t="n">
        <v>0</v>
      </c>
      <c r="N267" t="inlineStr">
        <is>
          <t>Zrębka Produkcyjna Leśna</t>
        </is>
      </c>
      <c r="O267" t="inlineStr">
        <is>
          <t>B</t>
        </is>
      </c>
      <c r="P267" t="inlineStr">
        <is>
          <t>własne</t>
        </is>
      </c>
      <c r="Q267" s="21" t="n">
        <v>10</v>
      </c>
      <c r="T267" s="22" t="n">
        <v>0</v>
      </c>
      <c r="U267" s="21" t="n">
        <v>0</v>
      </c>
      <c r="V267" s="21" t="n">
        <v>0</v>
      </c>
      <c r="W267" t="inlineStr">
        <is>
          <t>Magazyn Zabrze</t>
        </is>
      </c>
      <c r="Z267" t="inlineStr">
        <is>
          <t>Roesner Mateusz</t>
        </is>
      </c>
      <c r="AA267" s="23" t="n">
        <v>46244.39649305555</v>
      </c>
      <c r="AB267" t="inlineStr">
        <is>
          <t>OP-MIGR-00266</t>
        </is>
      </c>
      <c r="AD267" t="inlineStr">
        <is>
          <t>AKTYWNY</t>
        </is>
      </c>
      <c r="AE267" s="20">
        <f>IF(I267="",0,IF(ISNUMBER(SEARCH("MP",UPPER(J267))),I267,IF(ISNUMBER(SEARCH("TON",UPPER(J267))),I267/Przelicznik_MP_tona,IF(ISNUMBER(SEARCH("M3",UPPER(J267))),I267*Przelicznik_M3_MP,IF(ISNUMBER(SEARCH("GJ",UPPER(J267))),I267/Przelicznik_GJ_tona/Przelicznik_MP_tona,I267)))))</f>
        <v/>
      </c>
      <c r="AF267" s="20">
        <f>IF(I267="",0,IF(ISNUMBER(SEARCH("TON",UPPER(J267))),I267,IF(ISNUMBER(SEARCH("GJ",UPPER(J267))),I267/Przelicznik_GJ_tona,AE267*Przelicznik_MP_tona)))</f>
        <v/>
      </c>
      <c r="AG267" s="20">
        <f>AF267*Przelicznik_GJ_tona</f>
        <v/>
      </c>
      <c r="AH267" s="20">
        <f>IF(UPPER(AD267)="SKORYGOWANY",0,IF(OR(UPPER(E267)="TRANSPORT",UPPER(E267)="MM"),0,IF(UPPER(G267)&lt;&gt;"TAK",0,IF(OR(UPPER(E267)="ZAKUP",UPPER(E267)="PRODUKCJA"),AE267,IF(OR(UPPER(E267)="SPRZEDAŻ",UPPER(E267)="ZUŻYCIE"),-AE267,0)))))</f>
        <v/>
      </c>
      <c r="AI267" s="20">
        <f>IF(UPPER(AD267)="SKORYGOWANY",0,IF(OR(UPPER(E267)="TRANSPORT",UPPER(E267)="MM"),0,IF(UPPER(G267)&lt;&gt;"TAK",0,IF(OR(UPPER(E267)="ZAKUP",UPPER(E267)="PRODUKCJA"),AF267,IF(OR(UPPER(E267)="SPRZEDAŻ",UPPER(E267)="ZUŻYCIE"),-AF267,0)))))</f>
        <v/>
      </c>
      <c r="AJ267" s="21">
        <f>IF(UPPER(AD267)="SKORYGOWANY",0,IF(UPPER(E267)="ZAKUP",IF(L267&lt;&gt;"",L267,I267*K267),0))</f>
        <v/>
      </c>
      <c r="AK267" s="21">
        <f>IF(UPPER(AD267)="SKORYGOWANY",0,IF(UPPER(E267)="SPRZEDAŻ",IF(L267&lt;&gt;"",L267,I267*M267),0))</f>
        <v/>
      </c>
      <c r="AL267" s="21">
        <f>AE267*Q267</f>
        <v/>
      </c>
      <c r="AM267">
        <f>IF(R267="","",IF(LOWER(R267)="brak","Brak",IF(OR(ISNUMBER(SEARCH("własn",LOWER(R267))),ISNUMBER(SEARCH("wlasn",LOWER(R267))),ISNUMBER(SEARCH("wojciechowski",LOWER(R267)))),"Własny","Zewnętrzny")))</f>
        <v/>
      </c>
      <c r="AN267" s="24">
        <f>IF(C267="","",YEAR(C267))</f>
        <v/>
      </c>
      <c r="AO267" s="24">
        <f>IF(C267="","",MONTH(C267))</f>
        <v/>
      </c>
      <c r="AP267">
        <f>IF(C267="","",UPPER(TEXT(C267,"mmmm")))</f>
        <v/>
      </c>
      <c r="AQ267">
        <f>IF(C267="","","Q"&amp;ROUNDUP(MONTH(C267)/3,0))</f>
        <v/>
      </c>
    </row>
    <row r="268">
      <c r="A268" s="19" t="n">
        <v>46238</v>
      </c>
      <c r="C268" s="19" t="n">
        <v>46238</v>
      </c>
      <c r="D268" t="inlineStr">
        <is>
          <t>Magazyn Zabrze</t>
        </is>
      </c>
      <c r="E268" t="inlineStr">
        <is>
          <t>ZUŻYCIE</t>
        </is>
      </c>
      <c r="F268" t="inlineStr">
        <is>
          <t>PZ/57</t>
        </is>
      </c>
      <c r="G268" t="inlineStr">
        <is>
          <t>TAK</t>
        </is>
      </c>
      <c r="H268" t="inlineStr">
        <is>
          <t>Deklaracja</t>
        </is>
      </c>
      <c r="I268" s="20" t="n">
        <v>67.84</v>
      </c>
      <c r="J268" t="inlineStr">
        <is>
          <t>MP</t>
        </is>
      </c>
      <c r="K268" s="21" t="n">
        <v>0</v>
      </c>
      <c r="L268" s="21" t="n">
        <v>0</v>
      </c>
      <c r="M268" s="21" t="n">
        <v>0</v>
      </c>
      <c r="N268" t="inlineStr">
        <is>
          <t>Zrębka Produkcyjna Leśna</t>
        </is>
      </c>
      <c r="O268" t="inlineStr">
        <is>
          <t>B</t>
        </is>
      </c>
      <c r="P268" t="inlineStr">
        <is>
          <t>własne</t>
        </is>
      </c>
      <c r="Q268" s="21" t="n">
        <v>10</v>
      </c>
      <c r="T268" s="22" t="n">
        <v>0</v>
      </c>
      <c r="U268" s="21" t="n">
        <v>0</v>
      </c>
      <c r="V268" s="21" t="n">
        <v>0</v>
      </c>
      <c r="W268" t="inlineStr">
        <is>
          <t>Magazyn Zabrze</t>
        </is>
      </c>
      <c r="Y268" t="inlineStr">
        <is>
          <t>Automatyczne zużycie surowca do produkcji</t>
        </is>
      </c>
      <c r="AA268" s="23" t="n">
        <v>46244.39649305555</v>
      </c>
      <c r="AB268" t="inlineStr">
        <is>
          <t>OP-MIGR-00267</t>
        </is>
      </c>
      <c r="AD268" t="inlineStr">
        <is>
          <t>AKTYWNY</t>
        </is>
      </c>
      <c r="AE268" s="20">
        <f>IF(I268="",0,IF(ISNUMBER(SEARCH("MP",UPPER(J268))),I268,IF(ISNUMBER(SEARCH("TON",UPPER(J268))),I268/Przelicznik_MP_tona,IF(ISNUMBER(SEARCH("M3",UPPER(J268))),I268*Przelicznik_M3_MP,IF(ISNUMBER(SEARCH("GJ",UPPER(J268))),I268/Przelicznik_GJ_tona/Przelicznik_MP_tona,I268)))))</f>
        <v/>
      </c>
      <c r="AF268" s="20">
        <f>IF(I268="",0,IF(ISNUMBER(SEARCH("TON",UPPER(J268))),I268,IF(ISNUMBER(SEARCH("GJ",UPPER(J268))),I268/Przelicznik_GJ_tona,AE268*Przelicznik_MP_tona)))</f>
        <v/>
      </c>
      <c r="AG268" s="20">
        <f>AF268*Przelicznik_GJ_tona</f>
        <v/>
      </c>
      <c r="AH268" s="20">
        <f>IF(UPPER(AD268)="SKORYGOWANY",0,IF(OR(UPPER(E268)="TRANSPORT",UPPER(E268)="MM"),0,IF(UPPER(G268)&lt;&gt;"TAK",0,IF(OR(UPPER(E268)="ZAKUP",UPPER(E268)="PRODUKCJA"),AE268,IF(OR(UPPER(E268)="SPRZEDAŻ",UPPER(E268)="ZUŻYCIE"),-AE268,0)))))</f>
        <v/>
      </c>
      <c r="AI268" s="20">
        <f>IF(UPPER(AD268)="SKORYGOWANY",0,IF(OR(UPPER(E268)="TRANSPORT",UPPER(E268)="MM"),0,IF(UPPER(G268)&lt;&gt;"TAK",0,IF(OR(UPPER(E268)="ZAKUP",UPPER(E268)="PRODUKCJA"),AF268,IF(OR(UPPER(E268)="SPRZEDAŻ",UPPER(E268)="ZUŻYCIE"),-AF268,0)))))</f>
        <v/>
      </c>
      <c r="AJ268" s="21">
        <f>IF(UPPER(AD268)="SKORYGOWANY",0,IF(UPPER(E268)="ZAKUP",IF(L268&lt;&gt;"",L268,I268*K268),0))</f>
        <v/>
      </c>
      <c r="AK268" s="21">
        <f>IF(UPPER(AD268)="SKORYGOWANY",0,IF(UPPER(E268)="SPRZEDAŻ",IF(L268&lt;&gt;"",L268,I268*M268),0))</f>
        <v/>
      </c>
      <c r="AL268" s="21">
        <f>AE268*Q268</f>
        <v/>
      </c>
      <c r="AM268">
        <f>IF(R268="","",IF(LOWER(R268)="brak","Brak",IF(OR(ISNUMBER(SEARCH("własn",LOWER(R268))),ISNUMBER(SEARCH("wlasn",LOWER(R268))),ISNUMBER(SEARCH("wojciechowski",LOWER(R268)))),"Własny","Zewnętrzny")))</f>
        <v/>
      </c>
      <c r="AN268" s="24">
        <f>IF(C268="","",YEAR(C268))</f>
        <v/>
      </c>
      <c r="AO268" s="24">
        <f>IF(C268="","",MONTH(C268))</f>
        <v/>
      </c>
      <c r="AP268">
        <f>IF(C268="","",UPPER(TEXT(C268,"mmmm")))</f>
        <v/>
      </c>
      <c r="AQ268">
        <f>IF(C268="","","Q"&amp;ROUNDUP(MONTH(C268)/3,0))</f>
        <v/>
      </c>
    </row>
    <row r="269">
      <c r="A269" s="19" t="n">
        <v>46238</v>
      </c>
      <c r="B269" t="inlineStr">
        <is>
          <t>Mitręga</t>
        </is>
      </c>
      <c r="C269" s="19" t="n">
        <v>46238</v>
      </c>
      <c r="D269" t="inlineStr">
        <is>
          <t>Magazyn Zabrze</t>
        </is>
      </c>
      <c r="E269" t="inlineStr">
        <is>
          <t>ZAKUP</t>
        </is>
      </c>
      <c r="F269" t="inlineStr">
        <is>
          <t>PZ/57</t>
        </is>
      </c>
      <c r="G269" t="inlineStr">
        <is>
          <t>TAK</t>
        </is>
      </c>
      <c r="H269" t="inlineStr">
        <is>
          <t>Deklaracja</t>
        </is>
      </c>
      <c r="I269" s="20" t="n">
        <v>67.84</v>
      </c>
      <c r="J269" t="inlineStr">
        <is>
          <t>MP</t>
        </is>
      </c>
      <c r="K269" s="21" t="n">
        <v>0</v>
      </c>
      <c r="L269" s="21" t="n">
        <v>0</v>
      </c>
      <c r="M269" s="21" t="n">
        <v>0</v>
      </c>
      <c r="N269" t="inlineStr">
        <is>
          <t>Zrębka Produkcyjna Leśna</t>
        </is>
      </c>
      <c r="O269" t="inlineStr">
        <is>
          <t>B</t>
        </is>
      </c>
      <c r="Q269" s="21" t="n">
        <v>0</v>
      </c>
      <c r="R269" t="inlineStr">
        <is>
          <t>własny (Wilczak)</t>
        </is>
      </c>
      <c r="S269" t="inlineStr">
        <is>
          <t>SK 7J884</t>
        </is>
      </c>
      <c r="T269" s="22" t="n">
        <v>105</v>
      </c>
      <c r="U269" s="21" t="n">
        <v>5</v>
      </c>
      <c r="V269" s="21" t="n">
        <v>525</v>
      </c>
      <c r="W269" t="inlineStr">
        <is>
          <t>Magazyn Zabrze</t>
        </is>
      </c>
      <c r="Z269" t="inlineStr">
        <is>
          <t>Roesner Mateusz</t>
        </is>
      </c>
      <c r="AA269" s="23" t="n">
        <v>46244.39886574074</v>
      </c>
      <c r="AB269" t="inlineStr">
        <is>
          <t>OP-MIGR-00268</t>
        </is>
      </c>
      <c r="AD269" t="inlineStr">
        <is>
          <t>AKTYWNY</t>
        </is>
      </c>
      <c r="AE269" s="20">
        <f>IF(I269="",0,IF(ISNUMBER(SEARCH("MP",UPPER(J269))),I269,IF(ISNUMBER(SEARCH("TON",UPPER(J269))),I269/Przelicznik_MP_tona,IF(ISNUMBER(SEARCH("M3",UPPER(J269))),I269*Przelicznik_M3_MP,IF(ISNUMBER(SEARCH("GJ",UPPER(J269))),I269/Przelicznik_GJ_tona/Przelicznik_MP_tona,I269)))))</f>
        <v/>
      </c>
      <c r="AF269" s="20">
        <f>IF(I269="",0,IF(ISNUMBER(SEARCH("TON",UPPER(J269))),I269,IF(ISNUMBER(SEARCH("GJ",UPPER(J269))),I269/Przelicznik_GJ_tona,AE269*Przelicznik_MP_tona)))</f>
        <v/>
      </c>
      <c r="AG269" s="20">
        <f>AF269*Przelicznik_GJ_tona</f>
        <v/>
      </c>
      <c r="AH269" s="20">
        <f>IF(UPPER(AD269)="SKORYGOWANY",0,IF(OR(UPPER(E269)="TRANSPORT",UPPER(E269)="MM"),0,IF(UPPER(G269)&lt;&gt;"TAK",0,IF(OR(UPPER(E269)="ZAKUP",UPPER(E269)="PRODUKCJA"),AE269,IF(OR(UPPER(E269)="SPRZEDAŻ",UPPER(E269)="ZUŻYCIE"),-AE269,0)))))</f>
        <v/>
      </c>
      <c r="AI269" s="20">
        <f>IF(UPPER(AD269)="SKORYGOWANY",0,IF(OR(UPPER(E269)="TRANSPORT",UPPER(E269)="MM"),0,IF(UPPER(G269)&lt;&gt;"TAK",0,IF(OR(UPPER(E269)="ZAKUP",UPPER(E269)="PRODUKCJA"),AF269,IF(OR(UPPER(E269)="SPRZEDAŻ",UPPER(E269)="ZUŻYCIE"),-AF269,0)))))</f>
        <v/>
      </c>
      <c r="AJ269" s="21">
        <f>IF(UPPER(AD269)="SKORYGOWANY",0,IF(UPPER(E269)="ZAKUP",IF(L269&lt;&gt;"",L269,I269*K269),0))</f>
        <v/>
      </c>
      <c r="AK269" s="21">
        <f>IF(UPPER(AD269)="SKORYGOWANY",0,IF(UPPER(E269)="SPRZEDAŻ",IF(L269&lt;&gt;"",L269,I269*M269),0))</f>
        <v/>
      </c>
      <c r="AL269" s="21">
        <f>AE269*Q269</f>
        <v/>
      </c>
      <c r="AM269">
        <f>IF(R269="","",IF(LOWER(R269)="brak","Brak",IF(OR(ISNUMBER(SEARCH("własn",LOWER(R269))),ISNUMBER(SEARCH("wlasn",LOWER(R269))),ISNUMBER(SEARCH("wojciechowski",LOWER(R269)))),"Własny","Zewnętrzny")))</f>
        <v/>
      </c>
      <c r="AN269" s="24">
        <f>IF(C269="","",YEAR(C269))</f>
        <v/>
      </c>
      <c r="AO269" s="24">
        <f>IF(C269="","",MONTH(C269))</f>
        <v/>
      </c>
      <c r="AP269">
        <f>IF(C269="","",UPPER(TEXT(C269,"mmmm")))</f>
        <v/>
      </c>
      <c r="AQ269">
        <f>IF(C269="","","Q"&amp;ROUNDUP(MONTH(C269)/3,0))</f>
        <v/>
      </c>
    </row>
    <row r="270">
      <c r="A270" s="19" t="n">
        <v>46238</v>
      </c>
      <c r="C270" s="19" t="n">
        <v>46238</v>
      </c>
      <c r="D270" t="inlineStr">
        <is>
          <t>NDL Siewierz, Leśnictwo Mitręga</t>
        </is>
      </c>
      <c r="E270" t="inlineStr">
        <is>
          <t>ZAKUP</t>
        </is>
      </c>
      <c r="F270" t="inlineStr">
        <is>
          <t>PZ/58  1/20263368/6071</t>
        </is>
      </c>
      <c r="G270" t="inlineStr">
        <is>
          <t>TAK</t>
        </is>
      </c>
      <c r="H270" t="inlineStr">
        <is>
          <t>Deklaracja</t>
        </is>
      </c>
      <c r="I270" s="20" t="n">
        <v>17.38</v>
      </c>
      <c r="J270" t="inlineStr">
        <is>
          <t>M3</t>
        </is>
      </c>
      <c r="K270" s="21" t="n">
        <v>141</v>
      </c>
      <c r="L270" s="21" t="n">
        <v>2450.58</v>
      </c>
      <c r="M270" s="21" t="n">
        <v>0</v>
      </c>
      <c r="N270" t="inlineStr">
        <is>
          <t>Drewno opałowe z lasu</t>
        </is>
      </c>
      <c r="O270" t="inlineStr">
        <is>
          <t>B</t>
        </is>
      </c>
      <c r="Q270" s="21" t="n">
        <v>0</v>
      </c>
      <c r="T270" s="22" t="n">
        <v>0</v>
      </c>
      <c r="U270" s="21" t="n">
        <v>0</v>
      </c>
      <c r="V270" s="21" t="n">
        <v>0</v>
      </c>
      <c r="W270" t="inlineStr">
        <is>
          <t>Magazyn Zabrze</t>
        </is>
      </c>
      <c r="Z270" t="inlineStr">
        <is>
          <t>Roesner Mateusz</t>
        </is>
      </c>
      <c r="AA270" s="23" t="n">
        <v>46244.40027777778</v>
      </c>
      <c r="AB270" t="inlineStr">
        <is>
          <t>OP-MIGR-00269</t>
        </is>
      </c>
      <c r="AD270" t="inlineStr">
        <is>
          <t>AKTYWNY</t>
        </is>
      </c>
      <c r="AE270" s="20">
        <f>IF(I270="",0,IF(ISNUMBER(SEARCH("MP",UPPER(J270))),I270,IF(ISNUMBER(SEARCH("TON",UPPER(J270))),I270/Przelicznik_MP_tona,IF(ISNUMBER(SEARCH("M3",UPPER(J270))),I270*Przelicznik_M3_MP,IF(ISNUMBER(SEARCH("GJ",UPPER(J270))),I270/Przelicznik_GJ_tona/Przelicznik_MP_tona,I270)))))</f>
        <v/>
      </c>
      <c r="AF270" s="20">
        <f>IF(I270="",0,IF(ISNUMBER(SEARCH("TON",UPPER(J270))),I270,IF(ISNUMBER(SEARCH("GJ",UPPER(J270))),I270/Przelicznik_GJ_tona,AE270*Przelicznik_MP_tona)))</f>
        <v/>
      </c>
      <c r="AG270" s="20">
        <f>AF270*Przelicznik_GJ_tona</f>
        <v/>
      </c>
      <c r="AH270" s="20">
        <f>IF(UPPER(AD270)="SKORYGOWANY",0,IF(OR(UPPER(E270)="TRANSPORT",UPPER(E270)="MM"),0,IF(UPPER(G270)&lt;&gt;"TAK",0,IF(OR(UPPER(E270)="ZAKUP",UPPER(E270)="PRODUKCJA"),AE270,IF(OR(UPPER(E270)="SPRZEDAŻ",UPPER(E270)="ZUŻYCIE"),-AE270,0)))))</f>
        <v/>
      </c>
      <c r="AI270" s="20">
        <f>IF(UPPER(AD270)="SKORYGOWANY",0,IF(OR(UPPER(E270)="TRANSPORT",UPPER(E270)="MM"),0,IF(UPPER(G270)&lt;&gt;"TAK",0,IF(OR(UPPER(E270)="ZAKUP",UPPER(E270)="PRODUKCJA"),AF270,IF(OR(UPPER(E270)="SPRZEDAŻ",UPPER(E270)="ZUŻYCIE"),-AF270,0)))))</f>
        <v/>
      </c>
      <c r="AJ270" s="21">
        <f>IF(UPPER(AD270)="SKORYGOWANY",0,IF(UPPER(E270)="ZAKUP",IF(L270&lt;&gt;"",L270,I270*K270),0))</f>
        <v/>
      </c>
      <c r="AK270" s="21">
        <f>IF(UPPER(AD270)="SKORYGOWANY",0,IF(UPPER(E270)="SPRZEDAŻ",IF(L270&lt;&gt;"",L270,I270*M270),0))</f>
        <v/>
      </c>
      <c r="AL270" s="21">
        <f>AE270*Q270</f>
        <v/>
      </c>
      <c r="AM270">
        <f>IF(R270="","",IF(LOWER(R270)="brak","Brak",IF(OR(ISNUMBER(SEARCH("własn",LOWER(R270))),ISNUMBER(SEARCH("wlasn",LOWER(R270))),ISNUMBER(SEARCH("wojciechowski",LOWER(R270)))),"Własny","Zewnętrzny")))</f>
        <v/>
      </c>
      <c r="AN270" s="24">
        <f>IF(C270="","",YEAR(C270))</f>
        <v/>
      </c>
      <c r="AO270" s="24">
        <f>IF(C270="","",MONTH(C270))</f>
        <v/>
      </c>
      <c r="AP270">
        <f>IF(C270="","",UPPER(TEXT(C270,"mmmm")))</f>
        <v/>
      </c>
      <c r="AQ270">
        <f>IF(C270="","","Q"&amp;ROUNDUP(MONTH(C270)/3,0))</f>
        <v/>
      </c>
    </row>
    <row r="271">
      <c r="A271" s="19" t="n">
        <v>46238</v>
      </c>
      <c r="C271" s="19" t="n">
        <v>46238</v>
      </c>
      <c r="D271" t="inlineStr">
        <is>
          <t>Magazyn Zabrze</t>
        </is>
      </c>
      <c r="E271" t="inlineStr">
        <is>
          <t>PRODUKCJA</t>
        </is>
      </c>
      <c r="F271" t="inlineStr">
        <is>
          <t>PZ/58</t>
        </is>
      </c>
      <c r="G271" t="inlineStr">
        <is>
          <t>TAK</t>
        </is>
      </c>
      <c r="H271" t="inlineStr">
        <is>
          <t>Deklaracja</t>
        </is>
      </c>
      <c r="I271" s="20" t="n">
        <v>69.52</v>
      </c>
      <c r="J271" t="inlineStr">
        <is>
          <t>MP</t>
        </is>
      </c>
      <c r="K271" s="21" t="n">
        <v>0</v>
      </c>
      <c r="L271" s="21" t="n">
        <v>0</v>
      </c>
      <c r="M271" s="21" t="n">
        <v>0</v>
      </c>
      <c r="N271" t="inlineStr">
        <is>
          <t>Zrębka Produkcyjna Leśna</t>
        </is>
      </c>
      <c r="O271" t="inlineStr">
        <is>
          <t>B</t>
        </is>
      </c>
      <c r="P271" t="inlineStr">
        <is>
          <t>własne</t>
        </is>
      </c>
      <c r="Q271" s="21" t="n">
        <v>10</v>
      </c>
      <c r="T271" s="22" t="n">
        <v>0</v>
      </c>
      <c r="U271" s="21" t="n">
        <v>0</v>
      </c>
      <c r="V271" s="21" t="n">
        <v>0</v>
      </c>
      <c r="W271" t="inlineStr">
        <is>
          <t>Magazyn Zabrze</t>
        </is>
      </c>
      <c r="Z271" t="inlineStr">
        <is>
          <t>Roesner Mateusz</t>
        </is>
      </c>
      <c r="AA271" s="23" t="n">
        <v>46244.40083333333</v>
      </c>
      <c r="AB271" t="inlineStr">
        <is>
          <t>OP-MIGR-00270</t>
        </is>
      </c>
      <c r="AD271" t="inlineStr">
        <is>
          <t>AKTYWNY</t>
        </is>
      </c>
      <c r="AE271" s="20">
        <f>IF(I271="",0,IF(ISNUMBER(SEARCH("MP",UPPER(J271))),I271,IF(ISNUMBER(SEARCH("TON",UPPER(J271))),I271/Przelicznik_MP_tona,IF(ISNUMBER(SEARCH("M3",UPPER(J271))),I271*Przelicznik_M3_MP,IF(ISNUMBER(SEARCH("GJ",UPPER(J271))),I271/Przelicznik_GJ_tona/Przelicznik_MP_tona,I271)))))</f>
        <v/>
      </c>
      <c r="AF271" s="20">
        <f>IF(I271="",0,IF(ISNUMBER(SEARCH("TON",UPPER(J271))),I271,IF(ISNUMBER(SEARCH("GJ",UPPER(J271))),I271/Przelicznik_GJ_tona,AE271*Przelicznik_MP_tona)))</f>
        <v/>
      </c>
      <c r="AG271" s="20">
        <f>AF271*Przelicznik_GJ_tona</f>
        <v/>
      </c>
      <c r="AH271" s="20">
        <f>IF(UPPER(AD271)="SKORYGOWANY",0,IF(OR(UPPER(E271)="TRANSPORT",UPPER(E271)="MM"),0,IF(UPPER(G271)&lt;&gt;"TAK",0,IF(OR(UPPER(E271)="ZAKUP",UPPER(E271)="PRODUKCJA"),AE271,IF(OR(UPPER(E271)="SPRZEDAŻ",UPPER(E271)="ZUŻYCIE"),-AE271,0)))))</f>
        <v/>
      </c>
      <c r="AI271" s="20">
        <f>IF(UPPER(AD271)="SKORYGOWANY",0,IF(OR(UPPER(E271)="TRANSPORT",UPPER(E271)="MM"),0,IF(UPPER(G271)&lt;&gt;"TAK",0,IF(OR(UPPER(E271)="ZAKUP",UPPER(E271)="PRODUKCJA"),AF271,IF(OR(UPPER(E271)="SPRZEDAŻ",UPPER(E271)="ZUŻYCIE"),-AF271,0)))))</f>
        <v/>
      </c>
      <c r="AJ271" s="21">
        <f>IF(UPPER(AD271)="SKORYGOWANY",0,IF(UPPER(E271)="ZAKUP",IF(L271&lt;&gt;"",L271,I271*K271),0))</f>
        <v/>
      </c>
      <c r="AK271" s="21">
        <f>IF(UPPER(AD271)="SKORYGOWANY",0,IF(UPPER(E271)="SPRZEDAŻ",IF(L271&lt;&gt;"",L271,I271*M271),0))</f>
        <v/>
      </c>
      <c r="AL271" s="21">
        <f>AE271*Q271</f>
        <v/>
      </c>
      <c r="AM271">
        <f>IF(R271="","",IF(LOWER(R271)="brak","Brak",IF(OR(ISNUMBER(SEARCH("własn",LOWER(R271))),ISNUMBER(SEARCH("wlasn",LOWER(R271))),ISNUMBER(SEARCH("wojciechowski",LOWER(R271)))),"Własny","Zewnętrzny")))</f>
        <v/>
      </c>
      <c r="AN271" s="24">
        <f>IF(C271="","",YEAR(C271))</f>
        <v/>
      </c>
      <c r="AO271" s="24">
        <f>IF(C271="","",MONTH(C271))</f>
        <v/>
      </c>
      <c r="AP271">
        <f>IF(C271="","",UPPER(TEXT(C271,"mmmm")))</f>
        <v/>
      </c>
      <c r="AQ271">
        <f>IF(C271="","","Q"&amp;ROUNDUP(MONTH(C271)/3,0))</f>
        <v/>
      </c>
    </row>
    <row r="272">
      <c r="A272" s="19" t="n">
        <v>46238</v>
      </c>
      <c r="C272" s="19" t="n">
        <v>46238</v>
      </c>
      <c r="D272" t="inlineStr">
        <is>
          <t>Magazyn Zabrze</t>
        </is>
      </c>
      <c r="E272" t="inlineStr">
        <is>
          <t>ZUŻYCIE</t>
        </is>
      </c>
      <c r="F272" t="inlineStr">
        <is>
          <t>PZ/58</t>
        </is>
      </c>
      <c r="G272" t="inlineStr">
        <is>
          <t>TAK</t>
        </is>
      </c>
      <c r="H272" t="inlineStr">
        <is>
          <t>Deklaracja</t>
        </is>
      </c>
      <c r="I272" s="20" t="n">
        <v>69.52</v>
      </c>
      <c r="J272" t="inlineStr">
        <is>
          <t>MP</t>
        </is>
      </c>
      <c r="K272" s="21" t="n">
        <v>0</v>
      </c>
      <c r="L272" s="21" t="n">
        <v>0</v>
      </c>
      <c r="M272" s="21" t="n">
        <v>0</v>
      </c>
      <c r="N272" t="inlineStr">
        <is>
          <t>Zrębka Produkcyjna Leśna</t>
        </is>
      </c>
      <c r="O272" t="inlineStr">
        <is>
          <t>B</t>
        </is>
      </c>
      <c r="P272" t="inlineStr">
        <is>
          <t>własne</t>
        </is>
      </c>
      <c r="Q272" s="21" t="n">
        <v>10</v>
      </c>
      <c r="T272" s="22" t="n">
        <v>0</v>
      </c>
      <c r="U272" s="21" t="n">
        <v>0</v>
      </c>
      <c r="V272" s="21" t="n">
        <v>0</v>
      </c>
      <c r="W272" t="inlineStr">
        <is>
          <t>Magazyn Zabrze</t>
        </is>
      </c>
      <c r="Y272" t="inlineStr">
        <is>
          <t>Automatyczne zużycie surowca do produkcji</t>
        </is>
      </c>
      <c r="AA272" s="23" t="n">
        <v>46244.40083333333</v>
      </c>
      <c r="AB272" t="inlineStr">
        <is>
          <t>OP-MIGR-00271</t>
        </is>
      </c>
      <c r="AD272" t="inlineStr">
        <is>
          <t>AKTYWNY</t>
        </is>
      </c>
      <c r="AE272" s="20">
        <f>IF(I272="",0,IF(ISNUMBER(SEARCH("MP",UPPER(J272))),I272,IF(ISNUMBER(SEARCH("TON",UPPER(J272))),I272/Przelicznik_MP_tona,IF(ISNUMBER(SEARCH("M3",UPPER(J272))),I272*Przelicznik_M3_MP,IF(ISNUMBER(SEARCH("GJ",UPPER(J272))),I272/Przelicznik_GJ_tona/Przelicznik_MP_tona,I272)))))</f>
        <v/>
      </c>
      <c r="AF272" s="20">
        <f>IF(I272="",0,IF(ISNUMBER(SEARCH("TON",UPPER(J272))),I272,IF(ISNUMBER(SEARCH("GJ",UPPER(J272))),I272/Przelicznik_GJ_tona,AE272*Przelicznik_MP_tona)))</f>
        <v/>
      </c>
      <c r="AG272" s="20">
        <f>AF272*Przelicznik_GJ_tona</f>
        <v/>
      </c>
      <c r="AH272" s="20">
        <f>IF(UPPER(AD272)="SKORYGOWANY",0,IF(OR(UPPER(E272)="TRANSPORT",UPPER(E272)="MM"),0,IF(UPPER(G272)&lt;&gt;"TAK",0,IF(OR(UPPER(E272)="ZAKUP",UPPER(E272)="PRODUKCJA"),AE272,IF(OR(UPPER(E272)="SPRZEDAŻ",UPPER(E272)="ZUŻYCIE"),-AE272,0)))))</f>
        <v/>
      </c>
      <c r="AI272" s="20">
        <f>IF(UPPER(AD272)="SKORYGOWANY",0,IF(OR(UPPER(E272)="TRANSPORT",UPPER(E272)="MM"),0,IF(UPPER(G272)&lt;&gt;"TAK",0,IF(OR(UPPER(E272)="ZAKUP",UPPER(E272)="PRODUKCJA"),AF272,IF(OR(UPPER(E272)="SPRZEDAŻ",UPPER(E272)="ZUŻYCIE"),-AF272,0)))))</f>
        <v/>
      </c>
      <c r="AJ272" s="21">
        <f>IF(UPPER(AD272)="SKORYGOWANY",0,IF(UPPER(E272)="ZAKUP",IF(L272&lt;&gt;"",L272,I272*K272),0))</f>
        <v/>
      </c>
      <c r="AK272" s="21">
        <f>IF(UPPER(AD272)="SKORYGOWANY",0,IF(UPPER(E272)="SPRZEDAŻ",IF(L272&lt;&gt;"",L272,I272*M272),0))</f>
        <v/>
      </c>
      <c r="AL272" s="21">
        <f>AE272*Q272</f>
        <v/>
      </c>
      <c r="AM272">
        <f>IF(R272="","",IF(LOWER(R272)="brak","Brak",IF(OR(ISNUMBER(SEARCH("własn",LOWER(R272))),ISNUMBER(SEARCH("wlasn",LOWER(R272))),ISNUMBER(SEARCH("wojciechowski",LOWER(R272)))),"Własny","Zewnętrzny")))</f>
        <v/>
      </c>
      <c r="AN272" s="24">
        <f>IF(C272="","",YEAR(C272))</f>
        <v/>
      </c>
      <c r="AO272" s="24">
        <f>IF(C272="","",MONTH(C272))</f>
        <v/>
      </c>
      <c r="AP272">
        <f>IF(C272="","",UPPER(TEXT(C272,"mmmm")))</f>
        <v/>
      </c>
      <c r="AQ272">
        <f>IF(C272="","","Q"&amp;ROUNDUP(MONTH(C272)/3,0))</f>
        <v/>
      </c>
    </row>
    <row r="273">
      <c r="A273" s="19" t="n">
        <v>46238</v>
      </c>
      <c r="B273" t="inlineStr">
        <is>
          <t>Mitręga</t>
        </is>
      </c>
      <c r="C273" s="19" t="n">
        <v>46238</v>
      </c>
      <c r="D273" t="inlineStr">
        <is>
          <t>Magazyn Zabrze</t>
        </is>
      </c>
      <c r="E273" t="inlineStr">
        <is>
          <t>ZAKUP</t>
        </is>
      </c>
      <c r="F273" t="inlineStr">
        <is>
          <t>PZ/58</t>
        </is>
      </c>
      <c r="G273" t="inlineStr">
        <is>
          <t>TAK</t>
        </is>
      </c>
      <c r="H273" t="inlineStr">
        <is>
          <t>Deklaracja</t>
        </is>
      </c>
      <c r="I273" s="20" t="n">
        <v>69.52</v>
      </c>
      <c r="J273" t="inlineStr">
        <is>
          <t>MP</t>
        </is>
      </c>
      <c r="K273" s="21" t="n">
        <v>0</v>
      </c>
      <c r="L273" s="21" t="n">
        <v>0</v>
      </c>
      <c r="M273" s="21" t="n">
        <v>0</v>
      </c>
      <c r="N273" t="inlineStr">
        <is>
          <t>Zrębka Produkcyjna Leśna</t>
        </is>
      </c>
      <c r="O273" t="inlineStr">
        <is>
          <t>B</t>
        </is>
      </c>
      <c r="Q273" s="21" t="n">
        <v>0</v>
      </c>
      <c r="R273" t="inlineStr">
        <is>
          <t>własny (Kretek)</t>
        </is>
      </c>
      <c r="S273" t="inlineStr">
        <is>
          <t>SK 7J885</t>
        </is>
      </c>
      <c r="T273" s="22" t="n">
        <v>105</v>
      </c>
      <c r="U273" s="21" t="n">
        <v>5</v>
      </c>
      <c r="V273" s="21" t="n">
        <v>525</v>
      </c>
      <c r="W273" t="inlineStr">
        <is>
          <t>Magazyn Zabrze</t>
        </is>
      </c>
      <c r="Z273" t="inlineStr">
        <is>
          <t>Roesner Mateusz</t>
        </is>
      </c>
      <c r="AA273" s="23" t="n">
        <v>46244.40162037037</v>
      </c>
      <c r="AB273" t="inlineStr">
        <is>
          <t>OP-MIGR-00272</t>
        </is>
      </c>
      <c r="AD273" t="inlineStr">
        <is>
          <t>AKTYWNY</t>
        </is>
      </c>
      <c r="AE273" s="20">
        <f>IF(I273="",0,IF(ISNUMBER(SEARCH("MP",UPPER(J273))),I273,IF(ISNUMBER(SEARCH("TON",UPPER(J273))),I273/Przelicznik_MP_tona,IF(ISNUMBER(SEARCH("M3",UPPER(J273))),I273*Przelicznik_M3_MP,IF(ISNUMBER(SEARCH("GJ",UPPER(J273))),I273/Przelicznik_GJ_tona/Przelicznik_MP_tona,I273)))))</f>
        <v/>
      </c>
      <c r="AF273" s="20">
        <f>IF(I273="",0,IF(ISNUMBER(SEARCH("TON",UPPER(J273))),I273,IF(ISNUMBER(SEARCH("GJ",UPPER(J273))),I273/Przelicznik_GJ_tona,AE273*Przelicznik_MP_tona)))</f>
        <v/>
      </c>
      <c r="AG273" s="20">
        <f>AF273*Przelicznik_GJ_tona</f>
        <v/>
      </c>
      <c r="AH273" s="20">
        <f>IF(UPPER(AD273)="SKORYGOWANY",0,IF(OR(UPPER(E273)="TRANSPORT",UPPER(E273)="MM"),0,IF(UPPER(G273)&lt;&gt;"TAK",0,IF(OR(UPPER(E273)="ZAKUP",UPPER(E273)="PRODUKCJA"),AE273,IF(OR(UPPER(E273)="SPRZEDAŻ",UPPER(E273)="ZUŻYCIE"),-AE273,0)))))</f>
        <v/>
      </c>
      <c r="AI273" s="20">
        <f>IF(UPPER(AD273)="SKORYGOWANY",0,IF(OR(UPPER(E273)="TRANSPORT",UPPER(E273)="MM"),0,IF(UPPER(G273)&lt;&gt;"TAK",0,IF(OR(UPPER(E273)="ZAKUP",UPPER(E273)="PRODUKCJA"),AF273,IF(OR(UPPER(E273)="SPRZEDAŻ",UPPER(E273)="ZUŻYCIE"),-AF273,0)))))</f>
        <v/>
      </c>
      <c r="AJ273" s="21">
        <f>IF(UPPER(AD273)="SKORYGOWANY",0,IF(UPPER(E273)="ZAKUP",IF(L273&lt;&gt;"",L273,I273*K273),0))</f>
        <v/>
      </c>
      <c r="AK273" s="21">
        <f>IF(UPPER(AD273)="SKORYGOWANY",0,IF(UPPER(E273)="SPRZEDAŻ",IF(L273&lt;&gt;"",L273,I273*M273),0))</f>
        <v/>
      </c>
      <c r="AL273" s="21">
        <f>AE273*Q273</f>
        <v/>
      </c>
      <c r="AM273">
        <f>IF(R273="","",IF(LOWER(R273)="brak","Brak",IF(OR(ISNUMBER(SEARCH("własn",LOWER(R273))),ISNUMBER(SEARCH("wlasn",LOWER(R273))),ISNUMBER(SEARCH("wojciechowski",LOWER(R273)))),"Własny","Zewnętrzny")))</f>
        <v/>
      </c>
      <c r="AN273" s="24">
        <f>IF(C273="","",YEAR(C273))</f>
        <v/>
      </c>
      <c r="AO273" s="24">
        <f>IF(C273="","",MONTH(C273))</f>
        <v/>
      </c>
      <c r="AP273">
        <f>IF(C273="","",UPPER(TEXT(C273,"mmmm")))</f>
        <v/>
      </c>
      <c r="AQ273">
        <f>IF(C273="","","Q"&amp;ROUNDUP(MONTH(C273)/3,0))</f>
        <v/>
      </c>
    </row>
    <row r="274">
      <c r="A274" s="19" t="n">
        <v>46238</v>
      </c>
      <c r="C274" s="19" t="n">
        <v>46238</v>
      </c>
      <c r="D274" t="inlineStr">
        <is>
          <t>NDL Siewierz, Leśnictwo Mitręga</t>
        </is>
      </c>
      <c r="E274" t="inlineStr">
        <is>
          <t>ZAKUP</t>
        </is>
      </c>
      <c r="F274" t="inlineStr">
        <is>
          <t>PZ/59  1/20263368/6072</t>
        </is>
      </c>
      <c r="G274" t="inlineStr">
        <is>
          <t>TAK</t>
        </is>
      </c>
      <c r="H274" t="inlineStr">
        <is>
          <t>Deklaracja</t>
        </is>
      </c>
      <c r="I274" s="20" t="n">
        <v>15.96</v>
      </c>
      <c r="J274" t="inlineStr">
        <is>
          <t>M3</t>
        </is>
      </c>
      <c r="K274" s="21" t="n">
        <v>141</v>
      </c>
      <c r="L274" s="21" t="n">
        <v>2250.36</v>
      </c>
      <c r="M274" s="21" t="n">
        <v>0</v>
      </c>
      <c r="N274" t="inlineStr">
        <is>
          <t>Drewno opałowe z lasu</t>
        </is>
      </c>
      <c r="O274" t="inlineStr">
        <is>
          <t>B</t>
        </is>
      </c>
      <c r="Q274" s="21" t="n">
        <v>0</v>
      </c>
      <c r="T274" s="22" t="n">
        <v>0</v>
      </c>
      <c r="U274" s="21" t="n">
        <v>0</v>
      </c>
      <c r="V274" s="21" t="n">
        <v>0</v>
      </c>
      <c r="W274" t="inlineStr">
        <is>
          <t>Magazyn Zabrze</t>
        </is>
      </c>
      <c r="Z274" t="inlineStr">
        <is>
          <t>Roesner Mateusz</t>
        </is>
      </c>
      <c r="AA274" s="23" t="n">
        <v>46244.40290509259</v>
      </c>
      <c r="AB274" t="inlineStr">
        <is>
          <t>OP-MIGR-00273</t>
        </is>
      </c>
      <c r="AD274" t="inlineStr">
        <is>
          <t>AKTYWNY</t>
        </is>
      </c>
      <c r="AE274" s="20">
        <f>IF(I274="",0,IF(ISNUMBER(SEARCH("MP",UPPER(J274))),I274,IF(ISNUMBER(SEARCH("TON",UPPER(J274))),I274/Przelicznik_MP_tona,IF(ISNUMBER(SEARCH("M3",UPPER(J274))),I274*Przelicznik_M3_MP,IF(ISNUMBER(SEARCH("GJ",UPPER(J274))),I274/Przelicznik_GJ_tona/Przelicznik_MP_tona,I274)))))</f>
        <v/>
      </c>
      <c r="AF274" s="20">
        <f>IF(I274="",0,IF(ISNUMBER(SEARCH("TON",UPPER(J274))),I274,IF(ISNUMBER(SEARCH("GJ",UPPER(J274))),I274/Przelicznik_GJ_tona,AE274*Przelicznik_MP_tona)))</f>
        <v/>
      </c>
      <c r="AG274" s="20">
        <f>AF274*Przelicznik_GJ_tona</f>
        <v/>
      </c>
      <c r="AH274" s="20">
        <f>IF(UPPER(AD274)="SKORYGOWANY",0,IF(OR(UPPER(E274)="TRANSPORT",UPPER(E274)="MM"),0,IF(UPPER(G274)&lt;&gt;"TAK",0,IF(OR(UPPER(E274)="ZAKUP",UPPER(E274)="PRODUKCJA"),AE274,IF(OR(UPPER(E274)="SPRZEDAŻ",UPPER(E274)="ZUŻYCIE"),-AE274,0)))))</f>
        <v/>
      </c>
      <c r="AI274" s="20">
        <f>IF(UPPER(AD274)="SKORYGOWANY",0,IF(OR(UPPER(E274)="TRANSPORT",UPPER(E274)="MM"),0,IF(UPPER(G274)&lt;&gt;"TAK",0,IF(OR(UPPER(E274)="ZAKUP",UPPER(E274)="PRODUKCJA"),AF274,IF(OR(UPPER(E274)="SPRZEDAŻ",UPPER(E274)="ZUŻYCIE"),-AF274,0)))))</f>
        <v/>
      </c>
      <c r="AJ274" s="21">
        <f>IF(UPPER(AD274)="SKORYGOWANY",0,IF(UPPER(E274)="ZAKUP",IF(L274&lt;&gt;"",L274,I274*K274),0))</f>
        <v/>
      </c>
      <c r="AK274" s="21">
        <f>IF(UPPER(AD274)="SKORYGOWANY",0,IF(UPPER(E274)="SPRZEDAŻ",IF(L274&lt;&gt;"",L274,I274*M274),0))</f>
        <v/>
      </c>
      <c r="AL274" s="21">
        <f>AE274*Q274</f>
        <v/>
      </c>
      <c r="AM274">
        <f>IF(R274="","",IF(LOWER(R274)="brak","Brak",IF(OR(ISNUMBER(SEARCH("własn",LOWER(R274))),ISNUMBER(SEARCH("wlasn",LOWER(R274))),ISNUMBER(SEARCH("wojciechowski",LOWER(R274)))),"Własny","Zewnętrzny")))</f>
        <v/>
      </c>
      <c r="AN274" s="24">
        <f>IF(C274="","",YEAR(C274))</f>
        <v/>
      </c>
      <c r="AO274" s="24">
        <f>IF(C274="","",MONTH(C274))</f>
        <v/>
      </c>
      <c r="AP274">
        <f>IF(C274="","",UPPER(TEXT(C274,"mmmm")))</f>
        <v/>
      </c>
      <c r="AQ274">
        <f>IF(C274="","","Q"&amp;ROUNDUP(MONTH(C274)/3,0))</f>
        <v/>
      </c>
    </row>
    <row r="275">
      <c r="A275" s="19" t="n">
        <v>46238</v>
      </c>
      <c r="C275" s="19" t="n">
        <v>46238</v>
      </c>
      <c r="D275" t="inlineStr">
        <is>
          <t>Magazyn Zabrze</t>
        </is>
      </c>
      <c r="E275" t="inlineStr">
        <is>
          <t>PRODUKCJA</t>
        </is>
      </c>
      <c r="F275" t="inlineStr">
        <is>
          <t>PZ/59</t>
        </is>
      </c>
      <c r="G275" t="inlineStr">
        <is>
          <t>TAK</t>
        </is>
      </c>
      <c r="H275" t="inlineStr">
        <is>
          <t>Deklaracja</t>
        </is>
      </c>
      <c r="I275" s="20" t="n">
        <v>63.84</v>
      </c>
      <c r="J275" t="inlineStr">
        <is>
          <t>MP</t>
        </is>
      </c>
      <c r="K275" s="21" t="n">
        <v>0</v>
      </c>
      <c r="L275" s="21" t="n">
        <v>0</v>
      </c>
      <c r="M275" s="21" t="n">
        <v>0</v>
      </c>
      <c r="N275" t="inlineStr">
        <is>
          <t>Zrębka Produkcyjna Leśna</t>
        </is>
      </c>
      <c r="O275" t="inlineStr">
        <is>
          <t>B</t>
        </is>
      </c>
      <c r="P275" t="inlineStr">
        <is>
          <t>własne</t>
        </is>
      </c>
      <c r="Q275" s="21" t="n">
        <v>10</v>
      </c>
      <c r="T275" s="22" t="n">
        <v>0</v>
      </c>
      <c r="U275" s="21" t="n">
        <v>0</v>
      </c>
      <c r="V275" s="21" t="n">
        <v>0</v>
      </c>
      <c r="W275" t="inlineStr">
        <is>
          <t>Magazyn Zabrze</t>
        </is>
      </c>
      <c r="Z275" t="inlineStr">
        <is>
          <t>Roesner Mateusz</t>
        </is>
      </c>
      <c r="AA275" s="23" t="n">
        <v>46244.40369212963</v>
      </c>
      <c r="AB275" t="inlineStr">
        <is>
          <t>OP-MIGR-00274</t>
        </is>
      </c>
      <c r="AD275" t="inlineStr">
        <is>
          <t>AKTYWNY</t>
        </is>
      </c>
      <c r="AE275" s="20">
        <f>IF(I275="",0,IF(ISNUMBER(SEARCH("MP",UPPER(J275))),I275,IF(ISNUMBER(SEARCH("TON",UPPER(J275))),I275/Przelicznik_MP_tona,IF(ISNUMBER(SEARCH("M3",UPPER(J275))),I275*Przelicznik_M3_MP,IF(ISNUMBER(SEARCH("GJ",UPPER(J275))),I275/Przelicznik_GJ_tona/Przelicznik_MP_tona,I275)))))</f>
        <v/>
      </c>
      <c r="AF275" s="20">
        <f>IF(I275="",0,IF(ISNUMBER(SEARCH("TON",UPPER(J275))),I275,IF(ISNUMBER(SEARCH("GJ",UPPER(J275))),I275/Przelicznik_GJ_tona,AE275*Przelicznik_MP_tona)))</f>
        <v/>
      </c>
      <c r="AG275" s="20">
        <f>AF275*Przelicznik_GJ_tona</f>
        <v/>
      </c>
      <c r="AH275" s="20">
        <f>IF(UPPER(AD275)="SKORYGOWANY",0,IF(OR(UPPER(E275)="TRANSPORT",UPPER(E275)="MM"),0,IF(UPPER(G275)&lt;&gt;"TAK",0,IF(OR(UPPER(E275)="ZAKUP",UPPER(E275)="PRODUKCJA"),AE275,IF(OR(UPPER(E275)="SPRZEDAŻ",UPPER(E275)="ZUŻYCIE"),-AE275,0)))))</f>
        <v/>
      </c>
      <c r="AI275" s="20">
        <f>IF(UPPER(AD275)="SKORYGOWANY",0,IF(OR(UPPER(E275)="TRANSPORT",UPPER(E275)="MM"),0,IF(UPPER(G275)&lt;&gt;"TAK",0,IF(OR(UPPER(E275)="ZAKUP",UPPER(E275)="PRODUKCJA"),AF275,IF(OR(UPPER(E275)="SPRZEDAŻ",UPPER(E275)="ZUŻYCIE"),-AF275,0)))))</f>
        <v/>
      </c>
      <c r="AJ275" s="21">
        <f>IF(UPPER(AD275)="SKORYGOWANY",0,IF(UPPER(E275)="ZAKUP",IF(L275&lt;&gt;"",L275,I275*K275),0))</f>
        <v/>
      </c>
      <c r="AK275" s="21">
        <f>IF(UPPER(AD275)="SKORYGOWANY",0,IF(UPPER(E275)="SPRZEDAŻ",IF(L275&lt;&gt;"",L275,I275*M275),0))</f>
        <v/>
      </c>
      <c r="AL275" s="21">
        <f>AE275*Q275</f>
        <v/>
      </c>
      <c r="AM275">
        <f>IF(R275="","",IF(LOWER(R275)="brak","Brak",IF(OR(ISNUMBER(SEARCH("własn",LOWER(R275))),ISNUMBER(SEARCH("wlasn",LOWER(R275))),ISNUMBER(SEARCH("wojciechowski",LOWER(R275)))),"Własny","Zewnętrzny")))</f>
        <v/>
      </c>
      <c r="AN275" s="24">
        <f>IF(C275="","",YEAR(C275))</f>
        <v/>
      </c>
      <c r="AO275" s="24">
        <f>IF(C275="","",MONTH(C275))</f>
        <v/>
      </c>
      <c r="AP275">
        <f>IF(C275="","",UPPER(TEXT(C275,"mmmm")))</f>
        <v/>
      </c>
      <c r="AQ275">
        <f>IF(C275="","","Q"&amp;ROUNDUP(MONTH(C275)/3,0))</f>
        <v/>
      </c>
    </row>
    <row r="276">
      <c r="A276" s="19" t="n">
        <v>46238</v>
      </c>
      <c r="C276" s="19" t="n">
        <v>46238</v>
      </c>
      <c r="D276" t="inlineStr">
        <is>
          <t>Magazyn Zabrze</t>
        </is>
      </c>
      <c r="E276" t="inlineStr">
        <is>
          <t>ZUŻYCIE</t>
        </is>
      </c>
      <c r="F276" t="inlineStr">
        <is>
          <t>PZ/59</t>
        </is>
      </c>
      <c r="G276" t="inlineStr">
        <is>
          <t>TAK</t>
        </is>
      </c>
      <c r="H276" t="inlineStr">
        <is>
          <t>Deklaracja</t>
        </is>
      </c>
      <c r="I276" s="20" t="n">
        <v>63.84</v>
      </c>
      <c r="J276" t="inlineStr">
        <is>
          <t>MP</t>
        </is>
      </c>
      <c r="K276" s="21" t="n">
        <v>0</v>
      </c>
      <c r="L276" s="21" t="n">
        <v>0</v>
      </c>
      <c r="M276" s="21" t="n">
        <v>0</v>
      </c>
      <c r="N276" t="inlineStr">
        <is>
          <t>Zrębka Produkcyjna Leśna</t>
        </is>
      </c>
      <c r="O276" t="inlineStr">
        <is>
          <t>B</t>
        </is>
      </c>
      <c r="P276" t="inlineStr">
        <is>
          <t>własne</t>
        </is>
      </c>
      <c r="Q276" s="21" t="n">
        <v>10</v>
      </c>
      <c r="T276" s="22" t="n">
        <v>0</v>
      </c>
      <c r="U276" s="21" t="n">
        <v>0</v>
      </c>
      <c r="V276" s="21" t="n">
        <v>0</v>
      </c>
      <c r="W276" t="inlineStr">
        <is>
          <t>Magazyn Zabrze</t>
        </is>
      </c>
      <c r="Y276" t="inlineStr">
        <is>
          <t>Automatyczne zużycie surowca do produkcji</t>
        </is>
      </c>
      <c r="AA276" s="23" t="n">
        <v>46244.40369212963</v>
      </c>
      <c r="AB276" t="inlineStr">
        <is>
          <t>OP-MIGR-00275</t>
        </is>
      </c>
      <c r="AD276" t="inlineStr">
        <is>
          <t>AKTYWNY</t>
        </is>
      </c>
      <c r="AE276" s="20">
        <f>IF(I276="",0,IF(ISNUMBER(SEARCH("MP",UPPER(J276))),I276,IF(ISNUMBER(SEARCH("TON",UPPER(J276))),I276/Przelicznik_MP_tona,IF(ISNUMBER(SEARCH("M3",UPPER(J276))),I276*Przelicznik_M3_MP,IF(ISNUMBER(SEARCH("GJ",UPPER(J276))),I276/Przelicznik_GJ_tona/Przelicznik_MP_tona,I276)))))</f>
        <v/>
      </c>
      <c r="AF276" s="20">
        <f>IF(I276="",0,IF(ISNUMBER(SEARCH("TON",UPPER(J276))),I276,IF(ISNUMBER(SEARCH("GJ",UPPER(J276))),I276/Przelicznik_GJ_tona,AE276*Przelicznik_MP_tona)))</f>
        <v/>
      </c>
      <c r="AG276" s="20">
        <f>AF276*Przelicznik_GJ_tona</f>
        <v/>
      </c>
      <c r="AH276" s="20">
        <f>IF(UPPER(AD276)="SKORYGOWANY",0,IF(OR(UPPER(E276)="TRANSPORT",UPPER(E276)="MM"),0,IF(UPPER(G276)&lt;&gt;"TAK",0,IF(OR(UPPER(E276)="ZAKUP",UPPER(E276)="PRODUKCJA"),AE276,IF(OR(UPPER(E276)="SPRZEDAŻ",UPPER(E276)="ZUŻYCIE"),-AE276,0)))))</f>
        <v/>
      </c>
      <c r="AI276" s="20">
        <f>IF(UPPER(AD276)="SKORYGOWANY",0,IF(OR(UPPER(E276)="TRANSPORT",UPPER(E276)="MM"),0,IF(UPPER(G276)&lt;&gt;"TAK",0,IF(OR(UPPER(E276)="ZAKUP",UPPER(E276)="PRODUKCJA"),AF276,IF(OR(UPPER(E276)="SPRZEDAŻ",UPPER(E276)="ZUŻYCIE"),-AF276,0)))))</f>
        <v/>
      </c>
      <c r="AJ276" s="21">
        <f>IF(UPPER(AD276)="SKORYGOWANY",0,IF(UPPER(E276)="ZAKUP",IF(L276&lt;&gt;"",L276,I276*K276),0))</f>
        <v/>
      </c>
      <c r="AK276" s="21">
        <f>IF(UPPER(AD276)="SKORYGOWANY",0,IF(UPPER(E276)="SPRZEDAŻ",IF(L276&lt;&gt;"",L276,I276*M276),0))</f>
        <v/>
      </c>
      <c r="AL276" s="21">
        <f>AE276*Q276</f>
        <v/>
      </c>
      <c r="AM276">
        <f>IF(R276="","",IF(LOWER(R276)="brak","Brak",IF(OR(ISNUMBER(SEARCH("własn",LOWER(R276))),ISNUMBER(SEARCH("wlasn",LOWER(R276))),ISNUMBER(SEARCH("wojciechowski",LOWER(R276)))),"Własny","Zewnętrzny")))</f>
        <v/>
      </c>
      <c r="AN276" s="24">
        <f>IF(C276="","",YEAR(C276))</f>
        <v/>
      </c>
      <c r="AO276" s="24">
        <f>IF(C276="","",MONTH(C276))</f>
        <v/>
      </c>
      <c r="AP276">
        <f>IF(C276="","",UPPER(TEXT(C276,"mmmm")))</f>
        <v/>
      </c>
      <c r="AQ276">
        <f>IF(C276="","","Q"&amp;ROUNDUP(MONTH(C276)/3,0))</f>
        <v/>
      </c>
    </row>
    <row r="277">
      <c r="A277" s="19" t="n">
        <v>46238</v>
      </c>
      <c r="B277" t="inlineStr">
        <is>
          <t>Mitręga</t>
        </is>
      </c>
      <c r="C277" s="19" t="n">
        <v>46238</v>
      </c>
      <c r="D277" t="inlineStr">
        <is>
          <t>Magazyn Zabrze</t>
        </is>
      </c>
      <c r="E277" t="inlineStr">
        <is>
          <t>ZAKUP</t>
        </is>
      </c>
      <c r="F277" t="inlineStr">
        <is>
          <t>PZ/59</t>
        </is>
      </c>
      <c r="G277" t="inlineStr">
        <is>
          <t>TAK</t>
        </is>
      </c>
      <c r="H277" t="inlineStr">
        <is>
          <t>Deklaracja</t>
        </is>
      </c>
      <c r="I277" s="20" t="n">
        <v>63.84</v>
      </c>
      <c r="J277" t="inlineStr">
        <is>
          <t>MP</t>
        </is>
      </c>
      <c r="K277" s="21" t="n">
        <v>0</v>
      </c>
      <c r="L277" s="21" t="n">
        <v>0</v>
      </c>
      <c r="M277" s="21" t="n">
        <v>0</v>
      </c>
      <c r="N277" t="inlineStr">
        <is>
          <t>Zrębka Produkcyjna Leśna</t>
        </is>
      </c>
      <c r="O277" t="inlineStr">
        <is>
          <t>B</t>
        </is>
      </c>
      <c r="Q277" s="21" t="n">
        <v>0</v>
      </c>
      <c r="R277" t="inlineStr">
        <is>
          <t>własny (Wiór)</t>
        </is>
      </c>
      <c r="S277" t="inlineStr">
        <is>
          <t>SK 7H433</t>
        </is>
      </c>
      <c r="T277" s="22" t="n">
        <v>105</v>
      </c>
      <c r="U277" s="21" t="n">
        <v>6</v>
      </c>
      <c r="V277" s="21" t="n">
        <v>630</v>
      </c>
      <c r="W277" t="inlineStr">
        <is>
          <t>Magazyn Zabrze</t>
        </is>
      </c>
      <c r="Z277" t="inlineStr">
        <is>
          <t>Roesner Mateusz</t>
        </is>
      </c>
      <c r="AA277" s="23" t="n">
        <v>46244.40459490741</v>
      </c>
      <c r="AB277" t="inlineStr">
        <is>
          <t>OP-MIGR-00276</t>
        </is>
      </c>
      <c r="AD277" t="inlineStr">
        <is>
          <t>AKTYWNY</t>
        </is>
      </c>
      <c r="AE277" s="20">
        <f>IF(I277="",0,IF(ISNUMBER(SEARCH("MP",UPPER(J277))),I277,IF(ISNUMBER(SEARCH("TON",UPPER(J277))),I277/Przelicznik_MP_tona,IF(ISNUMBER(SEARCH("M3",UPPER(J277))),I277*Przelicznik_M3_MP,IF(ISNUMBER(SEARCH("GJ",UPPER(J277))),I277/Przelicznik_GJ_tona/Przelicznik_MP_tona,I277)))))</f>
        <v/>
      </c>
      <c r="AF277" s="20">
        <f>IF(I277="",0,IF(ISNUMBER(SEARCH("TON",UPPER(J277))),I277,IF(ISNUMBER(SEARCH("GJ",UPPER(J277))),I277/Przelicznik_GJ_tona,AE277*Przelicznik_MP_tona)))</f>
        <v/>
      </c>
      <c r="AG277" s="20">
        <f>AF277*Przelicznik_GJ_tona</f>
        <v/>
      </c>
      <c r="AH277" s="20">
        <f>IF(UPPER(AD277)="SKORYGOWANY",0,IF(OR(UPPER(E277)="TRANSPORT",UPPER(E277)="MM"),0,IF(UPPER(G277)&lt;&gt;"TAK",0,IF(OR(UPPER(E277)="ZAKUP",UPPER(E277)="PRODUKCJA"),AE277,IF(OR(UPPER(E277)="SPRZEDAŻ",UPPER(E277)="ZUŻYCIE"),-AE277,0)))))</f>
        <v/>
      </c>
      <c r="AI277" s="20">
        <f>IF(UPPER(AD277)="SKORYGOWANY",0,IF(OR(UPPER(E277)="TRANSPORT",UPPER(E277)="MM"),0,IF(UPPER(G277)&lt;&gt;"TAK",0,IF(OR(UPPER(E277)="ZAKUP",UPPER(E277)="PRODUKCJA"),AF277,IF(OR(UPPER(E277)="SPRZEDAŻ",UPPER(E277)="ZUŻYCIE"),-AF277,0)))))</f>
        <v/>
      </c>
      <c r="AJ277" s="21">
        <f>IF(UPPER(AD277)="SKORYGOWANY",0,IF(UPPER(E277)="ZAKUP",IF(L277&lt;&gt;"",L277,I277*K277),0))</f>
        <v/>
      </c>
      <c r="AK277" s="21">
        <f>IF(UPPER(AD277)="SKORYGOWANY",0,IF(UPPER(E277)="SPRZEDAŻ",IF(L277&lt;&gt;"",L277,I277*M277),0))</f>
        <v/>
      </c>
      <c r="AL277" s="21">
        <f>AE277*Q277</f>
        <v/>
      </c>
      <c r="AM277">
        <f>IF(R277="","",IF(LOWER(R277)="brak","Brak",IF(OR(ISNUMBER(SEARCH("własn",LOWER(R277))),ISNUMBER(SEARCH("wlasn",LOWER(R277))),ISNUMBER(SEARCH("wojciechowski",LOWER(R277)))),"Własny","Zewnętrzny")))</f>
        <v/>
      </c>
      <c r="AN277" s="24">
        <f>IF(C277="","",YEAR(C277))</f>
        <v/>
      </c>
      <c r="AO277" s="24">
        <f>IF(C277="","",MONTH(C277))</f>
        <v/>
      </c>
      <c r="AP277">
        <f>IF(C277="","",UPPER(TEXT(C277,"mmmm")))</f>
        <v/>
      </c>
      <c r="AQ277">
        <f>IF(C277="","","Q"&amp;ROUNDUP(MONTH(C277)/3,0))</f>
        <v/>
      </c>
    </row>
    <row r="278">
      <c r="A278" s="19" t="n">
        <v>46238</v>
      </c>
      <c r="C278" s="19" t="n">
        <v>46238</v>
      </c>
      <c r="D278" t="inlineStr">
        <is>
          <t>NDL Siewierz, Leśnictwo Mitręga</t>
        </is>
      </c>
      <c r="E278" t="inlineStr">
        <is>
          <t>ZAKUP</t>
        </is>
      </c>
      <c r="F278" t="inlineStr">
        <is>
          <t>PZ/60</t>
        </is>
      </c>
      <c r="G278" t="inlineStr">
        <is>
          <t>TAK</t>
        </is>
      </c>
      <c r="H278" t="inlineStr">
        <is>
          <t>Deklaracja</t>
        </is>
      </c>
      <c r="I278" s="20" t="n">
        <v>16.96</v>
      </c>
      <c r="J278" t="inlineStr">
        <is>
          <t>M3</t>
        </is>
      </c>
      <c r="K278" s="21" t="n">
        <v>141</v>
      </c>
      <c r="L278" s="21" t="n">
        <v>2391.36</v>
      </c>
      <c r="M278" s="21" t="n">
        <v>0</v>
      </c>
      <c r="N278" t="inlineStr">
        <is>
          <t>Drewno opałowe z lasu</t>
        </is>
      </c>
      <c r="O278" t="inlineStr">
        <is>
          <t>B</t>
        </is>
      </c>
      <c r="Q278" s="21" t="n">
        <v>0</v>
      </c>
      <c r="T278" s="22" t="n">
        <v>0</v>
      </c>
      <c r="U278" s="21" t="n">
        <v>0</v>
      </c>
      <c r="V278" s="21" t="n">
        <v>0</v>
      </c>
      <c r="W278" t="inlineStr">
        <is>
          <t>Magazyn Zabrze</t>
        </is>
      </c>
      <c r="Z278" t="inlineStr">
        <is>
          <t>Roesner Mateusz</t>
        </is>
      </c>
      <c r="AA278" s="23" t="n">
        <v>46244.4059375</v>
      </c>
      <c r="AB278" t="inlineStr">
        <is>
          <t>OP-MIGR-00277</t>
        </is>
      </c>
      <c r="AD278" t="inlineStr">
        <is>
          <t>AKTYWNY</t>
        </is>
      </c>
      <c r="AE278" s="20">
        <f>IF(I278="",0,IF(ISNUMBER(SEARCH("MP",UPPER(J278))),I278,IF(ISNUMBER(SEARCH("TON",UPPER(J278))),I278/Przelicznik_MP_tona,IF(ISNUMBER(SEARCH("M3",UPPER(J278))),I278*Przelicznik_M3_MP,IF(ISNUMBER(SEARCH("GJ",UPPER(J278))),I278/Przelicznik_GJ_tona/Przelicznik_MP_tona,I278)))))</f>
        <v/>
      </c>
      <c r="AF278" s="20">
        <f>IF(I278="",0,IF(ISNUMBER(SEARCH("TON",UPPER(J278))),I278,IF(ISNUMBER(SEARCH("GJ",UPPER(J278))),I278/Przelicznik_GJ_tona,AE278*Przelicznik_MP_tona)))</f>
        <v/>
      </c>
      <c r="AG278" s="20">
        <f>AF278*Przelicznik_GJ_tona</f>
        <v/>
      </c>
      <c r="AH278" s="20">
        <f>IF(UPPER(AD278)="SKORYGOWANY",0,IF(OR(UPPER(E278)="TRANSPORT",UPPER(E278)="MM"),0,IF(UPPER(G278)&lt;&gt;"TAK",0,IF(OR(UPPER(E278)="ZAKUP",UPPER(E278)="PRODUKCJA"),AE278,IF(OR(UPPER(E278)="SPRZEDAŻ",UPPER(E278)="ZUŻYCIE"),-AE278,0)))))</f>
        <v/>
      </c>
      <c r="AI278" s="20">
        <f>IF(UPPER(AD278)="SKORYGOWANY",0,IF(OR(UPPER(E278)="TRANSPORT",UPPER(E278)="MM"),0,IF(UPPER(G278)&lt;&gt;"TAK",0,IF(OR(UPPER(E278)="ZAKUP",UPPER(E278)="PRODUKCJA"),AF278,IF(OR(UPPER(E278)="SPRZEDAŻ",UPPER(E278)="ZUŻYCIE"),-AF278,0)))))</f>
        <v/>
      </c>
      <c r="AJ278" s="21">
        <f>IF(UPPER(AD278)="SKORYGOWANY",0,IF(UPPER(E278)="ZAKUP",IF(L278&lt;&gt;"",L278,I278*K278),0))</f>
        <v/>
      </c>
      <c r="AK278" s="21">
        <f>IF(UPPER(AD278)="SKORYGOWANY",0,IF(UPPER(E278)="SPRZEDAŻ",IF(L278&lt;&gt;"",L278,I278*M278),0))</f>
        <v/>
      </c>
      <c r="AL278" s="21">
        <f>AE278*Q278</f>
        <v/>
      </c>
      <c r="AM278">
        <f>IF(R278="","",IF(LOWER(R278)="brak","Brak",IF(OR(ISNUMBER(SEARCH("własn",LOWER(R278))),ISNUMBER(SEARCH("wlasn",LOWER(R278))),ISNUMBER(SEARCH("wojciechowski",LOWER(R278)))),"Własny","Zewnętrzny")))</f>
        <v/>
      </c>
      <c r="AN278" s="24">
        <f>IF(C278="","",YEAR(C278))</f>
        <v/>
      </c>
      <c r="AO278" s="24">
        <f>IF(C278="","",MONTH(C278))</f>
        <v/>
      </c>
      <c r="AP278">
        <f>IF(C278="","",UPPER(TEXT(C278,"mmmm")))</f>
        <v/>
      </c>
      <c r="AQ278">
        <f>IF(C278="","","Q"&amp;ROUNDUP(MONTH(C278)/3,0))</f>
        <v/>
      </c>
    </row>
    <row r="279">
      <c r="A279" s="19" t="n">
        <v>46238</v>
      </c>
      <c r="C279" s="19" t="n">
        <v>46238</v>
      </c>
      <c r="D279" t="inlineStr">
        <is>
          <t>Magazyn Zabrze</t>
        </is>
      </c>
      <c r="E279" t="inlineStr">
        <is>
          <t>PRODUKCJA</t>
        </is>
      </c>
      <c r="F279" t="inlineStr">
        <is>
          <t>PZ/60</t>
        </is>
      </c>
      <c r="G279" t="inlineStr">
        <is>
          <t>TAK</t>
        </is>
      </c>
      <c r="H279" t="inlineStr">
        <is>
          <t>Deklaracja</t>
        </is>
      </c>
      <c r="I279" s="20" t="n">
        <v>67.84</v>
      </c>
      <c r="J279" t="inlineStr">
        <is>
          <t>MP</t>
        </is>
      </c>
      <c r="K279" s="21" t="n">
        <v>0</v>
      </c>
      <c r="L279" s="21" t="n">
        <v>0</v>
      </c>
      <c r="M279" s="21" t="n">
        <v>0</v>
      </c>
      <c r="N279" t="inlineStr">
        <is>
          <t>Zrębka Produkcyjna Leśna</t>
        </is>
      </c>
      <c r="O279" t="inlineStr">
        <is>
          <t>B</t>
        </is>
      </c>
      <c r="P279" t="inlineStr">
        <is>
          <t>własne</t>
        </is>
      </c>
      <c r="Q279" s="21" t="n">
        <v>10</v>
      </c>
      <c r="T279" s="22" t="n">
        <v>0</v>
      </c>
      <c r="U279" s="21" t="n">
        <v>0</v>
      </c>
      <c r="V279" s="21" t="n">
        <v>0</v>
      </c>
      <c r="W279" t="inlineStr">
        <is>
          <t>Magazyn Zabrze</t>
        </is>
      </c>
      <c r="Z279" t="inlineStr">
        <is>
          <t>Roesner Mateusz</t>
        </is>
      </c>
      <c r="AA279" s="23" t="n">
        <v>46244.40663194445</v>
      </c>
      <c r="AB279" t="inlineStr">
        <is>
          <t>OP-MIGR-00278</t>
        </is>
      </c>
      <c r="AD279" t="inlineStr">
        <is>
          <t>AKTYWNY</t>
        </is>
      </c>
      <c r="AE279" s="20">
        <f>IF(I279="",0,IF(ISNUMBER(SEARCH("MP",UPPER(J279))),I279,IF(ISNUMBER(SEARCH("TON",UPPER(J279))),I279/Przelicznik_MP_tona,IF(ISNUMBER(SEARCH("M3",UPPER(J279))),I279*Przelicznik_M3_MP,IF(ISNUMBER(SEARCH("GJ",UPPER(J279))),I279/Przelicznik_GJ_tona/Przelicznik_MP_tona,I279)))))</f>
        <v/>
      </c>
      <c r="AF279" s="20">
        <f>IF(I279="",0,IF(ISNUMBER(SEARCH("TON",UPPER(J279))),I279,IF(ISNUMBER(SEARCH("GJ",UPPER(J279))),I279/Przelicznik_GJ_tona,AE279*Przelicznik_MP_tona)))</f>
        <v/>
      </c>
      <c r="AG279" s="20">
        <f>AF279*Przelicznik_GJ_tona</f>
        <v/>
      </c>
      <c r="AH279" s="20">
        <f>IF(UPPER(AD279)="SKORYGOWANY",0,IF(OR(UPPER(E279)="TRANSPORT",UPPER(E279)="MM"),0,IF(UPPER(G279)&lt;&gt;"TAK",0,IF(OR(UPPER(E279)="ZAKUP",UPPER(E279)="PRODUKCJA"),AE279,IF(OR(UPPER(E279)="SPRZEDAŻ",UPPER(E279)="ZUŻYCIE"),-AE279,0)))))</f>
        <v/>
      </c>
      <c r="AI279" s="20">
        <f>IF(UPPER(AD279)="SKORYGOWANY",0,IF(OR(UPPER(E279)="TRANSPORT",UPPER(E279)="MM"),0,IF(UPPER(G279)&lt;&gt;"TAK",0,IF(OR(UPPER(E279)="ZAKUP",UPPER(E279)="PRODUKCJA"),AF279,IF(OR(UPPER(E279)="SPRZEDAŻ",UPPER(E279)="ZUŻYCIE"),-AF279,0)))))</f>
        <v/>
      </c>
      <c r="AJ279" s="21">
        <f>IF(UPPER(AD279)="SKORYGOWANY",0,IF(UPPER(E279)="ZAKUP",IF(L279&lt;&gt;"",L279,I279*K279),0))</f>
        <v/>
      </c>
      <c r="AK279" s="21">
        <f>IF(UPPER(AD279)="SKORYGOWANY",0,IF(UPPER(E279)="SPRZEDAŻ",IF(L279&lt;&gt;"",L279,I279*M279),0))</f>
        <v/>
      </c>
      <c r="AL279" s="21">
        <f>AE279*Q279</f>
        <v/>
      </c>
      <c r="AM279">
        <f>IF(R279="","",IF(LOWER(R279)="brak","Brak",IF(OR(ISNUMBER(SEARCH("własn",LOWER(R279))),ISNUMBER(SEARCH("wlasn",LOWER(R279))),ISNUMBER(SEARCH("wojciechowski",LOWER(R279)))),"Własny","Zewnętrzny")))</f>
        <v/>
      </c>
      <c r="AN279" s="24">
        <f>IF(C279="","",YEAR(C279))</f>
        <v/>
      </c>
      <c r="AO279" s="24">
        <f>IF(C279="","",MONTH(C279))</f>
        <v/>
      </c>
      <c r="AP279">
        <f>IF(C279="","",UPPER(TEXT(C279,"mmmm")))</f>
        <v/>
      </c>
      <c r="AQ279">
        <f>IF(C279="","","Q"&amp;ROUNDUP(MONTH(C279)/3,0))</f>
        <v/>
      </c>
    </row>
    <row r="280">
      <c r="A280" s="19" t="n">
        <v>46238</v>
      </c>
      <c r="C280" s="19" t="n">
        <v>46238</v>
      </c>
      <c r="D280" t="inlineStr">
        <is>
          <t>Magazyn Zabrze</t>
        </is>
      </c>
      <c r="E280" t="inlineStr">
        <is>
          <t>ZUŻYCIE</t>
        </is>
      </c>
      <c r="F280" t="inlineStr">
        <is>
          <t>PZ/60</t>
        </is>
      </c>
      <c r="G280" t="inlineStr">
        <is>
          <t>TAK</t>
        </is>
      </c>
      <c r="H280" t="inlineStr">
        <is>
          <t>Deklaracja</t>
        </is>
      </c>
      <c r="I280" s="20" t="n">
        <v>67.84</v>
      </c>
      <c r="J280" t="inlineStr">
        <is>
          <t>MP</t>
        </is>
      </c>
      <c r="K280" s="21" t="n">
        <v>0</v>
      </c>
      <c r="L280" s="21" t="n">
        <v>0</v>
      </c>
      <c r="M280" s="21" t="n">
        <v>0</v>
      </c>
      <c r="N280" t="inlineStr">
        <is>
          <t>Zrębka Produkcyjna Leśna</t>
        </is>
      </c>
      <c r="O280" t="inlineStr">
        <is>
          <t>B</t>
        </is>
      </c>
      <c r="P280" t="inlineStr">
        <is>
          <t>własne</t>
        </is>
      </c>
      <c r="Q280" s="21" t="n">
        <v>10</v>
      </c>
      <c r="T280" s="22" t="n">
        <v>0</v>
      </c>
      <c r="U280" s="21" t="n">
        <v>0</v>
      </c>
      <c r="V280" s="21" t="n">
        <v>0</v>
      </c>
      <c r="W280" t="inlineStr">
        <is>
          <t>Magazyn Zabrze</t>
        </is>
      </c>
      <c r="Y280" t="inlineStr">
        <is>
          <t>Automatyczne zużycie surowca do produkcji</t>
        </is>
      </c>
      <c r="AA280" s="23" t="n">
        <v>46244.40663194445</v>
      </c>
      <c r="AB280" t="inlineStr">
        <is>
          <t>OP-MIGR-00279</t>
        </is>
      </c>
      <c r="AD280" t="inlineStr">
        <is>
          <t>AKTYWNY</t>
        </is>
      </c>
      <c r="AE280" s="20">
        <f>IF(I280="",0,IF(ISNUMBER(SEARCH("MP",UPPER(J280))),I280,IF(ISNUMBER(SEARCH("TON",UPPER(J280))),I280/Przelicznik_MP_tona,IF(ISNUMBER(SEARCH("M3",UPPER(J280))),I280*Przelicznik_M3_MP,IF(ISNUMBER(SEARCH("GJ",UPPER(J280))),I280/Przelicznik_GJ_tona/Przelicznik_MP_tona,I280)))))</f>
        <v/>
      </c>
      <c r="AF280" s="20">
        <f>IF(I280="",0,IF(ISNUMBER(SEARCH("TON",UPPER(J280))),I280,IF(ISNUMBER(SEARCH("GJ",UPPER(J280))),I280/Przelicznik_GJ_tona,AE280*Przelicznik_MP_tona)))</f>
        <v/>
      </c>
      <c r="AG280" s="20">
        <f>AF280*Przelicznik_GJ_tona</f>
        <v/>
      </c>
      <c r="AH280" s="20">
        <f>IF(UPPER(AD280)="SKORYGOWANY",0,IF(OR(UPPER(E280)="TRANSPORT",UPPER(E280)="MM"),0,IF(UPPER(G280)&lt;&gt;"TAK",0,IF(OR(UPPER(E280)="ZAKUP",UPPER(E280)="PRODUKCJA"),AE280,IF(OR(UPPER(E280)="SPRZEDAŻ",UPPER(E280)="ZUŻYCIE"),-AE280,0)))))</f>
        <v/>
      </c>
      <c r="AI280" s="20">
        <f>IF(UPPER(AD280)="SKORYGOWANY",0,IF(OR(UPPER(E280)="TRANSPORT",UPPER(E280)="MM"),0,IF(UPPER(G280)&lt;&gt;"TAK",0,IF(OR(UPPER(E280)="ZAKUP",UPPER(E280)="PRODUKCJA"),AF280,IF(OR(UPPER(E280)="SPRZEDAŻ",UPPER(E280)="ZUŻYCIE"),-AF280,0)))))</f>
        <v/>
      </c>
      <c r="AJ280" s="21">
        <f>IF(UPPER(AD280)="SKORYGOWANY",0,IF(UPPER(E280)="ZAKUP",IF(L280&lt;&gt;"",L280,I280*K280),0))</f>
        <v/>
      </c>
      <c r="AK280" s="21">
        <f>IF(UPPER(AD280)="SKORYGOWANY",0,IF(UPPER(E280)="SPRZEDAŻ",IF(L280&lt;&gt;"",L280,I280*M280),0))</f>
        <v/>
      </c>
      <c r="AL280" s="21">
        <f>AE280*Q280</f>
        <v/>
      </c>
      <c r="AM280">
        <f>IF(R280="","",IF(LOWER(R280)="brak","Brak",IF(OR(ISNUMBER(SEARCH("własn",LOWER(R280))),ISNUMBER(SEARCH("wlasn",LOWER(R280))),ISNUMBER(SEARCH("wojciechowski",LOWER(R280)))),"Własny","Zewnętrzny")))</f>
        <v/>
      </c>
      <c r="AN280" s="24">
        <f>IF(C280="","",YEAR(C280))</f>
        <v/>
      </c>
      <c r="AO280" s="24">
        <f>IF(C280="","",MONTH(C280))</f>
        <v/>
      </c>
      <c r="AP280">
        <f>IF(C280="","",UPPER(TEXT(C280,"mmmm")))</f>
        <v/>
      </c>
      <c r="AQ280">
        <f>IF(C280="","","Q"&amp;ROUNDUP(MONTH(C280)/3,0))</f>
        <v/>
      </c>
    </row>
    <row r="281">
      <c r="A281" s="19" t="n">
        <v>46238</v>
      </c>
      <c r="B281" t="inlineStr">
        <is>
          <t>Mitręga</t>
        </is>
      </c>
      <c r="C281" s="19" t="n">
        <v>46238</v>
      </c>
      <c r="D281" t="inlineStr">
        <is>
          <t>Magazyn Zabrze</t>
        </is>
      </c>
      <c r="E281" t="inlineStr">
        <is>
          <t>ZAKUP</t>
        </is>
      </c>
      <c r="F281" t="inlineStr">
        <is>
          <t>PZ/60</t>
        </is>
      </c>
      <c r="G281" t="inlineStr">
        <is>
          <t>TAK</t>
        </is>
      </c>
      <c r="H281" t="inlineStr">
        <is>
          <t>Deklaracja</t>
        </is>
      </c>
      <c r="I281" s="20" t="n">
        <v>67.84</v>
      </c>
      <c r="J281" t="inlineStr">
        <is>
          <t>MP</t>
        </is>
      </c>
      <c r="K281" s="21" t="n">
        <v>0</v>
      </c>
      <c r="L281" s="21" t="n">
        <v>0</v>
      </c>
      <c r="M281" s="21" t="n">
        <v>0</v>
      </c>
      <c r="N281" t="inlineStr">
        <is>
          <t>Zrębka Produkcyjna Leśna</t>
        </is>
      </c>
      <c r="O281" t="inlineStr">
        <is>
          <t>B</t>
        </is>
      </c>
      <c r="Q281" s="21" t="n">
        <v>0</v>
      </c>
      <c r="R281" t="inlineStr">
        <is>
          <t>własny (Chrzan)</t>
        </is>
      </c>
      <c r="S281" t="inlineStr">
        <is>
          <t>SK 5L809</t>
        </is>
      </c>
      <c r="T281" s="22" t="n">
        <v>105</v>
      </c>
      <c r="U281" s="21" t="n">
        <v>5</v>
      </c>
      <c r="V281" s="21" t="n">
        <v>525</v>
      </c>
      <c r="W281" t="inlineStr">
        <is>
          <t>Magazyn Zabrze</t>
        </is>
      </c>
      <c r="Z281" t="inlineStr">
        <is>
          <t>Roesner Mateusz</t>
        </is>
      </c>
      <c r="AA281" s="23" t="n">
        <v>46244.40780092592</v>
      </c>
      <c r="AB281" t="inlineStr">
        <is>
          <t>OP-MIGR-00280</t>
        </is>
      </c>
      <c r="AD281" t="inlineStr">
        <is>
          <t>AKTYWNY</t>
        </is>
      </c>
      <c r="AE281" s="20">
        <f>IF(I281="",0,IF(ISNUMBER(SEARCH("MP",UPPER(J281))),I281,IF(ISNUMBER(SEARCH("TON",UPPER(J281))),I281/Przelicznik_MP_tona,IF(ISNUMBER(SEARCH("M3",UPPER(J281))),I281*Przelicznik_M3_MP,IF(ISNUMBER(SEARCH("GJ",UPPER(J281))),I281/Przelicznik_GJ_tona/Przelicznik_MP_tona,I281)))))</f>
        <v/>
      </c>
      <c r="AF281" s="20">
        <f>IF(I281="",0,IF(ISNUMBER(SEARCH("TON",UPPER(J281))),I281,IF(ISNUMBER(SEARCH("GJ",UPPER(J281))),I281/Przelicznik_GJ_tona,AE281*Przelicznik_MP_tona)))</f>
        <v/>
      </c>
      <c r="AG281" s="20">
        <f>AF281*Przelicznik_GJ_tona</f>
        <v/>
      </c>
      <c r="AH281" s="20">
        <f>IF(UPPER(AD281)="SKORYGOWANY",0,IF(OR(UPPER(E281)="TRANSPORT",UPPER(E281)="MM"),0,IF(UPPER(G281)&lt;&gt;"TAK",0,IF(OR(UPPER(E281)="ZAKUP",UPPER(E281)="PRODUKCJA"),AE281,IF(OR(UPPER(E281)="SPRZEDAŻ",UPPER(E281)="ZUŻYCIE"),-AE281,0)))))</f>
        <v/>
      </c>
      <c r="AI281" s="20">
        <f>IF(UPPER(AD281)="SKORYGOWANY",0,IF(OR(UPPER(E281)="TRANSPORT",UPPER(E281)="MM"),0,IF(UPPER(G281)&lt;&gt;"TAK",0,IF(OR(UPPER(E281)="ZAKUP",UPPER(E281)="PRODUKCJA"),AF281,IF(OR(UPPER(E281)="SPRZEDAŻ",UPPER(E281)="ZUŻYCIE"),-AF281,0)))))</f>
        <v/>
      </c>
      <c r="AJ281" s="21">
        <f>IF(UPPER(AD281)="SKORYGOWANY",0,IF(UPPER(E281)="ZAKUP",IF(L281&lt;&gt;"",L281,I281*K281),0))</f>
        <v/>
      </c>
      <c r="AK281" s="21">
        <f>IF(UPPER(AD281)="SKORYGOWANY",0,IF(UPPER(E281)="SPRZEDAŻ",IF(L281&lt;&gt;"",L281,I281*M281),0))</f>
        <v/>
      </c>
      <c r="AL281" s="21">
        <f>AE281*Q281</f>
        <v/>
      </c>
      <c r="AM281">
        <f>IF(R281="","",IF(LOWER(R281)="brak","Brak",IF(OR(ISNUMBER(SEARCH("własn",LOWER(R281))),ISNUMBER(SEARCH("wlasn",LOWER(R281))),ISNUMBER(SEARCH("wojciechowski",LOWER(R281)))),"Własny","Zewnętrzny")))</f>
        <v/>
      </c>
      <c r="AN281" s="24">
        <f>IF(C281="","",YEAR(C281))</f>
        <v/>
      </c>
      <c r="AO281" s="24">
        <f>IF(C281="","",MONTH(C281))</f>
        <v/>
      </c>
      <c r="AP281">
        <f>IF(C281="","",UPPER(TEXT(C281,"mmmm")))</f>
        <v/>
      </c>
      <c r="AQ281">
        <f>IF(C281="","","Q"&amp;ROUNDUP(MONTH(C281)/3,0))</f>
        <v/>
      </c>
    </row>
    <row r="282">
      <c r="A282" s="19" t="n">
        <v>46238</v>
      </c>
      <c r="C282" s="19" t="n">
        <v>46238</v>
      </c>
      <c r="D282" t="inlineStr">
        <is>
          <t>NDL Siewierz, Leśnictwo Mitręga</t>
        </is>
      </c>
      <c r="E282" t="inlineStr">
        <is>
          <t>ZAKUP</t>
        </is>
      </c>
      <c r="F282" t="inlineStr">
        <is>
          <t>PZ/61  1/202623368/6075</t>
        </is>
      </c>
      <c r="G282" t="inlineStr">
        <is>
          <t>TAK</t>
        </is>
      </c>
      <c r="H282" t="inlineStr">
        <is>
          <t>Deklaracja</t>
        </is>
      </c>
      <c r="I282" s="20" t="n">
        <v>17.38</v>
      </c>
      <c r="J282" t="inlineStr">
        <is>
          <t>M3</t>
        </is>
      </c>
      <c r="K282" s="21" t="n">
        <v>141</v>
      </c>
      <c r="L282" s="21" t="n">
        <v>2450.58</v>
      </c>
      <c r="M282" s="21" t="n">
        <v>0</v>
      </c>
      <c r="N282" t="inlineStr">
        <is>
          <t>Drewno opałowe z lasu</t>
        </is>
      </c>
      <c r="O282" t="inlineStr">
        <is>
          <t>B</t>
        </is>
      </c>
      <c r="Q282" s="21" t="n">
        <v>0</v>
      </c>
      <c r="T282" s="22" t="n">
        <v>0</v>
      </c>
      <c r="U282" s="21" t="n">
        <v>0</v>
      </c>
      <c r="V282" s="21" t="n">
        <v>0</v>
      </c>
      <c r="W282" t="inlineStr">
        <is>
          <t>Magazyn Zabrze</t>
        </is>
      </c>
      <c r="Z282" t="inlineStr">
        <is>
          <t>Roesner Mateusz</t>
        </is>
      </c>
      <c r="AA282" s="23" t="n">
        <v>46244.40892361111</v>
      </c>
      <c r="AB282" t="inlineStr">
        <is>
          <t>OP-MIGR-00281</t>
        </is>
      </c>
      <c r="AD282" t="inlineStr">
        <is>
          <t>AKTYWNY</t>
        </is>
      </c>
      <c r="AE282" s="20">
        <f>IF(I282="",0,IF(ISNUMBER(SEARCH("MP",UPPER(J282))),I282,IF(ISNUMBER(SEARCH("TON",UPPER(J282))),I282/Przelicznik_MP_tona,IF(ISNUMBER(SEARCH("M3",UPPER(J282))),I282*Przelicznik_M3_MP,IF(ISNUMBER(SEARCH("GJ",UPPER(J282))),I282/Przelicznik_GJ_tona/Przelicznik_MP_tona,I282)))))</f>
        <v/>
      </c>
      <c r="AF282" s="20">
        <f>IF(I282="",0,IF(ISNUMBER(SEARCH("TON",UPPER(J282))),I282,IF(ISNUMBER(SEARCH("GJ",UPPER(J282))),I282/Przelicznik_GJ_tona,AE282*Przelicznik_MP_tona)))</f>
        <v/>
      </c>
      <c r="AG282" s="20">
        <f>AF282*Przelicznik_GJ_tona</f>
        <v/>
      </c>
      <c r="AH282" s="20">
        <f>IF(UPPER(AD282)="SKORYGOWANY",0,IF(OR(UPPER(E282)="TRANSPORT",UPPER(E282)="MM"),0,IF(UPPER(G282)&lt;&gt;"TAK",0,IF(OR(UPPER(E282)="ZAKUP",UPPER(E282)="PRODUKCJA"),AE282,IF(OR(UPPER(E282)="SPRZEDAŻ",UPPER(E282)="ZUŻYCIE"),-AE282,0)))))</f>
        <v/>
      </c>
      <c r="AI282" s="20">
        <f>IF(UPPER(AD282)="SKORYGOWANY",0,IF(OR(UPPER(E282)="TRANSPORT",UPPER(E282)="MM"),0,IF(UPPER(G282)&lt;&gt;"TAK",0,IF(OR(UPPER(E282)="ZAKUP",UPPER(E282)="PRODUKCJA"),AF282,IF(OR(UPPER(E282)="SPRZEDAŻ",UPPER(E282)="ZUŻYCIE"),-AF282,0)))))</f>
        <v/>
      </c>
      <c r="AJ282" s="21">
        <f>IF(UPPER(AD282)="SKORYGOWANY",0,IF(UPPER(E282)="ZAKUP",IF(L282&lt;&gt;"",L282,I282*K282),0))</f>
        <v/>
      </c>
      <c r="AK282" s="21">
        <f>IF(UPPER(AD282)="SKORYGOWANY",0,IF(UPPER(E282)="SPRZEDAŻ",IF(L282&lt;&gt;"",L282,I282*M282),0))</f>
        <v/>
      </c>
      <c r="AL282" s="21">
        <f>AE282*Q282</f>
        <v/>
      </c>
      <c r="AM282">
        <f>IF(R282="","",IF(LOWER(R282)="brak","Brak",IF(OR(ISNUMBER(SEARCH("własn",LOWER(R282))),ISNUMBER(SEARCH("wlasn",LOWER(R282))),ISNUMBER(SEARCH("wojciechowski",LOWER(R282)))),"Własny","Zewnętrzny")))</f>
        <v/>
      </c>
      <c r="AN282" s="24">
        <f>IF(C282="","",YEAR(C282))</f>
        <v/>
      </c>
      <c r="AO282" s="24">
        <f>IF(C282="","",MONTH(C282))</f>
        <v/>
      </c>
      <c r="AP282">
        <f>IF(C282="","",UPPER(TEXT(C282,"mmmm")))</f>
        <v/>
      </c>
      <c r="AQ282">
        <f>IF(C282="","","Q"&amp;ROUNDUP(MONTH(C282)/3,0))</f>
        <v/>
      </c>
    </row>
    <row r="283">
      <c r="A283" s="19" t="n">
        <v>46238</v>
      </c>
      <c r="C283" s="19" t="n">
        <v>46238</v>
      </c>
      <c r="D283" t="inlineStr">
        <is>
          <t>Magazyn Zabrze</t>
        </is>
      </c>
      <c r="E283" t="inlineStr">
        <is>
          <t>PRODUKCJA</t>
        </is>
      </c>
      <c r="F283" t="inlineStr">
        <is>
          <t>PZ/61</t>
        </is>
      </c>
      <c r="G283" t="inlineStr">
        <is>
          <t>TAK</t>
        </is>
      </c>
      <c r="H283" t="inlineStr">
        <is>
          <t>Deklaracja</t>
        </is>
      </c>
      <c r="I283" s="20" t="n">
        <v>69.52</v>
      </c>
      <c r="J283" t="inlineStr">
        <is>
          <t>MP</t>
        </is>
      </c>
      <c r="K283" s="21" t="n">
        <v>0</v>
      </c>
      <c r="L283" s="21" t="n">
        <v>0</v>
      </c>
      <c r="M283" s="21" t="n">
        <v>0</v>
      </c>
      <c r="N283" t="inlineStr">
        <is>
          <t>Zrębka Produkcyjna Leśna</t>
        </is>
      </c>
      <c r="O283" t="inlineStr">
        <is>
          <t>B</t>
        </is>
      </c>
      <c r="P283" t="inlineStr">
        <is>
          <t>własne</t>
        </is>
      </c>
      <c r="Q283" s="21" t="n">
        <v>10</v>
      </c>
      <c r="T283" s="22" t="n">
        <v>0</v>
      </c>
      <c r="U283" s="21" t="n">
        <v>0</v>
      </c>
      <c r="V283" s="21" t="n">
        <v>0</v>
      </c>
      <c r="W283" t="inlineStr">
        <is>
          <t>Magazyn Zabrze</t>
        </is>
      </c>
      <c r="Z283" t="inlineStr">
        <is>
          <t>Roesner Mateusz</t>
        </is>
      </c>
      <c r="AA283" s="23" t="n">
        <v>46244.40940972222</v>
      </c>
      <c r="AB283" t="inlineStr">
        <is>
          <t>OP-MIGR-00282</t>
        </is>
      </c>
      <c r="AD283" t="inlineStr">
        <is>
          <t>AKTYWNY</t>
        </is>
      </c>
      <c r="AE283" s="20">
        <f>IF(I283="",0,IF(ISNUMBER(SEARCH("MP",UPPER(J283))),I283,IF(ISNUMBER(SEARCH("TON",UPPER(J283))),I283/Przelicznik_MP_tona,IF(ISNUMBER(SEARCH("M3",UPPER(J283))),I283*Przelicznik_M3_MP,IF(ISNUMBER(SEARCH("GJ",UPPER(J283))),I283/Przelicznik_GJ_tona/Przelicznik_MP_tona,I283)))))</f>
        <v/>
      </c>
      <c r="AF283" s="20">
        <f>IF(I283="",0,IF(ISNUMBER(SEARCH("TON",UPPER(J283))),I283,IF(ISNUMBER(SEARCH("GJ",UPPER(J283))),I283/Przelicznik_GJ_tona,AE283*Przelicznik_MP_tona)))</f>
        <v/>
      </c>
      <c r="AG283" s="20">
        <f>AF283*Przelicznik_GJ_tona</f>
        <v/>
      </c>
      <c r="AH283" s="20">
        <f>IF(UPPER(AD283)="SKORYGOWANY",0,IF(OR(UPPER(E283)="TRANSPORT",UPPER(E283)="MM"),0,IF(UPPER(G283)&lt;&gt;"TAK",0,IF(OR(UPPER(E283)="ZAKUP",UPPER(E283)="PRODUKCJA"),AE283,IF(OR(UPPER(E283)="SPRZEDAŻ",UPPER(E283)="ZUŻYCIE"),-AE283,0)))))</f>
        <v/>
      </c>
      <c r="AI283" s="20">
        <f>IF(UPPER(AD283)="SKORYGOWANY",0,IF(OR(UPPER(E283)="TRANSPORT",UPPER(E283)="MM"),0,IF(UPPER(G283)&lt;&gt;"TAK",0,IF(OR(UPPER(E283)="ZAKUP",UPPER(E283)="PRODUKCJA"),AF283,IF(OR(UPPER(E283)="SPRZEDAŻ",UPPER(E283)="ZUŻYCIE"),-AF283,0)))))</f>
        <v/>
      </c>
      <c r="AJ283" s="21">
        <f>IF(UPPER(AD283)="SKORYGOWANY",0,IF(UPPER(E283)="ZAKUP",IF(L283&lt;&gt;"",L283,I283*K283),0))</f>
        <v/>
      </c>
      <c r="AK283" s="21">
        <f>IF(UPPER(AD283)="SKORYGOWANY",0,IF(UPPER(E283)="SPRZEDAŻ",IF(L283&lt;&gt;"",L283,I283*M283),0))</f>
        <v/>
      </c>
      <c r="AL283" s="21">
        <f>AE283*Q283</f>
        <v/>
      </c>
      <c r="AM283">
        <f>IF(R283="","",IF(LOWER(R283)="brak","Brak",IF(OR(ISNUMBER(SEARCH("własn",LOWER(R283))),ISNUMBER(SEARCH("wlasn",LOWER(R283))),ISNUMBER(SEARCH("wojciechowski",LOWER(R283)))),"Własny","Zewnętrzny")))</f>
        <v/>
      </c>
      <c r="AN283" s="24">
        <f>IF(C283="","",YEAR(C283))</f>
        <v/>
      </c>
      <c r="AO283" s="24">
        <f>IF(C283="","",MONTH(C283))</f>
        <v/>
      </c>
      <c r="AP283">
        <f>IF(C283="","",UPPER(TEXT(C283,"mmmm")))</f>
        <v/>
      </c>
      <c r="AQ283">
        <f>IF(C283="","","Q"&amp;ROUNDUP(MONTH(C283)/3,0))</f>
        <v/>
      </c>
    </row>
    <row r="284">
      <c r="A284" s="19" t="n">
        <v>46238</v>
      </c>
      <c r="C284" s="19" t="n">
        <v>46238</v>
      </c>
      <c r="D284" t="inlineStr">
        <is>
          <t>Magazyn Zabrze</t>
        </is>
      </c>
      <c r="E284" t="inlineStr">
        <is>
          <t>ZUŻYCIE</t>
        </is>
      </c>
      <c r="F284" t="inlineStr">
        <is>
          <t>PZ/61</t>
        </is>
      </c>
      <c r="G284" t="inlineStr">
        <is>
          <t>TAK</t>
        </is>
      </c>
      <c r="H284" t="inlineStr">
        <is>
          <t>Deklaracja</t>
        </is>
      </c>
      <c r="I284" s="20" t="n">
        <v>69.52</v>
      </c>
      <c r="J284" t="inlineStr">
        <is>
          <t>MP</t>
        </is>
      </c>
      <c r="K284" s="21" t="n">
        <v>0</v>
      </c>
      <c r="L284" s="21" t="n">
        <v>0</v>
      </c>
      <c r="M284" s="21" t="n">
        <v>0</v>
      </c>
      <c r="N284" t="inlineStr">
        <is>
          <t>Zrębka Produkcyjna Leśna</t>
        </is>
      </c>
      <c r="O284" t="inlineStr">
        <is>
          <t>B</t>
        </is>
      </c>
      <c r="P284" t="inlineStr">
        <is>
          <t>własne</t>
        </is>
      </c>
      <c r="Q284" s="21" t="n">
        <v>10</v>
      </c>
      <c r="T284" s="22" t="n">
        <v>0</v>
      </c>
      <c r="U284" s="21" t="n">
        <v>0</v>
      </c>
      <c r="V284" s="21" t="n">
        <v>0</v>
      </c>
      <c r="W284" t="inlineStr">
        <is>
          <t>Magazyn Zabrze</t>
        </is>
      </c>
      <c r="Y284" t="inlineStr">
        <is>
          <t>Automatyczne zużycie surowca do produkcji</t>
        </is>
      </c>
      <c r="AA284" s="23" t="n">
        <v>46244.4094212963</v>
      </c>
      <c r="AB284" t="inlineStr">
        <is>
          <t>OP-MIGR-00283</t>
        </is>
      </c>
      <c r="AD284" t="inlineStr">
        <is>
          <t>AKTYWNY</t>
        </is>
      </c>
      <c r="AE284" s="20">
        <f>IF(I284="",0,IF(ISNUMBER(SEARCH("MP",UPPER(J284))),I284,IF(ISNUMBER(SEARCH("TON",UPPER(J284))),I284/Przelicznik_MP_tona,IF(ISNUMBER(SEARCH("M3",UPPER(J284))),I284*Przelicznik_M3_MP,IF(ISNUMBER(SEARCH("GJ",UPPER(J284))),I284/Przelicznik_GJ_tona/Przelicznik_MP_tona,I284)))))</f>
        <v/>
      </c>
      <c r="AF284" s="20">
        <f>IF(I284="",0,IF(ISNUMBER(SEARCH("TON",UPPER(J284))),I284,IF(ISNUMBER(SEARCH("GJ",UPPER(J284))),I284/Przelicznik_GJ_tona,AE284*Przelicznik_MP_tona)))</f>
        <v/>
      </c>
      <c r="AG284" s="20">
        <f>AF284*Przelicznik_GJ_tona</f>
        <v/>
      </c>
      <c r="AH284" s="20">
        <f>IF(UPPER(AD284)="SKORYGOWANY",0,IF(OR(UPPER(E284)="TRANSPORT",UPPER(E284)="MM"),0,IF(UPPER(G284)&lt;&gt;"TAK",0,IF(OR(UPPER(E284)="ZAKUP",UPPER(E284)="PRODUKCJA"),AE284,IF(OR(UPPER(E284)="SPRZEDAŻ",UPPER(E284)="ZUŻYCIE"),-AE284,0)))))</f>
        <v/>
      </c>
      <c r="AI284" s="20">
        <f>IF(UPPER(AD284)="SKORYGOWANY",0,IF(OR(UPPER(E284)="TRANSPORT",UPPER(E284)="MM"),0,IF(UPPER(G284)&lt;&gt;"TAK",0,IF(OR(UPPER(E284)="ZAKUP",UPPER(E284)="PRODUKCJA"),AF284,IF(OR(UPPER(E284)="SPRZEDAŻ",UPPER(E284)="ZUŻYCIE"),-AF284,0)))))</f>
        <v/>
      </c>
      <c r="AJ284" s="21">
        <f>IF(UPPER(AD284)="SKORYGOWANY",0,IF(UPPER(E284)="ZAKUP",IF(L284&lt;&gt;"",L284,I284*K284),0))</f>
        <v/>
      </c>
      <c r="AK284" s="21">
        <f>IF(UPPER(AD284)="SKORYGOWANY",0,IF(UPPER(E284)="SPRZEDAŻ",IF(L284&lt;&gt;"",L284,I284*M284),0))</f>
        <v/>
      </c>
      <c r="AL284" s="21">
        <f>AE284*Q284</f>
        <v/>
      </c>
      <c r="AM284">
        <f>IF(R284="","",IF(LOWER(R284)="brak","Brak",IF(OR(ISNUMBER(SEARCH("własn",LOWER(R284))),ISNUMBER(SEARCH("wlasn",LOWER(R284))),ISNUMBER(SEARCH("wojciechowski",LOWER(R284)))),"Własny","Zewnętrzny")))</f>
        <v/>
      </c>
      <c r="AN284" s="24">
        <f>IF(C284="","",YEAR(C284))</f>
        <v/>
      </c>
      <c r="AO284" s="24">
        <f>IF(C284="","",MONTH(C284))</f>
        <v/>
      </c>
      <c r="AP284">
        <f>IF(C284="","",UPPER(TEXT(C284,"mmmm")))</f>
        <v/>
      </c>
      <c r="AQ284">
        <f>IF(C284="","","Q"&amp;ROUNDUP(MONTH(C284)/3,0))</f>
        <v/>
      </c>
    </row>
    <row r="285">
      <c r="A285" s="19" t="n">
        <v>46238</v>
      </c>
      <c r="B285" t="inlineStr">
        <is>
          <t>Mitręga</t>
        </is>
      </c>
      <c r="C285" s="19" t="n">
        <v>46238</v>
      </c>
      <c r="D285" t="inlineStr">
        <is>
          <t>Magazyn Zabrze</t>
        </is>
      </c>
      <c r="E285" t="inlineStr">
        <is>
          <t>ZAKUP</t>
        </is>
      </c>
      <c r="F285" t="inlineStr">
        <is>
          <t>PZ/61</t>
        </is>
      </c>
      <c r="G285" t="inlineStr">
        <is>
          <t>TAK</t>
        </is>
      </c>
      <c r="H285" t="inlineStr">
        <is>
          <t>Deklaracja</t>
        </is>
      </c>
      <c r="I285" s="20" t="n">
        <v>69.52</v>
      </c>
      <c r="J285" t="inlineStr">
        <is>
          <t>MP</t>
        </is>
      </c>
      <c r="K285" s="21" t="n">
        <v>0</v>
      </c>
      <c r="L285" s="21" t="n">
        <v>0</v>
      </c>
      <c r="M285" s="21" t="n">
        <v>0</v>
      </c>
      <c r="N285" t="inlineStr">
        <is>
          <t>Zrębka Produkcyjna Leśna</t>
        </is>
      </c>
      <c r="O285" t="inlineStr">
        <is>
          <t>B</t>
        </is>
      </c>
      <c r="Q285" s="21" t="n">
        <v>0</v>
      </c>
      <c r="R285" t="inlineStr">
        <is>
          <t>własny (Wilczak)</t>
        </is>
      </c>
      <c r="S285" t="inlineStr">
        <is>
          <t>SK 7J884</t>
        </is>
      </c>
      <c r="T285" s="22" t="n">
        <v>105</v>
      </c>
      <c r="U285" s="21" t="n">
        <v>5</v>
      </c>
      <c r="V285" s="21" t="n">
        <v>525</v>
      </c>
      <c r="W285" t="inlineStr">
        <is>
          <t>Magazyn Zabrze</t>
        </is>
      </c>
      <c r="Z285" t="inlineStr">
        <is>
          <t>Roesner Mateusz</t>
        </is>
      </c>
      <c r="AA285" s="23" t="n">
        <v>46244.41027777778</v>
      </c>
      <c r="AB285" t="inlineStr">
        <is>
          <t>OP-MIGR-00284</t>
        </is>
      </c>
      <c r="AD285" t="inlineStr">
        <is>
          <t>AKTYWNY</t>
        </is>
      </c>
      <c r="AE285" s="20">
        <f>IF(I285="",0,IF(ISNUMBER(SEARCH("MP",UPPER(J285))),I285,IF(ISNUMBER(SEARCH("TON",UPPER(J285))),I285/Przelicznik_MP_tona,IF(ISNUMBER(SEARCH("M3",UPPER(J285))),I285*Przelicznik_M3_MP,IF(ISNUMBER(SEARCH("GJ",UPPER(J285))),I285/Przelicznik_GJ_tona/Przelicznik_MP_tona,I285)))))</f>
        <v/>
      </c>
      <c r="AF285" s="20">
        <f>IF(I285="",0,IF(ISNUMBER(SEARCH("TON",UPPER(J285))),I285,IF(ISNUMBER(SEARCH("GJ",UPPER(J285))),I285/Przelicznik_GJ_tona,AE285*Przelicznik_MP_tona)))</f>
        <v/>
      </c>
      <c r="AG285" s="20">
        <f>AF285*Przelicznik_GJ_tona</f>
        <v/>
      </c>
      <c r="AH285" s="20">
        <f>IF(UPPER(AD285)="SKORYGOWANY",0,IF(OR(UPPER(E285)="TRANSPORT",UPPER(E285)="MM"),0,IF(UPPER(G285)&lt;&gt;"TAK",0,IF(OR(UPPER(E285)="ZAKUP",UPPER(E285)="PRODUKCJA"),AE285,IF(OR(UPPER(E285)="SPRZEDAŻ",UPPER(E285)="ZUŻYCIE"),-AE285,0)))))</f>
        <v/>
      </c>
      <c r="AI285" s="20">
        <f>IF(UPPER(AD285)="SKORYGOWANY",0,IF(OR(UPPER(E285)="TRANSPORT",UPPER(E285)="MM"),0,IF(UPPER(G285)&lt;&gt;"TAK",0,IF(OR(UPPER(E285)="ZAKUP",UPPER(E285)="PRODUKCJA"),AF285,IF(OR(UPPER(E285)="SPRZEDAŻ",UPPER(E285)="ZUŻYCIE"),-AF285,0)))))</f>
        <v/>
      </c>
      <c r="AJ285" s="21">
        <f>IF(UPPER(AD285)="SKORYGOWANY",0,IF(UPPER(E285)="ZAKUP",IF(L285&lt;&gt;"",L285,I285*K285),0))</f>
        <v/>
      </c>
      <c r="AK285" s="21">
        <f>IF(UPPER(AD285)="SKORYGOWANY",0,IF(UPPER(E285)="SPRZEDAŻ",IF(L285&lt;&gt;"",L285,I285*M285),0))</f>
        <v/>
      </c>
      <c r="AL285" s="21">
        <f>AE285*Q285</f>
        <v/>
      </c>
      <c r="AM285">
        <f>IF(R285="","",IF(LOWER(R285)="brak","Brak",IF(OR(ISNUMBER(SEARCH("własn",LOWER(R285))),ISNUMBER(SEARCH("wlasn",LOWER(R285))),ISNUMBER(SEARCH("wojciechowski",LOWER(R285)))),"Własny","Zewnętrzny")))</f>
        <v/>
      </c>
      <c r="AN285" s="24">
        <f>IF(C285="","",YEAR(C285))</f>
        <v/>
      </c>
      <c r="AO285" s="24">
        <f>IF(C285="","",MONTH(C285))</f>
        <v/>
      </c>
      <c r="AP285">
        <f>IF(C285="","",UPPER(TEXT(C285,"mmmm")))</f>
        <v/>
      </c>
      <c r="AQ285">
        <f>IF(C285="","","Q"&amp;ROUNDUP(MONTH(C285)/3,0))</f>
        <v/>
      </c>
    </row>
    <row r="286">
      <c r="A286" s="19" t="n">
        <v>46238</v>
      </c>
      <c r="C286" s="19" t="n">
        <v>46238</v>
      </c>
      <c r="D286" t="inlineStr">
        <is>
          <t>NDL Siewierz, Leśnictwo Mitręga</t>
        </is>
      </c>
      <c r="E286" t="inlineStr">
        <is>
          <t>ZAKUP</t>
        </is>
      </c>
      <c r="F286" t="inlineStr">
        <is>
          <t>PZ/62  1/202623368/6076</t>
        </is>
      </c>
      <c r="G286" t="inlineStr">
        <is>
          <t>TAK</t>
        </is>
      </c>
      <c r="H286" t="inlineStr">
        <is>
          <t>Deklaracja</t>
        </is>
      </c>
      <c r="I286" s="20" t="n">
        <v>17.38</v>
      </c>
      <c r="J286" t="inlineStr">
        <is>
          <t>M3</t>
        </is>
      </c>
      <c r="K286" s="21" t="n">
        <v>141</v>
      </c>
      <c r="L286" s="21" t="n">
        <v>2450.58</v>
      </c>
      <c r="M286" s="21" t="n">
        <v>0</v>
      </c>
      <c r="N286" t="inlineStr">
        <is>
          <t>Drewno opałowe z lasu</t>
        </is>
      </c>
      <c r="O286" t="inlineStr">
        <is>
          <t>B</t>
        </is>
      </c>
      <c r="Q286" s="21" t="n">
        <v>0</v>
      </c>
      <c r="T286" s="22" t="n">
        <v>0</v>
      </c>
      <c r="U286" s="21" t="n">
        <v>0</v>
      </c>
      <c r="V286" s="21" t="n">
        <v>0</v>
      </c>
      <c r="W286" t="inlineStr">
        <is>
          <t>Magazyn Zabrze</t>
        </is>
      </c>
      <c r="Z286" t="inlineStr">
        <is>
          <t>Roesner Mateusz</t>
        </is>
      </c>
      <c r="AA286" s="23" t="n">
        <v>46244.41163194444</v>
      </c>
      <c r="AB286" t="inlineStr">
        <is>
          <t>OP-MIGR-00285</t>
        </is>
      </c>
      <c r="AD286" t="inlineStr">
        <is>
          <t>AKTYWNY</t>
        </is>
      </c>
      <c r="AE286" s="20">
        <f>IF(I286="",0,IF(ISNUMBER(SEARCH("MP",UPPER(J286))),I286,IF(ISNUMBER(SEARCH("TON",UPPER(J286))),I286/Przelicznik_MP_tona,IF(ISNUMBER(SEARCH("M3",UPPER(J286))),I286*Przelicznik_M3_MP,IF(ISNUMBER(SEARCH("GJ",UPPER(J286))),I286/Przelicznik_GJ_tona/Przelicznik_MP_tona,I286)))))</f>
        <v/>
      </c>
      <c r="AF286" s="20">
        <f>IF(I286="",0,IF(ISNUMBER(SEARCH("TON",UPPER(J286))),I286,IF(ISNUMBER(SEARCH("GJ",UPPER(J286))),I286/Przelicznik_GJ_tona,AE286*Przelicznik_MP_tona)))</f>
        <v/>
      </c>
      <c r="AG286" s="20">
        <f>AF286*Przelicznik_GJ_tona</f>
        <v/>
      </c>
      <c r="AH286" s="20">
        <f>IF(UPPER(AD286)="SKORYGOWANY",0,IF(OR(UPPER(E286)="TRANSPORT",UPPER(E286)="MM"),0,IF(UPPER(G286)&lt;&gt;"TAK",0,IF(OR(UPPER(E286)="ZAKUP",UPPER(E286)="PRODUKCJA"),AE286,IF(OR(UPPER(E286)="SPRZEDAŻ",UPPER(E286)="ZUŻYCIE"),-AE286,0)))))</f>
        <v/>
      </c>
      <c r="AI286" s="20">
        <f>IF(UPPER(AD286)="SKORYGOWANY",0,IF(OR(UPPER(E286)="TRANSPORT",UPPER(E286)="MM"),0,IF(UPPER(G286)&lt;&gt;"TAK",0,IF(OR(UPPER(E286)="ZAKUP",UPPER(E286)="PRODUKCJA"),AF286,IF(OR(UPPER(E286)="SPRZEDAŻ",UPPER(E286)="ZUŻYCIE"),-AF286,0)))))</f>
        <v/>
      </c>
      <c r="AJ286" s="21">
        <f>IF(UPPER(AD286)="SKORYGOWANY",0,IF(UPPER(E286)="ZAKUP",IF(L286&lt;&gt;"",L286,I286*K286),0))</f>
        <v/>
      </c>
      <c r="AK286" s="21">
        <f>IF(UPPER(AD286)="SKORYGOWANY",0,IF(UPPER(E286)="SPRZEDAŻ",IF(L286&lt;&gt;"",L286,I286*M286),0))</f>
        <v/>
      </c>
      <c r="AL286" s="21">
        <f>AE286*Q286</f>
        <v/>
      </c>
      <c r="AM286">
        <f>IF(R286="","",IF(LOWER(R286)="brak","Brak",IF(OR(ISNUMBER(SEARCH("własn",LOWER(R286))),ISNUMBER(SEARCH("wlasn",LOWER(R286))),ISNUMBER(SEARCH("wojciechowski",LOWER(R286)))),"Własny","Zewnętrzny")))</f>
        <v/>
      </c>
      <c r="AN286" s="24">
        <f>IF(C286="","",YEAR(C286))</f>
        <v/>
      </c>
      <c r="AO286" s="24">
        <f>IF(C286="","",MONTH(C286))</f>
        <v/>
      </c>
      <c r="AP286">
        <f>IF(C286="","",UPPER(TEXT(C286,"mmmm")))</f>
        <v/>
      </c>
      <c r="AQ286">
        <f>IF(C286="","","Q"&amp;ROUNDUP(MONTH(C286)/3,0))</f>
        <v/>
      </c>
    </row>
    <row r="287">
      <c r="A287" s="19" t="n">
        <v>46238</v>
      </c>
      <c r="C287" s="19" t="n">
        <v>46238</v>
      </c>
      <c r="D287" t="inlineStr">
        <is>
          <t>Magazyn Zabrze</t>
        </is>
      </c>
      <c r="E287" t="inlineStr">
        <is>
          <t>PRODUKCJA</t>
        </is>
      </c>
      <c r="F287" t="inlineStr">
        <is>
          <t>PZ/62</t>
        </is>
      </c>
      <c r="G287" t="inlineStr">
        <is>
          <t>TAK</t>
        </is>
      </c>
      <c r="H287" t="inlineStr">
        <is>
          <t>Deklaracja</t>
        </is>
      </c>
      <c r="I287" s="20" t="n">
        <v>69.52</v>
      </c>
      <c r="J287" t="inlineStr">
        <is>
          <t>MP</t>
        </is>
      </c>
      <c r="K287" s="21" t="n">
        <v>0</v>
      </c>
      <c r="L287" s="21" t="n">
        <v>0</v>
      </c>
      <c r="M287" s="21" t="n">
        <v>0</v>
      </c>
      <c r="N287" t="inlineStr">
        <is>
          <t>Zrębka Produkcyjna Leśna</t>
        </is>
      </c>
      <c r="O287" t="inlineStr">
        <is>
          <t>B</t>
        </is>
      </c>
      <c r="P287" t="inlineStr">
        <is>
          <t>własne</t>
        </is>
      </c>
      <c r="Q287" s="21" t="n">
        <v>10</v>
      </c>
      <c r="T287" s="22" t="n">
        <v>0</v>
      </c>
      <c r="U287" s="21" t="n">
        <v>0</v>
      </c>
      <c r="V287" s="21" t="n">
        <v>0</v>
      </c>
      <c r="W287" t="inlineStr">
        <is>
          <t>Magazyn Zabrze</t>
        </is>
      </c>
      <c r="Z287" t="inlineStr">
        <is>
          <t>Roesner Mateusz</t>
        </is>
      </c>
      <c r="AA287" s="23" t="n">
        <v>46244.41216435185</v>
      </c>
      <c r="AB287" t="inlineStr">
        <is>
          <t>OP-MIGR-00286</t>
        </is>
      </c>
      <c r="AD287" t="inlineStr">
        <is>
          <t>AKTYWNY</t>
        </is>
      </c>
      <c r="AE287" s="20">
        <f>IF(I287="",0,IF(ISNUMBER(SEARCH("MP",UPPER(J287))),I287,IF(ISNUMBER(SEARCH("TON",UPPER(J287))),I287/Przelicznik_MP_tona,IF(ISNUMBER(SEARCH("M3",UPPER(J287))),I287*Przelicznik_M3_MP,IF(ISNUMBER(SEARCH("GJ",UPPER(J287))),I287/Przelicznik_GJ_tona/Przelicznik_MP_tona,I287)))))</f>
        <v/>
      </c>
      <c r="AF287" s="20">
        <f>IF(I287="",0,IF(ISNUMBER(SEARCH("TON",UPPER(J287))),I287,IF(ISNUMBER(SEARCH("GJ",UPPER(J287))),I287/Przelicznik_GJ_tona,AE287*Przelicznik_MP_tona)))</f>
        <v/>
      </c>
      <c r="AG287" s="20">
        <f>AF287*Przelicznik_GJ_tona</f>
        <v/>
      </c>
      <c r="AH287" s="20">
        <f>IF(UPPER(AD287)="SKORYGOWANY",0,IF(OR(UPPER(E287)="TRANSPORT",UPPER(E287)="MM"),0,IF(UPPER(G287)&lt;&gt;"TAK",0,IF(OR(UPPER(E287)="ZAKUP",UPPER(E287)="PRODUKCJA"),AE287,IF(OR(UPPER(E287)="SPRZEDAŻ",UPPER(E287)="ZUŻYCIE"),-AE287,0)))))</f>
        <v/>
      </c>
      <c r="AI287" s="20">
        <f>IF(UPPER(AD287)="SKORYGOWANY",0,IF(OR(UPPER(E287)="TRANSPORT",UPPER(E287)="MM"),0,IF(UPPER(G287)&lt;&gt;"TAK",0,IF(OR(UPPER(E287)="ZAKUP",UPPER(E287)="PRODUKCJA"),AF287,IF(OR(UPPER(E287)="SPRZEDAŻ",UPPER(E287)="ZUŻYCIE"),-AF287,0)))))</f>
        <v/>
      </c>
      <c r="AJ287" s="21">
        <f>IF(UPPER(AD287)="SKORYGOWANY",0,IF(UPPER(E287)="ZAKUP",IF(L287&lt;&gt;"",L287,I287*K287),0))</f>
        <v/>
      </c>
      <c r="AK287" s="21">
        <f>IF(UPPER(AD287)="SKORYGOWANY",0,IF(UPPER(E287)="SPRZEDAŻ",IF(L287&lt;&gt;"",L287,I287*M287),0))</f>
        <v/>
      </c>
      <c r="AL287" s="21">
        <f>AE287*Q287</f>
        <v/>
      </c>
      <c r="AM287">
        <f>IF(R287="","",IF(LOWER(R287)="brak","Brak",IF(OR(ISNUMBER(SEARCH("własn",LOWER(R287))),ISNUMBER(SEARCH("wlasn",LOWER(R287))),ISNUMBER(SEARCH("wojciechowski",LOWER(R287)))),"Własny","Zewnętrzny")))</f>
        <v/>
      </c>
      <c r="AN287" s="24">
        <f>IF(C287="","",YEAR(C287))</f>
        <v/>
      </c>
      <c r="AO287" s="24">
        <f>IF(C287="","",MONTH(C287))</f>
        <v/>
      </c>
      <c r="AP287">
        <f>IF(C287="","",UPPER(TEXT(C287,"mmmm")))</f>
        <v/>
      </c>
      <c r="AQ287">
        <f>IF(C287="","","Q"&amp;ROUNDUP(MONTH(C287)/3,0))</f>
        <v/>
      </c>
    </row>
    <row r="288">
      <c r="A288" s="19" t="n">
        <v>46238</v>
      </c>
      <c r="C288" s="19" t="n">
        <v>46238</v>
      </c>
      <c r="D288" t="inlineStr">
        <is>
          <t>Magazyn Zabrze</t>
        </is>
      </c>
      <c r="E288" t="inlineStr">
        <is>
          <t>ZUŻYCIE</t>
        </is>
      </c>
      <c r="F288" t="inlineStr">
        <is>
          <t>PZ/62</t>
        </is>
      </c>
      <c r="G288" t="inlineStr">
        <is>
          <t>TAK</t>
        </is>
      </c>
      <c r="H288" t="inlineStr">
        <is>
          <t>Deklaracja</t>
        </is>
      </c>
      <c r="I288" s="20" t="n">
        <v>69.52</v>
      </c>
      <c r="J288" t="inlineStr">
        <is>
          <t>MP</t>
        </is>
      </c>
      <c r="K288" s="21" t="n">
        <v>0</v>
      </c>
      <c r="L288" s="21" t="n">
        <v>0</v>
      </c>
      <c r="M288" s="21" t="n">
        <v>0</v>
      </c>
      <c r="N288" t="inlineStr">
        <is>
          <t>Zrębka Produkcyjna Leśna</t>
        </is>
      </c>
      <c r="O288" t="inlineStr">
        <is>
          <t>B</t>
        </is>
      </c>
      <c r="P288" t="inlineStr">
        <is>
          <t>własne</t>
        </is>
      </c>
      <c r="Q288" s="21" t="n">
        <v>10</v>
      </c>
      <c r="T288" s="22" t="n">
        <v>0</v>
      </c>
      <c r="U288" s="21" t="n">
        <v>0</v>
      </c>
      <c r="V288" s="21" t="n">
        <v>0</v>
      </c>
      <c r="W288" t="inlineStr">
        <is>
          <t>Magazyn Zabrze</t>
        </is>
      </c>
      <c r="Y288" t="inlineStr">
        <is>
          <t>Automatyczne zużycie surowca do produkcji</t>
        </is>
      </c>
      <c r="AA288" s="23" t="n">
        <v>46244.41216435185</v>
      </c>
      <c r="AB288" t="inlineStr">
        <is>
          <t>OP-MIGR-00287</t>
        </is>
      </c>
      <c r="AD288" t="inlineStr">
        <is>
          <t>AKTYWNY</t>
        </is>
      </c>
      <c r="AE288" s="20">
        <f>IF(I288="",0,IF(ISNUMBER(SEARCH("MP",UPPER(J288))),I288,IF(ISNUMBER(SEARCH("TON",UPPER(J288))),I288/Przelicznik_MP_tona,IF(ISNUMBER(SEARCH("M3",UPPER(J288))),I288*Przelicznik_M3_MP,IF(ISNUMBER(SEARCH("GJ",UPPER(J288))),I288/Przelicznik_GJ_tona/Przelicznik_MP_tona,I288)))))</f>
        <v/>
      </c>
      <c r="AF288" s="20">
        <f>IF(I288="",0,IF(ISNUMBER(SEARCH("TON",UPPER(J288))),I288,IF(ISNUMBER(SEARCH("GJ",UPPER(J288))),I288/Przelicznik_GJ_tona,AE288*Przelicznik_MP_tona)))</f>
        <v/>
      </c>
      <c r="AG288" s="20">
        <f>AF288*Przelicznik_GJ_tona</f>
        <v/>
      </c>
      <c r="AH288" s="20">
        <f>IF(UPPER(AD288)="SKORYGOWANY",0,IF(OR(UPPER(E288)="TRANSPORT",UPPER(E288)="MM"),0,IF(UPPER(G288)&lt;&gt;"TAK",0,IF(OR(UPPER(E288)="ZAKUP",UPPER(E288)="PRODUKCJA"),AE288,IF(OR(UPPER(E288)="SPRZEDAŻ",UPPER(E288)="ZUŻYCIE"),-AE288,0)))))</f>
        <v/>
      </c>
      <c r="AI288" s="20">
        <f>IF(UPPER(AD288)="SKORYGOWANY",0,IF(OR(UPPER(E288)="TRANSPORT",UPPER(E288)="MM"),0,IF(UPPER(G288)&lt;&gt;"TAK",0,IF(OR(UPPER(E288)="ZAKUP",UPPER(E288)="PRODUKCJA"),AF288,IF(OR(UPPER(E288)="SPRZEDAŻ",UPPER(E288)="ZUŻYCIE"),-AF288,0)))))</f>
        <v/>
      </c>
      <c r="AJ288" s="21">
        <f>IF(UPPER(AD288)="SKORYGOWANY",0,IF(UPPER(E288)="ZAKUP",IF(L288&lt;&gt;"",L288,I288*K288),0))</f>
        <v/>
      </c>
      <c r="AK288" s="21">
        <f>IF(UPPER(AD288)="SKORYGOWANY",0,IF(UPPER(E288)="SPRZEDAŻ",IF(L288&lt;&gt;"",L288,I288*M288),0))</f>
        <v/>
      </c>
      <c r="AL288" s="21">
        <f>AE288*Q288</f>
        <v/>
      </c>
      <c r="AM288">
        <f>IF(R288="","",IF(LOWER(R288)="brak","Brak",IF(OR(ISNUMBER(SEARCH("własn",LOWER(R288))),ISNUMBER(SEARCH("wlasn",LOWER(R288))),ISNUMBER(SEARCH("wojciechowski",LOWER(R288)))),"Własny","Zewnętrzny")))</f>
        <v/>
      </c>
      <c r="AN288" s="24">
        <f>IF(C288="","",YEAR(C288))</f>
        <v/>
      </c>
      <c r="AO288" s="24">
        <f>IF(C288="","",MONTH(C288))</f>
        <v/>
      </c>
      <c r="AP288">
        <f>IF(C288="","",UPPER(TEXT(C288,"mmmm")))</f>
        <v/>
      </c>
      <c r="AQ288">
        <f>IF(C288="","","Q"&amp;ROUNDUP(MONTH(C288)/3,0))</f>
        <v/>
      </c>
    </row>
    <row r="289">
      <c r="A289" s="19" t="n">
        <v>46238</v>
      </c>
      <c r="B289" t="inlineStr">
        <is>
          <t>Mitręga</t>
        </is>
      </c>
      <c r="C289" s="19" t="n">
        <v>46238</v>
      </c>
      <c r="D289" t="inlineStr">
        <is>
          <t>Magazyn Zabrze</t>
        </is>
      </c>
      <c r="E289" t="inlineStr">
        <is>
          <t>ZAKUP</t>
        </is>
      </c>
      <c r="F289" t="inlineStr">
        <is>
          <t>PZ/62</t>
        </is>
      </c>
      <c r="G289" t="inlineStr">
        <is>
          <t>TAK</t>
        </is>
      </c>
      <c r="H289" t="inlineStr">
        <is>
          <t>Deklaracja</t>
        </is>
      </c>
      <c r="I289" s="20" t="n">
        <v>69.52</v>
      </c>
      <c r="J289" t="inlineStr">
        <is>
          <t>MP</t>
        </is>
      </c>
      <c r="K289" s="21" t="n">
        <v>0</v>
      </c>
      <c r="L289" s="21" t="n">
        <v>0</v>
      </c>
      <c r="M289" s="21" t="n">
        <v>0</v>
      </c>
      <c r="N289" t="inlineStr">
        <is>
          <t>Zrębka Produkcyjna Leśna</t>
        </is>
      </c>
      <c r="O289" t="inlineStr">
        <is>
          <t>B</t>
        </is>
      </c>
      <c r="Q289" s="21" t="n">
        <v>0</v>
      </c>
      <c r="R289" t="inlineStr">
        <is>
          <t>własny (Kretek)</t>
        </is>
      </c>
      <c r="S289" t="inlineStr">
        <is>
          <t>SK 7J885</t>
        </is>
      </c>
      <c r="T289" s="22" t="n">
        <v>105</v>
      </c>
      <c r="U289" s="21" t="n">
        <v>5</v>
      </c>
      <c r="V289" s="21" t="n">
        <v>525</v>
      </c>
      <c r="W289" t="inlineStr">
        <is>
          <t>Magazyn Zabrze</t>
        </is>
      </c>
      <c r="Z289" t="inlineStr">
        <is>
          <t>Roesner Mateusz</t>
        </is>
      </c>
      <c r="AA289" s="23" t="n">
        <v>46244.41287037037</v>
      </c>
      <c r="AB289" t="inlineStr">
        <is>
          <t>OP-MIGR-00288</t>
        </is>
      </c>
      <c r="AD289" t="inlineStr">
        <is>
          <t>AKTYWNY</t>
        </is>
      </c>
      <c r="AE289" s="20">
        <f>IF(I289="",0,IF(ISNUMBER(SEARCH("MP",UPPER(J289))),I289,IF(ISNUMBER(SEARCH("TON",UPPER(J289))),I289/Przelicznik_MP_tona,IF(ISNUMBER(SEARCH("M3",UPPER(J289))),I289*Przelicznik_M3_MP,IF(ISNUMBER(SEARCH("GJ",UPPER(J289))),I289/Przelicznik_GJ_tona/Przelicznik_MP_tona,I289)))))</f>
        <v/>
      </c>
      <c r="AF289" s="20">
        <f>IF(I289="",0,IF(ISNUMBER(SEARCH("TON",UPPER(J289))),I289,IF(ISNUMBER(SEARCH("GJ",UPPER(J289))),I289/Przelicznik_GJ_tona,AE289*Przelicznik_MP_tona)))</f>
        <v/>
      </c>
      <c r="AG289" s="20">
        <f>AF289*Przelicznik_GJ_tona</f>
        <v/>
      </c>
      <c r="AH289" s="20">
        <f>IF(UPPER(AD289)="SKORYGOWANY",0,IF(OR(UPPER(E289)="TRANSPORT",UPPER(E289)="MM"),0,IF(UPPER(G289)&lt;&gt;"TAK",0,IF(OR(UPPER(E289)="ZAKUP",UPPER(E289)="PRODUKCJA"),AE289,IF(OR(UPPER(E289)="SPRZEDAŻ",UPPER(E289)="ZUŻYCIE"),-AE289,0)))))</f>
        <v/>
      </c>
      <c r="AI289" s="20">
        <f>IF(UPPER(AD289)="SKORYGOWANY",0,IF(OR(UPPER(E289)="TRANSPORT",UPPER(E289)="MM"),0,IF(UPPER(G289)&lt;&gt;"TAK",0,IF(OR(UPPER(E289)="ZAKUP",UPPER(E289)="PRODUKCJA"),AF289,IF(OR(UPPER(E289)="SPRZEDAŻ",UPPER(E289)="ZUŻYCIE"),-AF289,0)))))</f>
        <v/>
      </c>
      <c r="AJ289" s="21">
        <f>IF(UPPER(AD289)="SKORYGOWANY",0,IF(UPPER(E289)="ZAKUP",IF(L289&lt;&gt;"",L289,I289*K289),0))</f>
        <v/>
      </c>
      <c r="AK289" s="21">
        <f>IF(UPPER(AD289)="SKORYGOWANY",0,IF(UPPER(E289)="SPRZEDAŻ",IF(L289&lt;&gt;"",L289,I289*M289),0))</f>
        <v/>
      </c>
      <c r="AL289" s="21">
        <f>AE289*Q289</f>
        <v/>
      </c>
      <c r="AM289">
        <f>IF(R289="","",IF(LOWER(R289)="brak","Brak",IF(OR(ISNUMBER(SEARCH("własn",LOWER(R289))),ISNUMBER(SEARCH("wlasn",LOWER(R289))),ISNUMBER(SEARCH("wojciechowski",LOWER(R289)))),"Własny","Zewnętrzny")))</f>
        <v/>
      </c>
      <c r="AN289" s="24">
        <f>IF(C289="","",YEAR(C289))</f>
        <v/>
      </c>
      <c r="AO289" s="24">
        <f>IF(C289="","",MONTH(C289))</f>
        <v/>
      </c>
      <c r="AP289">
        <f>IF(C289="","",UPPER(TEXT(C289,"mmmm")))</f>
        <v/>
      </c>
      <c r="AQ289">
        <f>IF(C289="","","Q"&amp;ROUNDUP(MONTH(C289)/3,0))</f>
        <v/>
      </c>
    </row>
    <row r="290">
      <c r="A290" s="19" t="n">
        <v>46238</v>
      </c>
      <c r="C290" s="19" t="n">
        <v>46238</v>
      </c>
      <c r="D290" t="inlineStr">
        <is>
          <t>NDL Siewierz, Leśnictwo Mitręga</t>
        </is>
      </c>
      <c r="E290" t="inlineStr">
        <is>
          <t>ZAKUP</t>
        </is>
      </c>
      <c r="F290" t="inlineStr">
        <is>
          <t>PZ/126  1/202623368/6073</t>
        </is>
      </c>
      <c r="G290" t="inlineStr">
        <is>
          <t>TAK</t>
        </is>
      </c>
      <c r="H290" t="inlineStr">
        <is>
          <t>Deklaracja</t>
        </is>
      </c>
      <c r="I290" s="20" t="n">
        <v>16.96</v>
      </c>
      <c r="J290" t="inlineStr">
        <is>
          <t>M3</t>
        </is>
      </c>
      <c r="K290" s="21" t="n">
        <v>0</v>
      </c>
      <c r="L290" s="21" t="n">
        <v>0</v>
      </c>
      <c r="M290" s="21" t="n">
        <v>0</v>
      </c>
      <c r="N290" t="inlineStr">
        <is>
          <t>Drewno opałowe z lasu</t>
        </is>
      </c>
      <c r="Q290" s="21" t="n">
        <v>0</v>
      </c>
      <c r="T290" s="22" t="n">
        <v>0</v>
      </c>
      <c r="U290" s="21" t="n">
        <v>0</v>
      </c>
      <c r="V290" s="21" t="n">
        <v>0</v>
      </c>
      <c r="W290" t="inlineStr">
        <is>
          <t>Magazyn Zabrze</t>
        </is>
      </c>
      <c r="Y290" t="inlineStr">
        <is>
          <t>Produkcja z 04.05.2026r.</t>
        </is>
      </c>
      <c r="Z290" t="inlineStr">
        <is>
          <t>Roesner Mateusz</t>
        </is>
      </c>
      <c r="AA290" s="23" t="n">
        <v>46267.36708333333</v>
      </c>
      <c r="AB290" t="inlineStr">
        <is>
          <t>OP-MIGR-00289</t>
        </is>
      </c>
      <c r="AD290" t="inlineStr">
        <is>
          <t>AKTYWNY</t>
        </is>
      </c>
      <c r="AE290" s="20">
        <f>IF(I290="",0,IF(ISNUMBER(SEARCH("MP",UPPER(J290))),I290,IF(ISNUMBER(SEARCH("TON",UPPER(J290))),I290/Przelicznik_MP_tona,IF(ISNUMBER(SEARCH("M3",UPPER(J290))),I290*Przelicznik_M3_MP,IF(ISNUMBER(SEARCH("GJ",UPPER(J290))),I290/Przelicznik_GJ_tona/Przelicznik_MP_tona,I290)))))</f>
        <v/>
      </c>
      <c r="AF290" s="20">
        <f>IF(I290="",0,IF(ISNUMBER(SEARCH("TON",UPPER(J290))),I290,IF(ISNUMBER(SEARCH("GJ",UPPER(J290))),I290/Przelicznik_GJ_tona,AE290*Przelicznik_MP_tona)))</f>
        <v/>
      </c>
      <c r="AG290" s="20">
        <f>AF290*Przelicznik_GJ_tona</f>
        <v/>
      </c>
      <c r="AH290" s="20">
        <f>IF(UPPER(AD290)="SKORYGOWANY",0,IF(OR(UPPER(E290)="TRANSPORT",UPPER(E290)="MM"),0,IF(UPPER(G290)&lt;&gt;"TAK",0,IF(OR(UPPER(E290)="ZAKUP",UPPER(E290)="PRODUKCJA"),AE290,IF(OR(UPPER(E290)="SPRZEDAŻ",UPPER(E290)="ZUŻYCIE"),-AE290,0)))))</f>
        <v/>
      </c>
      <c r="AI290" s="20">
        <f>IF(UPPER(AD290)="SKORYGOWANY",0,IF(OR(UPPER(E290)="TRANSPORT",UPPER(E290)="MM"),0,IF(UPPER(G290)&lt;&gt;"TAK",0,IF(OR(UPPER(E290)="ZAKUP",UPPER(E290)="PRODUKCJA"),AF290,IF(OR(UPPER(E290)="SPRZEDAŻ",UPPER(E290)="ZUŻYCIE"),-AF290,0)))))</f>
        <v/>
      </c>
      <c r="AJ290" s="21">
        <f>IF(UPPER(AD290)="SKORYGOWANY",0,IF(UPPER(E290)="ZAKUP",IF(L290&lt;&gt;"",L290,I290*K290),0))</f>
        <v/>
      </c>
      <c r="AK290" s="21">
        <f>IF(UPPER(AD290)="SKORYGOWANY",0,IF(UPPER(E290)="SPRZEDAŻ",IF(L290&lt;&gt;"",L290,I290*M290),0))</f>
        <v/>
      </c>
      <c r="AL290" s="21">
        <f>AE290*Q290</f>
        <v/>
      </c>
      <c r="AM290">
        <f>IF(R290="","",IF(LOWER(R290)="brak","Brak",IF(OR(ISNUMBER(SEARCH("własn",LOWER(R290))),ISNUMBER(SEARCH("wlasn",LOWER(R290))),ISNUMBER(SEARCH("wojciechowski",LOWER(R290)))),"Własny","Zewnętrzny")))</f>
        <v/>
      </c>
      <c r="AN290" s="24">
        <f>IF(C290="","",YEAR(C290))</f>
        <v/>
      </c>
      <c r="AO290" s="24">
        <f>IF(C290="","",MONTH(C290))</f>
        <v/>
      </c>
      <c r="AP290">
        <f>IF(C290="","",UPPER(TEXT(C290,"mmmm")))</f>
        <v/>
      </c>
      <c r="AQ290">
        <f>IF(C290="","","Q"&amp;ROUNDUP(MONTH(C290)/3,0))</f>
        <v/>
      </c>
    </row>
    <row r="291">
      <c r="A291" s="19" t="n">
        <v>46238</v>
      </c>
      <c r="C291" s="19" t="n">
        <v>46238</v>
      </c>
      <c r="D291" t="inlineStr">
        <is>
          <t>Magazyn Zabrze</t>
        </is>
      </c>
      <c r="E291" t="inlineStr">
        <is>
          <t>PRODUKCJA</t>
        </is>
      </c>
      <c r="F291" t="inlineStr">
        <is>
          <t>PZ/126</t>
        </is>
      </c>
      <c r="G291" t="inlineStr">
        <is>
          <t>TAK</t>
        </is>
      </c>
      <c r="H291" t="inlineStr">
        <is>
          <t>Deklaracja</t>
        </is>
      </c>
      <c r="I291" s="20" t="n">
        <v>67.84</v>
      </c>
      <c r="J291" t="inlineStr">
        <is>
          <t>MP</t>
        </is>
      </c>
      <c r="K291" s="21" t="n">
        <v>0</v>
      </c>
      <c r="L291" s="21" t="n">
        <v>0</v>
      </c>
      <c r="M291" s="21" t="n">
        <v>0</v>
      </c>
      <c r="N291" t="inlineStr">
        <is>
          <t>Zrębka Produkcyjna Leśna</t>
        </is>
      </c>
      <c r="O291" t="inlineStr">
        <is>
          <t>B</t>
        </is>
      </c>
      <c r="P291" t="inlineStr">
        <is>
          <t>własne</t>
        </is>
      </c>
      <c r="Q291" s="21" t="n">
        <v>10</v>
      </c>
      <c r="T291" s="22" t="n">
        <v>0</v>
      </c>
      <c r="U291" s="21" t="n">
        <v>0</v>
      </c>
      <c r="V291" s="21" t="n">
        <v>0</v>
      </c>
      <c r="W291" t="inlineStr">
        <is>
          <t>Magazyn Zabrze</t>
        </is>
      </c>
      <c r="Y291" t="inlineStr">
        <is>
          <t>Produkcja z 04.05.2026r.</t>
        </is>
      </c>
      <c r="Z291" t="inlineStr">
        <is>
          <t>Roesner Mateusz</t>
        </is>
      </c>
      <c r="AA291" s="23" t="n">
        <v>46267.36876157407</v>
      </c>
      <c r="AB291" t="inlineStr">
        <is>
          <t>OP-MIGR-00290</t>
        </is>
      </c>
      <c r="AD291" t="inlineStr">
        <is>
          <t>AKTYWNY</t>
        </is>
      </c>
      <c r="AE291" s="20">
        <f>IF(I291="",0,IF(ISNUMBER(SEARCH("MP",UPPER(J291))),I291,IF(ISNUMBER(SEARCH("TON",UPPER(J291))),I291/Przelicznik_MP_tona,IF(ISNUMBER(SEARCH("M3",UPPER(J291))),I291*Przelicznik_M3_MP,IF(ISNUMBER(SEARCH("GJ",UPPER(J291))),I291/Przelicznik_GJ_tona/Przelicznik_MP_tona,I291)))))</f>
        <v/>
      </c>
      <c r="AF291" s="20">
        <f>IF(I291="",0,IF(ISNUMBER(SEARCH("TON",UPPER(J291))),I291,IF(ISNUMBER(SEARCH("GJ",UPPER(J291))),I291/Przelicznik_GJ_tona,AE291*Przelicznik_MP_tona)))</f>
        <v/>
      </c>
      <c r="AG291" s="20">
        <f>AF291*Przelicznik_GJ_tona</f>
        <v/>
      </c>
      <c r="AH291" s="20">
        <f>IF(UPPER(AD291)="SKORYGOWANY",0,IF(OR(UPPER(E291)="TRANSPORT",UPPER(E291)="MM"),0,IF(UPPER(G291)&lt;&gt;"TAK",0,IF(OR(UPPER(E291)="ZAKUP",UPPER(E291)="PRODUKCJA"),AE291,IF(OR(UPPER(E291)="SPRZEDAŻ",UPPER(E291)="ZUŻYCIE"),-AE291,0)))))</f>
        <v/>
      </c>
      <c r="AI291" s="20">
        <f>IF(UPPER(AD291)="SKORYGOWANY",0,IF(OR(UPPER(E291)="TRANSPORT",UPPER(E291)="MM"),0,IF(UPPER(G291)&lt;&gt;"TAK",0,IF(OR(UPPER(E291)="ZAKUP",UPPER(E291)="PRODUKCJA"),AF291,IF(OR(UPPER(E291)="SPRZEDAŻ",UPPER(E291)="ZUŻYCIE"),-AF291,0)))))</f>
        <v/>
      </c>
      <c r="AJ291" s="21">
        <f>IF(UPPER(AD291)="SKORYGOWANY",0,IF(UPPER(E291)="ZAKUP",IF(L291&lt;&gt;"",L291,I291*K291),0))</f>
        <v/>
      </c>
      <c r="AK291" s="21">
        <f>IF(UPPER(AD291)="SKORYGOWANY",0,IF(UPPER(E291)="SPRZEDAŻ",IF(L291&lt;&gt;"",L291,I291*M291),0))</f>
        <v/>
      </c>
      <c r="AL291" s="21">
        <f>AE291*Q291</f>
        <v/>
      </c>
      <c r="AM291">
        <f>IF(R291="","",IF(LOWER(R291)="brak","Brak",IF(OR(ISNUMBER(SEARCH("własn",LOWER(R291))),ISNUMBER(SEARCH("wlasn",LOWER(R291))),ISNUMBER(SEARCH("wojciechowski",LOWER(R291)))),"Własny","Zewnętrzny")))</f>
        <v/>
      </c>
      <c r="AN291" s="24">
        <f>IF(C291="","",YEAR(C291))</f>
        <v/>
      </c>
      <c r="AO291" s="24">
        <f>IF(C291="","",MONTH(C291))</f>
        <v/>
      </c>
      <c r="AP291">
        <f>IF(C291="","",UPPER(TEXT(C291,"mmmm")))</f>
        <v/>
      </c>
      <c r="AQ291">
        <f>IF(C291="","","Q"&amp;ROUNDUP(MONTH(C291)/3,0))</f>
        <v/>
      </c>
    </row>
    <row r="292">
      <c r="A292" s="19" t="n">
        <v>46238</v>
      </c>
      <c r="C292" s="19" t="n">
        <v>46238</v>
      </c>
      <c r="D292" t="inlineStr">
        <is>
          <t>Magazyn Zabrze</t>
        </is>
      </c>
      <c r="E292" t="inlineStr">
        <is>
          <t>ZUŻYCIE</t>
        </is>
      </c>
      <c r="F292" t="inlineStr">
        <is>
          <t>PZ/126</t>
        </is>
      </c>
      <c r="G292" t="inlineStr">
        <is>
          <t>TAK</t>
        </is>
      </c>
      <c r="H292" t="inlineStr">
        <is>
          <t>Deklaracja</t>
        </is>
      </c>
      <c r="I292" s="20" t="n">
        <v>67.84</v>
      </c>
      <c r="J292" t="inlineStr">
        <is>
          <t>MP</t>
        </is>
      </c>
      <c r="K292" s="21" t="n">
        <v>0</v>
      </c>
      <c r="L292" s="21" t="n">
        <v>0</v>
      </c>
      <c r="M292" s="21" t="n">
        <v>0</v>
      </c>
      <c r="N292" t="inlineStr">
        <is>
          <t>Zrzyna</t>
        </is>
      </c>
      <c r="O292" t="inlineStr">
        <is>
          <t>B</t>
        </is>
      </c>
      <c r="P292" t="inlineStr">
        <is>
          <t>własne</t>
        </is>
      </c>
      <c r="Q292" s="21" t="n">
        <v>10</v>
      </c>
      <c r="T292" s="22" t="n">
        <v>0</v>
      </c>
      <c r="U292" s="21" t="n">
        <v>0</v>
      </c>
      <c r="V292" s="21" t="n">
        <v>0</v>
      </c>
      <c r="W292" t="inlineStr">
        <is>
          <t>Magazyn Zabrze</t>
        </is>
      </c>
      <c r="Y292" t="inlineStr">
        <is>
          <t>Automatyczne zużycie surowca do produkcji</t>
        </is>
      </c>
      <c r="AA292" s="23" t="n">
        <v>46267.36877314815</v>
      </c>
      <c r="AB292" t="inlineStr">
        <is>
          <t>OP-MIGR-00291</t>
        </is>
      </c>
      <c r="AD292" t="inlineStr">
        <is>
          <t>AKTYWNY</t>
        </is>
      </c>
      <c r="AE292" s="20">
        <f>IF(I292="",0,IF(ISNUMBER(SEARCH("MP",UPPER(J292))),I292,IF(ISNUMBER(SEARCH("TON",UPPER(J292))),I292/Przelicznik_MP_tona,IF(ISNUMBER(SEARCH("M3",UPPER(J292))),I292*Przelicznik_M3_MP,IF(ISNUMBER(SEARCH("GJ",UPPER(J292))),I292/Przelicznik_GJ_tona/Przelicznik_MP_tona,I292)))))</f>
        <v/>
      </c>
      <c r="AF292" s="20">
        <f>IF(I292="",0,IF(ISNUMBER(SEARCH("TON",UPPER(J292))),I292,IF(ISNUMBER(SEARCH("GJ",UPPER(J292))),I292/Przelicznik_GJ_tona,AE292*Przelicznik_MP_tona)))</f>
        <v/>
      </c>
      <c r="AG292" s="20">
        <f>AF292*Przelicznik_GJ_tona</f>
        <v/>
      </c>
      <c r="AH292" s="20">
        <f>IF(UPPER(AD292)="SKORYGOWANY",0,IF(OR(UPPER(E292)="TRANSPORT",UPPER(E292)="MM"),0,IF(UPPER(G292)&lt;&gt;"TAK",0,IF(OR(UPPER(E292)="ZAKUP",UPPER(E292)="PRODUKCJA"),AE292,IF(OR(UPPER(E292)="SPRZEDAŻ",UPPER(E292)="ZUŻYCIE"),-AE292,0)))))</f>
        <v/>
      </c>
      <c r="AI292" s="20">
        <f>IF(UPPER(AD292)="SKORYGOWANY",0,IF(OR(UPPER(E292)="TRANSPORT",UPPER(E292)="MM"),0,IF(UPPER(G292)&lt;&gt;"TAK",0,IF(OR(UPPER(E292)="ZAKUP",UPPER(E292)="PRODUKCJA"),AF292,IF(OR(UPPER(E292)="SPRZEDAŻ",UPPER(E292)="ZUŻYCIE"),-AF292,0)))))</f>
        <v/>
      </c>
      <c r="AJ292" s="21">
        <f>IF(UPPER(AD292)="SKORYGOWANY",0,IF(UPPER(E292)="ZAKUP",IF(L292&lt;&gt;"",L292,I292*K292),0))</f>
        <v/>
      </c>
      <c r="AK292" s="21">
        <f>IF(UPPER(AD292)="SKORYGOWANY",0,IF(UPPER(E292)="SPRZEDAŻ",IF(L292&lt;&gt;"",L292,I292*M292),0))</f>
        <v/>
      </c>
      <c r="AL292" s="21">
        <f>AE292*Q292</f>
        <v/>
      </c>
      <c r="AM292">
        <f>IF(R292="","",IF(LOWER(R292)="brak","Brak",IF(OR(ISNUMBER(SEARCH("własn",LOWER(R292))),ISNUMBER(SEARCH("wlasn",LOWER(R292))),ISNUMBER(SEARCH("wojciechowski",LOWER(R292)))),"Własny","Zewnętrzny")))</f>
        <v/>
      </c>
      <c r="AN292" s="24">
        <f>IF(C292="","",YEAR(C292))</f>
        <v/>
      </c>
      <c r="AO292" s="24">
        <f>IF(C292="","",MONTH(C292))</f>
        <v/>
      </c>
      <c r="AP292">
        <f>IF(C292="","",UPPER(TEXT(C292,"mmmm")))</f>
        <v/>
      </c>
      <c r="AQ292">
        <f>IF(C292="","","Q"&amp;ROUNDUP(MONTH(C292)/3,0))</f>
        <v/>
      </c>
    </row>
    <row r="293">
      <c r="A293" s="19" t="n">
        <v>46238</v>
      </c>
      <c r="B293" t="inlineStr">
        <is>
          <t>Mitręga</t>
        </is>
      </c>
      <c r="C293" s="19" t="n">
        <v>46238</v>
      </c>
      <c r="D293" t="inlineStr">
        <is>
          <t>Magazyn Zabrze</t>
        </is>
      </c>
      <c r="E293" t="inlineStr">
        <is>
          <t>ZAKUP</t>
        </is>
      </c>
      <c r="F293" t="inlineStr">
        <is>
          <t>PZ/126</t>
        </is>
      </c>
      <c r="G293" t="inlineStr">
        <is>
          <t>TAK</t>
        </is>
      </c>
      <c r="H293" t="inlineStr">
        <is>
          <t>Deklaracja</t>
        </is>
      </c>
      <c r="I293" s="20" t="n">
        <v>67.84</v>
      </c>
      <c r="J293" t="inlineStr">
        <is>
          <t>MP</t>
        </is>
      </c>
      <c r="K293" s="21" t="n">
        <v>0</v>
      </c>
      <c r="L293" s="21" t="n">
        <v>0</v>
      </c>
      <c r="M293" s="21" t="n">
        <v>0</v>
      </c>
      <c r="N293" t="inlineStr">
        <is>
          <t>Zrębka Produkcyjna Leśna</t>
        </is>
      </c>
      <c r="O293" t="inlineStr">
        <is>
          <t>B</t>
        </is>
      </c>
      <c r="Q293" s="21" t="n">
        <v>0</v>
      </c>
      <c r="R293" t="inlineStr">
        <is>
          <t>własny (Łukasz Wojciechowski)</t>
        </is>
      </c>
      <c r="S293" t="inlineStr">
        <is>
          <t>SK 4K625</t>
        </is>
      </c>
      <c r="T293" s="22" t="n">
        <v>105</v>
      </c>
      <c r="U293" s="21" t="n">
        <v>5</v>
      </c>
      <c r="V293" s="21" t="n">
        <v>525</v>
      </c>
      <c r="W293" t="inlineStr">
        <is>
          <t>Magazyn Zabrze</t>
        </is>
      </c>
      <c r="Y293" t="inlineStr">
        <is>
          <t>Produkcja z 04.05.2026r.</t>
        </is>
      </c>
      <c r="Z293" t="inlineStr">
        <is>
          <t>Roesner Mateusz</t>
        </is>
      </c>
      <c r="AA293" s="23" t="n">
        <v>46267.36998842593</v>
      </c>
      <c r="AB293" t="inlineStr">
        <is>
          <t>OP-MIGR-00292</t>
        </is>
      </c>
      <c r="AD293" t="inlineStr">
        <is>
          <t>AKTYWNY</t>
        </is>
      </c>
      <c r="AE293" s="20">
        <f>IF(I293="",0,IF(ISNUMBER(SEARCH("MP",UPPER(J293))),I293,IF(ISNUMBER(SEARCH("TON",UPPER(J293))),I293/Przelicznik_MP_tona,IF(ISNUMBER(SEARCH("M3",UPPER(J293))),I293*Przelicznik_M3_MP,IF(ISNUMBER(SEARCH("GJ",UPPER(J293))),I293/Przelicznik_GJ_tona/Przelicznik_MP_tona,I293)))))</f>
        <v/>
      </c>
      <c r="AF293" s="20">
        <f>IF(I293="",0,IF(ISNUMBER(SEARCH("TON",UPPER(J293))),I293,IF(ISNUMBER(SEARCH("GJ",UPPER(J293))),I293/Przelicznik_GJ_tona,AE293*Przelicznik_MP_tona)))</f>
        <v/>
      </c>
      <c r="AG293" s="20">
        <f>AF293*Przelicznik_GJ_tona</f>
        <v/>
      </c>
      <c r="AH293" s="20">
        <f>IF(UPPER(AD293)="SKORYGOWANY",0,IF(OR(UPPER(E293)="TRANSPORT",UPPER(E293)="MM"),0,IF(UPPER(G293)&lt;&gt;"TAK",0,IF(OR(UPPER(E293)="ZAKUP",UPPER(E293)="PRODUKCJA"),AE293,IF(OR(UPPER(E293)="SPRZEDAŻ",UPPER(E293)="ZUŻYCIE"),-AE293,0)))))</f>
        <v/>
      </c>
      <c r="AI293" s="20">
        <f>IF(UPPER(AD293)="SKORYGOWANY",0,IF(OR(UPPER(E293)="TRANSPORT",UPPER(E293)="MM"),0,IF(UPPER(G293)&lt;&gt;"TAK",0,IF(OR(UPPER(E293)="ZAKUP",UPPER(E293)="PRODUKCJA"),AF293,IF(OR(UPPER(E293)="SPRZEDAŻ",UPPER(E293)="ZUŻYCIE"),-AF293,0)))))</f>
        <v/>
      </c>
      <c r="AJ293" s="21">
        <f>IF(UPPER(AD293)="SKORYGOWANY",0,IF(UPPER(E293)="ZAKUP",IF(L293&lt;&gt;"",L293,I293*K293),0))</f>
        <v/>
      </c>
      <c r="AK293" s="21">
        <f>IF(UPPER(AD293)="SKORYGOWANY",0,IF(UPPER(E293)="SPRZEDAŻ",IF(L293&lt;&gt;"",L293,I293*M293),0))</f>
        <v/>
      </c>
      <c r="AL293" s="21">
        <f>AE293*Q293</f>
        <v/>
      </c>
      <c r="AM293">
        <f>IF(R293="","",IF(LOWER(R293)="brak","Brak",IF(OR(ISNUMBER(SEARCH("własn",LOWER(R293))),ISNUMBER(SEARCH("wlasn",LOWER(R293))),ISNUMBER(SEARCH("wojciechowski",LOWER(R293)))),"Własny","Zewnętrzny")))</f>
        <v/>
      </c>
      <c r="AN293" s="24">
        <f>IF(C293="","",YEAR(C293))</f>
        <v/>
      </c>
      <c r="AO293" s="24">
        <f>IF(C293="","",MONTH(C293))</f>
        <v/>
      </c>
      <c r="AP293">
        <f>IF(C293="","",UPPER(TEXT(C293,"mmmm")))</f>
        <v/>
      </c>
      <c r="AQ293">
        <f>IF(C293="","","Q"&amp;ROUNDUP(MONTH(C293)/3,0))</f>
        <v/>
      </c>
    </row>
    <row r="294">
      <c r="A294" s="19" t="n">
        <v>46239</v>
      </c>
      <c r="C294" s="19" t="n">
        <v>46239</v>
      </c>
      <c r="D294" t="inlineStr">
        <is>
          <t>Lander Agro</t>
        </is>
      </c>
      <c r="E294" t="inlineStr">
        <is>
          <t>ZAKUP</t>
        </is>
      </c>
      <c r="F294" t="inlineStr">
        <is>
          <t>PZ/29/D</t>
        </is>
      </c>
      <c r="G294" t="inlineStr">
        <is>
          <t>TAK</t>
        </is>
      </c>
      <c r="H294" t="inlineStr">
        <is>
          <t>KZR</t>
        </is>
      </c>
      <c r="I294" s="20" t="n">
        <v>28.15</v>
      </c>
      <c r="J294" t="inlineStr">
        <is>
          <t>M3</t>
        </is>
      </c>
      <c r="K294" s="21" t="n">
        <v>230</v>
      </c>
      <c r="L294" s="21" t="n">
        <v>6474.5</v>
      </c>
      <c r="M294" s="21" t="n">
        <v>0</v>
      </c>
      <c r="N294" t="inlineStr">
        <is>
          <t>Drewno opałowe z lasu</t>
        </is>
      </c>
      <c r="Q294" s="21" t="n">
        <v>0</v>
      </c>
      <c r="T294" s="22" t="n">
        <v>0</v>
      </c>
      <c r="U294" s="21" t="n">
        <v>0</v>
      </c>
      <c r="V294" s="21" t="n">
        <v>0</v>
      </c>
      <c r="W294" t="inlineStr">
        <is>
          <t>Magazyn Zabrze</t>
        </is>
      </c>
      <c r="Y294" t="inlineStr">
        <is>
          <t>Waga b/d</t>
        </is>
      </c>
      <c r="Z294" t="inlineStr">
        <is>
          <t>Roesner Mateusz</t>
        </is>
      </c>
      <c r="AA294" s="23" t="n">
        <v>46244.38211805555</v>
      </c>
      <c r="AB294" t="inlineStr">
        <is>
          <t>OP-MIGR-00293</t>
        </is>
      </c>
      <c r="AD294" t="inlineStr">
        <is>
          <t>AKTYWNY</t>
        </is>
      </c>
      <c r="AE294" s="20">
        <f>IF(I294="",0,IF(ISNUMBER(SEARCH("MP",UPPER(J294))),I294,IF(ISNUMBER(SEARCH("TON",UPPER(J294))),I294/Przelicznik_MP_tona,IF(ISNUMBER(SEARCH("M3",UPPER(J294))),I294*Przelicznik_M3_MP,IF(ISNUMBER(SEARCH("GJ",UPPER(J294))),I294/Przelicznik_GJ_tona/Przelicznik_MP_tona,I294)))))</f>
        <v/>
      </c>
      <c r="AF294" s="20">
        <f>IF(I294="",0,IF(ISNUMBER(SEARCH("TON",UPPER(J294))),I294,IF(ISNUMBER(SEARCH("GJ",UPPER(J294))),I294/Przelicznik_GJ_tona,AE294*Przelicznik_MP_tona)))</f>
        <v/>
      </c>
      <c r="AG294" s="20">
        <f>AF294*Przelicznik_GJ_tona</f>
        <v/>
      </c>
      <c r="AH294" s="20">
        <f>IF(UPPER(AD294)="SKORYGOWANY",0,IF(OR(UPPER(E294)="TRANSPORT",UPPER(E294)="MM"),0,IF(UPPER(G294)&lt;&gt;"TAK",0,IF(OR(UPPER(E294)="ZAKUP",UPPER(E294)="PRODUKCJA"),AE294,IF(OR(UPPER(E294)="SPRZEDAŻ",UPPER(E294)="ZUŻYCIE"),-AE294,0)))))</f>
        <v/>
      </c>
      <c r="AI294" s="20">
        <f>IF(UPPER(AD294)="SKORYGOWANY",0,IF(OR(UPPER(E294)="TRANSPORT",UPPER(E294)="MM"),0,IF(UPPER(G294)&lt;&gt;"TAK",0,IF(OR(UPPER(E294)="ZAKUP",UPPER(E294)="PRODUKCJA"),AF294,IF(OR(UPPER(E294)="SPRZEDAŻ",UPPER(E294)="ZUŻYCIE"),-AF294,0)))))</f>
        <v/>
      </c>
      <c r="AJ294" s="21">
        <f>IF(UPPER(AD294)="SKORYGOWANY",0,IF(UPPER(E294)="ZAKUP",IF(L294&lt;&gt;"",L294,I294*K294),0))</f>
        <v/>
      </c>
      <c r="AK294" s="21">
        <f>IF(UPPER(AD294)="SKORYGOWANY",0,IF(UPPER(E294)="SPRZEDAŻ",IF(L294&lt;&gt;"",L294,I294*M294),0))</f>
        <v/>
      </c>
      <c r="AL294" s="21">
        <f>AE294*Q294</f>
        <v/>
      </c>
      <c r="AM294">
        <f>IF(R294="","",IF(LOWER(R294)="brak","Brak",IF(OR(ISNUMBER(SEARCH("własn",LOWER(R294))),ISNUMBER(SEARCH("wlasn",LOWER(R294))),ISNUMBER(SEARCH("wojciechowski",LOWER(R294)))),"Własny","Zewnętrzny")))</f>
        <v/>
      </c>
      <c r="AN294" s="24">
        <f>IF(C294="","",YEAR(C294))</f>
        <v/>
      </c>
      <c r="AO294" s="24">
        <f>IF(C294="","",MONTH(C294))</f>
        <v/>
      </c>
      <c r="AP294">
        <f>IF(C294="","",UPPER(TEXT(C294,"mmmm")))</f>
        <v/>
      </c>
      <c r="AQ294">
        <f>IF(C294="","","Q"&amp;ROUNDUP(MONTH(C294)/3,0))</f>
        <v/>
      </c>
    </row>
    <row r="295">
      <c r="A295" s="19" t="n">
        <v>46239</v>
      </c>
      <c r="C295" s="19" t="n">
        <v>46239</v>
      </c>
      <c r="D295" t="inlineStr">
        <is>
          <t>Lander Agro</t>
        </is>
      </c>
      <c r="E295" t="inlineStr">
        <is>
          <t>ZAKUP</t>
        </is>
      </c>
      <c r="F295" t="inlineStr">
        <is>
          <t>PZ/30/D</t>
        </is>
      </c>
      <c r="G295" t="inlineStr">
        <is>
          <t>TAK</t>
        </is>
      </c>
      <c r="H295" t="inlineStr">
        <is>
          <t>KZR</t>
        </is>
      </c>
      <c r="I295" s="20" t="n">
        <v>29.82</v>
      </c>
      <c r="J295" t="inlineStr">
        <is>
          <t>M3</t>
        </is>
      </c>
      <c r="K295" s="21" t="n">
        <v>230</v>
      </c>
      <c r="L295" s="21" t="n">
        <v>6858.6</v>
      </c>
      <c r="M295" s="21" t="n">
        <v>0</v>
      </c>
      <c r="N295" t="inlineStr">
        <is>
          <t>Drewno opałowe z lasu</t>
        </is>
      </c>
      <c r="Q295" s="21" t="n">
        <v>0</v>
      </c>
      <c r="T295" s="22" t="n">
        <v>0</v>
      </c>
      <c r="U295" s="21" t="n">
        <v>0</v>
      </c>
      <c r="V295" s="21" t="n">
        <v>0</v>
      </c>
      <c r="W295" t="inlineStr">
        <is>
          <t>Magazyn Zabrze</t>
        </is>
      </c>
      <c r="Y295" t="inlineStr">
        <is>
          <t>Waga b/d</t>
        </is>
      </c>
      <c r="Z295" t="inlineStr">
        <is>
          <t>Roesner Mateusz</t>
        </is>
      </c>
      <c r="AA295" s="23" t="n">
        <v>46244.38326388889</v>
      </c>
      <c r="AB295" t="inlineStr">
        <is>
          <t>OP-MIGR-00294</t>
        </is>
      </c>
      <c r="AD295" t="inlineStr">
        <is>
          <t>AKTYWNY</t>
        </is>
      </c>
      <c r="AE295" s="20">
        <f>IF(I295="",0,IF(ISNUMBER(SEARCH("MP",UPPER(J295))),I295,IF(ISNUMBER(SEARCH("TON",UPPER(J295))),I295/Przelicznik_MP_tona,IF(ISNUMBER(SEARCH("M3",UPPER(J295))),I295*Przelicznik_M3_MP,IF(ISNUMBER(SEARCH("GJ",UPPER(J295))),I295/Przelicznik_GJ_tona/Przelicznik_MP_tona,I295)))))</f>
        <v/>
      </c>
      <c r="AF295" s="20">
        <f>IF(I295="",0,IF(ISNUMBER(SEARCH("TON",UPPER(J295))),I295,IF(ISNUMBER(SEARCH("GJ",UPPER(J295))),I295/Przelicznik_GJ_tona,AE295*Przelicznik_MP_tona)))</f>
        <v/>
      </c>
      <c r="AG295" s="20">
        <f>AF295*Przelicznik_GJ_tona</f>
        <v/>
      </c>
      <c r="AH295" s="20">
        <f>IF(UPPER(AD295)="SKORYGOWANY",0,IF(OR(UPPER(E295)="TRANSPORT",UPPER(E295)="MM"),0,IF(UPPER(G295)&lt;&gt;"TAK",0,IF(OR(UPPER(E295)="ZAKUP",UPPER(E295)="PRODUKCJA"),AE295,IF(OR(UPPER(E295)="SPRZEDAŻ",UPPER(E295)="ZUŻYCIE"),-AE295,0)))))</f>
        <v/>
      </c>
      <c r="AI295" s="20">
        <f>IF(UPPER(AD295)="SKORYGOWANY",0,IF(OR(UPPER(E295)="TRANSPORT",UPPER(E295)="MM"),0,IF(UPPER(G295)&lt;&gt;"TAK",0,IF(OR(UPPER(E295)="ZAKUP",UPPER(E295)="PRODUKCJA"),AF295,IF(OR(UPPER(E295)="SPRZEDAŻ",UPPER(E295)="ZUŻYCIE"),-AF295,0)))))</f>
        <v/>
      </c>
      <c r="AJ295" s="21">
        <f>IF(UPPER(AD295)="SKORYGOWANY",0,IF(UPPER(E295)="ZAKUP",IF(L295&lt;&gt;"",L295,I295*K295),0))</f>
        <v/>
      </c>
      <c r="AK295" s="21">
        <f>IF(UPPER(AD295)="SKORYGOWANY",0,IF(UPPER(E295)="SPRZEDAŻ",IF(L295&lt;&gt;"",L295,I295*M295),0))</f>
        <v/>
      </c>
      <c r="AL295" s="21">
        <f>AE295*Q295</f>
        <v/>
      </c>
      <c r="AM295">
        <f>IF(R295="","",IF(LOWER(R295)="brak","Brak",IF(OR(ISNUMBER(SEARCH("własn",LOWER(R295))),ISNUMBER(SEARCH("wlasn",LOWER(R295))),ISNUMBER(SEARCH("wojciechowski",LOWER(R295)))),"Własny","Zewnętrzny")))</f>
        <v/>
      </c>
      <c r="AN295" s="24">
        <f>IF(C295="","",YEAR(C295))</f>
        <v/>
      </c>
      <c r="AO295" s="24">
        <f>IF(C295="","",MONTH(C295))</f>
        <v/>
      </c>
      <c r="AP295">
        <f>IF(C295="","",UPPER(TEXT(C295,"mmmm")))</f>
        <v/>
      </c>
      <c r="AQ295">
        <f>IF(C295="","","Q"&amp;ROUNDUP(MONTH(C295)/3,0))</f>
        <v/>
      </c>
    </row>
    <row r="296">
      <c r="A296" s="19" t="n">
        <v>46239</v>
      </c>
      <c r="B296" t="inlineStr">
        <is>
          <t>Magazyn Zabrze</t>
        </is>
      </c>
      <c r="C296" s="19" t="n">
        <v>46239</v>
      </c>
      <c r="D296" t="inlineStr">
        <is>
          <t>Magazyn Zabrze</t>
        </is>
      </c>
      <c r="E296" t="inlineStr">
        <is>
          <t>MM</t>
        </is>
      </c>
      <c r="F296" t="inlineStr">
        <is>
          <t>MM-55</t>
        </is>
      </c>
      <c r="G296" t="inlineStr">
        <is>
          <t>TAK</t>
        </is>
      </c>
      <c r="I296" s="20" t="n">
        <v>90</v>
      </c>
      <c r="J296" t="inlineStr">
        <is>
          <t>MP</t>
        </is>
      </c>
      <c r="K296" s="21" t="n">
        <v>0</v>
      </c>
      <c r="L296" s="21" t="n">
        <v>0</v>
      </c>
      <c r="M296" s="21" t="n">
        <v>0</v>
      </c>
      <c r="N296" t="inlineStr">
        <is>
          <t>Zrębka Produkcyjna Leśna</t>
        </is>
      </c>
      <c r="O296" t="inlineStr">
        <is>
          <t>B</t>
        </is>
      </c>
      <c r="Q296" s="21" t="n">
        <v>0</v>
      </c>
      <c r="R296" t="inlineStr">
        <is>
          <t>własny (Kretek)</t>
        </is>
      </c>
      <c r="S296" t="inlineStr">
        <is>
          <t>SK 7J885</t>
        </is>
      </c>
      <c r="T296" s="22" t="n">
        <v>40</v>
      </c>
      <c r="U296" s="21" t="n">
        <v>5</v>
      </c>
      <c r="V296" s="21" t="n">
        <v>200</v>
      </c>
      <c r="W296" t="inlineStr">
        <is>
          <t>Magazyn Pyskowice</t>
        </is>
      </c>
      <c r="X296" t="inlineStr">
        <is>
          <t>Magazyn Zabrze</t>
        </is>
      </c>
      <c r="Z296" t="inlineStr">
        <is>
          <t>Roesner Mateusz</t>
        </is>
      </c>
      <c r="AA296" s="23" t="n">
        <v>46244.41621527778</v>
      </c>
      <c r="AB296" t="inlineStr">
        <is>
          <t>OP-MIGR-00295</t>
        </is>
      </c>
      <c r="AD296" t="inlineStr">
        <is>
          <t>AKTYWNY</t>
        </is>
      </c>
      <c r="AE296" s="20">
        <f>IF(I296="",0,IF(ISNUMBER(SEARCH("MP",UPPER(J296))),I296,IF(ISNUMBER(SEARCH("TON",UPPER(J296))),I296/Przelicznik_MP_tona,IF(ISNUMBER(SEARCH("M3",UPPER(J296))),I296*Przelicznik_M3_MP,IF(ISNUMBER(SEARCH("GJ",UPPER(J296))),I296/Przelicznik_GJ_tona/Przelicznik_MP_tona,I296)))))</f>
        <v/>
      </c>
      <c r="AF296" s="20">
        <f>IF(I296="",0,IF(ISNUMBER(SEARCH("TON",UPPER(J296))),I296,IF(ISNUMBER(SEARCH("GJ",UPPER(J296))),I296/Przelicznik_GJ_tona,AE296*Przelicznik_MP_tona)))</f>
        <v/>
      </c>
      <c r="AG296" s="20">
        <f>AF296*Przelicznik_GJ_tona</f>
        <v/>
      </c>
      <c r="AH296" s="20">
        <f>IF(UPPER(AD296)="SKORYGOWANY",0,IF(OR(UPPER(E296)="TRANSPORT",UPPER(E296)="MM"),0,IF(UPPER(G296)&lt;&gt;"TAK",0,IF(OR(UPPER(E296)="ZAKUP",UPPER(E296)="PRODUKCJA"),AE296,IF(OR(UPPER(E296)="SPRZEDAŻ",UPPER(E296)="ZUŻYCIE"),-AE296,0)))))</f>
        <v/>
      </c>
      <c r="AI296" s="20">
        <f>IF(UPPER(AD296)="SKORYGOWANY",0,IF(OR(UPPER(E296)="TRANSPORT",UPPER(E296)="MM"),0,IF(UPPER(G296)&lt;&gt;"TAK",0,IF(OR(UPPER(E296)="ZAKUP",UPPER(E296)="PRODUKCJA"),AF296,IF(OR(UPPER(E296)="SPRZEDAŻ",UPPER(E296)="ZUŻYCIE"),-AF296,0)))))</f>
        <v/>
      </c>
      <c r="AJ296" s="21">
        <f>IF(UPPER(AD296)="SKORYGOWANY",0,IF(UPPER(E296)="ZAKUP",IF(L296&lt;&gt;"",L296,I296*K296),0))</f>
        <v/>
      </c>
      <c r="AK296" s="21">
        <f>IF(UPPER(AD296)="SKORYGOWANY",0,IF(UPPER(E296)="SPRZEDAŻ",IF(L296&lt;&gt;"",L296,I296*M296),0))</f>
        <v/>
      </c>
      <c r="AL296" s="21">
        <f>AE296*Q296</f>
        <v/>
      </c>
      <c r="AM296">
        <f>IF(R296="","",IF(LOWER(R296)="brak","Brak",IF(OR(ISNUMBER(SEARCH("własn",LOWER(R296))),ISNUMBER(SEARCH("wlasn",LOWER(R296))),ISNUMBER(SEARCH("wojciechowski",LOWER(R296)))),"Własny","Zewnętrzny")))</f>
        <v/>
      </c>
      <c r="AN296" s="24">
        <f>IF(C296="","",YEAR(C296))</f>
        <v/>
      </c>
      <c r="AO296" s="24">
        <f>IF(C296="","",MONTH(C296))</f>
        <v/>
      </c>
      <c r="AP296">
        <f>IF(C296="","",UPPER(TEXT(C296,"mmmm")))</f>
        <v/>
      </c>
      <c r="AQ296">
        <f>IF(C296="","","Q"&amp;ROUNDUP(MONTH(C296)/3,0))</f>
        <v/>
      </c>
    </row>
    <row r="297">
      <c r="A297" s="19" t="n">
        <v>46239</v>
      </c>
      <c r="B297" t="inlineStr">
        <is>
          <t>Magazyn Pyskowice</t>
        </is>
      </c>
      <c r="C297" s="19" t="n">
        <v>46239</v>
      </c>
      <c r="D297" t="inlineStr">
        <is>
          <t>Magazyn Pyskowice</t>
        </is>
      </c>
      <c r="E297" t="inlineStr">
        <is>
          <t>SPRZEDAŻ</t>
        </is>
      </c>
      <c r="F297" t="inlineStr">
        <is>
          <t>WZ-1</t>
        </is>
      </c>
      <c r="G297" t="inlineStr">
        <is>
          <t>TAK</t>
        </is>
      </c>
      <c r="H297" t="inlineStr">
        <is>
          <t>KZR</t>
        </is>
      </c>
      <c r="I297" s="20" t="n">
        <v>90</v>
      </c>
      <c r="J297" t="inlineStr">
        <is>
          <t>MP</t>
        </is>
      </c>
      <c r="K297" s="21" t="n">
        <v>0</v>
      </c>
      <c r="L297" s="21" t="n">
        <v>0</v>
      </c>
      <c r="M297" s="21" t="n">
        <v>0</v>
      </c>
      <c r="N297" t="inlineStr">
        <is>
          <t>Zrębka Produkcyjna Leśna</t>
        </is>
      </c>
      <c r="O297" t="inlineStr">
        <is>
          <t>B</t>
        </is>
      </c>
      <c r="Q297" s="21" t="n">
        <v>0</v>
      </c>
      <c r="R297" t="inlineStr">
        <is>
          <t>własny (Kretek)</t>
        </is>
      </c>
      <c r="S297" t="inlineStr">
        <is>
          <t>SK 7J885</t>
        </is>
      </c>
      <c r="T297" s="22" t="n">
        <v>107</v>
      </c>
      <c r="U297" s="21" t="n">
        <v>5</v>
      </c>
      <c r="V297" s="21" t="n">
        <v>535</v>
      </c>
      <c r="W297" t="inlineStr">
        <is>
          <t>Re Alloys, Łaziska</t>
        </is>
      </c>
      <c r="Z297" t="inlineStr">
        <is>
          <t>Roesner Mateusz</t>
        </is>
      </c>
      <c r="AA297" s="23" t="n">
        <v>46244.4189699074</v>
      </c>
      <c r="AB297" t="inlineStr">
        <is>
          <t>OP-MIGR-00296</t>
        </is>
      </c>
      <c r="AD297" t="inlineStr">
        <is>
          <t>AKTYWNY</t>
        </is>
      </c>
      <c r="AE297" s="20">
        <f>IF(I297="",0,IF(ISNUMBER(SEARCH("MP",UPPER(J297))),I297,IF(ISNUMBER(SEARCH("TON",UPPER(J297))),I297/Przelicznik_MP_tona,IF(ISNUMBER(SEARCH("M3",UPPER(J297))),I297*Przelicznik_M3_MP,IF(ISNUMBER(SEARCH("GJ",UPPER(J297))),I297/Przelicznik_GJ_tona/Przelicznik_MP_tona,I297)))))</f>
        <v/>
      </c>
      <c r="AF297" s="20">
        <f>IF(I297="",0,IF(ISNUMBER(SEARCH("TON",UPPER(J297))),I297,IF(ISNUMBER(SEARCH("GJ",UPPER(J297))),I297/Przelicznik_GJ_tona,AE297*Przelicznik_MP_tona)))</f>
        <v/>
      </c>
      <c r="AG297" s="20">
        <f>AF297*Przelicznik_GJ_tona</f>
        <v/>
      </c>
      <c r="AH297" s="20">
        <f>IF(UPPER(AD297)="SKORYGOWANY",0,IF(OR(UPPER(E297)="TRANSPORT",UPPER(E297)="MM"),0,IF(UPPER(G297)&lt;&gt;"TAK",0,IF(OR(UPPER(E297)="ZAKUP",UPPER(E297)="PRODUKCJA"),AE297,IF(OR(UPPER(E297)="SPRZEDAŻ",UPPER(E297)="ZUŻYCIE"),-AE297,0)))))</f>
        <v/>
      </c>
      <c r="AI297" s="20">
        <f>IF(UPPER(AD297)="SKORYGOWANY",0,IF(OR(UPPER(E297)="TRANSPORT",UPPER(E297)="MM"),0,IF(UPPER(G297)&lt;&gt;"TAK",0,IF(OR(UPPER(E297)="ZAKUP",UPPER(E297)="PRODUKCJA"),AF297,IF(OR(UPPER(E297)="SPRZEDAŻ",UPPER(E297)="ZUŻYCIE"),-AF297,0)))))</f>
        <v/>
      </c>
      <c r="AJ297" s="21">
        <f>IF(UPPER(AD297)="SKORYGOWANY",0,IF(UPPER(E297)="ZAKUP",IF(L297&lt;&gt;"",L297,I297*K297),0))</f>
        <v/>
      </c>
      <c r="AK297" s="21">
        <f>IF(UPPER(AD297)="SKORYGOWANY",0,IF(UPPER(E297)="SPRZEDAŻ",IF(L297&lt;&gt;"",L297,I297*M297),0))</f>
        <v/>
      </c>
      <c r="AL297" s="21">
        <f>AE297*Q297</f>
        <v/>
      </c>
      <c r="AM297">
        <f>IF(R297="","",IF(LOWER(R297)="brak","Brak",IF(OR(ISNUMBER(SEARCH("własn",LOWER(R297))),ISNUMBER(SEARCH("wlasn",LOWER(R297))),ISNUMBER(SEARCH("wojciechowski",LOWER(R297)))),"Własny","Zewnętrzny")))</f>
        <v/>
      </c>
      <c r="AN297" s="24">
        <f>IF(C297="","",YEAR(C297))</f>
        <v/>
      </c>
      <c r="AO297" s="24">
        <f>IF(C297="","",MONTH(C297))</f>
        <v/>
      </c>
      <c r="AP297">
        <f>IF(C297="","",UPPER(TEXT(C297,"mmmm")))</f>
        <v/>
      </c>
      <c r="AQ297">
        <f>IF(C297="","","Q"&amp;ROUNDUP(MONTH(C297)/3,0))</f>
        <v/>
      </c>
    </row>
    <row r="298">
      <c r="A298" s="19" t="n">
        <v>46239</v>
      </c>
      <c r="B298" t="inlineStr">
        <is>
          <t>Magazyn Zabrze</t>
        </is>
      </c>
      <c r="C298" s="19" t="n">
        <v>46239</v>
      </c>
      <c r="D298" t="inlineStr">
        <is>
          <t>Magazyn Zabrze</t>
        </is>
      </c>
      <c r="E298" t="inlineStr">
        <is>
          <t>MM</t>
        </is>
      </c>
      <c r="F298" t="inlineStr">
        <is>
          <t>MM-56</t>
        </is>
      </c>
      <c r="G298" t="inlineStr">
        <is>
          <t>TAK</t>
        </is>
      </c>
      <c r="I298" s="20" t="n">
        <v>90</v>
      </c>
      <c r="J298" t="inlineStr">
        <is>
          <t>MP</t>
        </is>
      </c>
      <c r="K298" s="21" t="n">
        <v>0</v>
      </c>
      <c r="L298" s="21" t="n">
        <v>0</v>
      </c>
      <c r="M298" s="21" t="n">
        <v>0</v>
      </c>
      <c r="N298" t="inlineStr">
        <is>
          <t>Zrębka Produkcyjna Leśna</t>
        </is>
      </c>
      <c r="O298" t="inlineStr">
        <is>
          <t>B</t>
        </is>
      </c>
      <c r="Q298" s="21" t="n">
        <v>0</v>
      </c>
      <c r="R298" t="inlineStr">
        <is>
          <t>własny (Wilczak)</t>
        </is>
      </c>
      <c r="S298" t="inlineStr">
        <is>
          <t>SK 7J884</t>
        </is>
      </c>
      <c r="T298" s="22" t="n">
        <v>40</v>
      </c>
      <c r="U298" s="21" t="n">
        <v>5</v>
      </c>
      <c r="V298" s="21" t="n">
        <v>200</v>
      </c>
      <c r="W298" t="inlineStr">
        <is>
          <t>Magazyn Pyskowice</t>
        </is>
      </c>
      <c r="X298" t="inlineStr">
        <is>
          <t>Magazyn Zabrze</t>
        </is>
      </c>
      <c r="Z298" t="inlineStr">
        <is>
          <t>Roesner Mateusz</t>
        </is>
      </c>
      <c r="AA298" s="23" t="n">
        <v>46244.42056712963</v>
      </c>
      <c r="AB298" t="inlineStr">
        <is>
          <t>OP-MIGR-00297</t>
        </is>
      </c>
      <c r="AD298" t="inlineStr">
        <is>
          <t>AKTYWNY</t>
        </is>
      </c>
      <c r="AE298" s="20">
        <f>IF(I298="",0,IF(ISNUMBER(SEARCH("MP",UPPER(J298))),I298,IF(ISNUMBER(SEARCH("TON",UPPER(J298))),I298/Przelicznik_MP_tona,IF(ISNUMBER(SEARCH("M3",UPPER(J298))),I298*Przelicznik_M3_MP,IF(ISNUMBER(SEARCH("GJ",UPPER(J298))),I298/Przelicznik_GJ_tona/Przelicznik_MP_tona,I298)))))</f>
        <v/>
      </c>
      <c r="AF298" s="20">
        <f>IF(I298="",0,IF(ISNUMBER(SEARCH("TON",UPPER(J298))),I298,IF(ISNUMBER(SEARCH("GJ",UPPER(J298))),I298/Przelicznik_GJ_tona,AE298*Przelicznik_MP_tona)))</f>
        <v/>
      </c>
      <c r="AG298" s="20">
        <f>AF298*Przelicznik_GJ_tona</f>
        <v/>
      </c>
      <c r="AH298" s="20">
        <f>IF(UPPER(AD298)="SKORYGOWANY",0,IF(OR(UPPER(E298)="TRANSPORT",UPPER(E298)="MM"),0,IF(UPPER(G298)&lt;&gt;"TAK",0,IF(OR(UPPER(E298)="ZAKUP",UPPER(E298)="PRODUKCJA"),AE298,IF(OR(UPPER(E298)="SPRZEDAŻ",UPPER(E298)="ZUŻYCIE"),-AE298,0)))))</f>
        <v/>
      </c>
      <c r="AI298" s="20">
        <f>IF(UPPER(AD298)="SKORYGOWANY",0,IF(OR(UPPER(E298)="TRANSPORT",UPPER(E298)="MM"),0,IF(UPPER(G298)&lt;&gt;"TAK",0,IF(OR(UPPER(E298)="ZAKUP",UPPER(E298)="PRODUKCJA"),AF298,IF(OR(UPPER(E298)="SPRZEDAŻ",UPPER(E298)="ZUŻYCIE"),-AF298,0)))))</f>
        <v/>
      </c>
      <c r="AJ298" s="21">
        <f>IF(UPPER(AD298)="SKORYGOWANY",0,IF(UPPER(E298)="ZAKUP",IF(L298&lt;&gt;"",L298,I298*K298),0))</f>
        <v/>
      </c>
      <c r="AK298" s="21">
        <f>IF(UPPER(AD298)="SKORYGOWANY",0,IF(UPPER(E298)="SPRZEDAŻ",IF(L298&lt;&gt;"",L298,I298*M298),0))</f>
        <v/>
      </c>
      <c r="AL298" s="21">
        <f>AE298*Q298</f>
        <v/>
      </c>
      <c r="AM298">
        <f>IF(R298="","",IF(LOWER(R298)="brak","Brak",IF(OR(ISNUMBER(SEARCH("własn",LOWER(R298))),ISNUMBER(SEARCH("wlasn",LOWER(R298))),ISNUMBER(SEARCH("wojciechowski",LOWER(R298)))),"Własny","Zewnętrzny")))</f>
        <v/>
      </c>
      <c r="AN298" s="24">
        <f>IF(C298="","",YEAR(C298))</f>
        <v/>
      </c>
      <c r="AO298" s="24">
        <f>IF(C298="","",MONTH(C298))</f>
        <v/>
      </c>
      <c r="AP298">
        <f>IF(C298="","",UPPER(TEXT(C298,"mmmm")))</f>
        <v/>
      </c>
      <c r="AQ298">
        <f>IF(C298="","","Q"&amp;ROUNDUP(MONTH(C298)/3,0))</f>
        <v/>
      </c>
    </row>
    <row r="299">
      <c r="A299" s="19" t="n">
        <v>46239</v>
      </c>
      <c r="B299" t="inlineStr">
        <is>
          <t>Magazyn Pyskowice</t>
        </is>
      </c>
      <c r="C299" s="19" t="n">
        <v>46239</v>
      </c>
      <c r="D299" t="inlineStr">
        <is>
          <t>Magazyn Pyskowice</t>
        </is>
      </c>
      <c r="E299" t="inlineStr">
        <is>
          <t>SPRZEDAŻ</t>
        </is>
      </c>
      <c r="F299" t="inlineStr">
        <is>
          <t>WZ-2</t>
        </is>
      </c>
      <c r="G299" t="inlineStr">
        <is>
          <t>TAK</t>
        </is>
      </c>
      <c r="H299" t="inlineStr">
        <is>
          <t>KZR</t>
        </is>
      </c>
      <c r="I299" s="20" t="n">
        <v>90</v>
      </c>
      <c r="J299" t="inlineStr">
        <is>
          <t>MP</t>
        </is>
      </c>
      <c r="K299" s="21" t="n">
        <v>0</v>
      </c>
      <c r="L299" s="21" t="n">
        <v>0</v>
      </c>
      <c r="M299" s="21" t="n">
        <v>0</v>
      </c>
      <c r="N299" t="inlineStr">
        <is>
          <t>Zrębka Produkcyjna Leśna</t>
        </is>
      </c>
      <c r="O299" t="inlineStr">
        <is>
          <t>B</t>
        </is>
      </c>
      <c r="Q299" s="21" t="n">
        <v>0</v>
      </c>
      <c r="R299" t="inlineStr">
        <is>
          <t>własny (Wilczak)</t>
        </is>
      </c>
      <c r="S299" t="inlineStr">
        <is>
          <t>SK 7J884</t>
        </is>
      </c>
      <c r="T299" s="22" t="n">
        <v>107</v>
      </c>
      <c r="U299" s="21" t="n">
        <v>5</v>
      </c>
      <c r="V299" s="21" t="n">
        <v>535</v>
      </c>
      <c r="W299" t="inlineStr">
        <is>
          <t>Re Alloys, Łaziska</t>
        </is>
      </c>
      <c r="Z299" t="inlineStr">
        <is>
          <t>Roesner Mateusz</t>
        </is>
      </c>
      <c r="AA299" s="23" t="n">
        <v>46244.42118055555</v>
      </c>
      <c r="AB299" t="inlineStr">
        <is>
          <t>OP-MIGR-00298</t>
        </is>
      </c>
      <c r="AD299" t="inlineStr">
        <is>
          <t>AKTYWNY</t>
        </is>
      </c>
      <c r="AE299" s="20">
        <f>IF(I299="",0,IF(ISNUMBER(SEARCH("MP",UPPER(J299))),I299,IF(ISNUMBER(SEARCH("TON",UPPER(J299))),I299/Przelicznik_MP_tona,IF(ISNUMBER(SEARCH("M3",UPPER(J299))),I299*Przelicznik_M3_MP,IF(ISNUMBER(SEARCH("GJ",UPPER(J299))),I299/Przelicznik_GJ_tona/Przelicznik_MP_tona,I299)))))</f>
        <v/>
      </c>
      <c r="AF299" s="20">
        <f>IF(I299="",0,IF(ISNUMBER(SEARCH("TON",UPPER(J299))),I299,IF(ISNUMBER(SEARCH("GJ",UPPER(J299))),I299/Przelicznik_GJ_tona,AE299*Przelicznik_MP_tona)))</f>
        <v/>
      </c>
      <c r="AG299" s="20">
        <f>AF299*Przelicznik_GJ_tona</f>
        <v/>
      </c>
      <c r="AH299" s="20">
        <f>IF(UPPER(AD299)="SKORYGOWANY",0,IF(OR(UPPER(E299)="TRANSPORT",UPPER(E299)="MM"),0,IF(UPPER(G299)&lt;&gt;"TAK",0,IF(OR(UPPER(E299)="ZAKUP",UPPER(E299)="PRODUKCJA"),AE299,IF(OR(UPPER(E299)="SPRZEDAŻ",UPPER(E299)="ZUŻYCIE"),-AE299,0)))))</f>
        <v/>
      </c>
      <c r="AI299" s="20">
        <f>IF(UPPER(AD299)="SKORYGOWANY",0,IF(OR(UPPER(E299)="TRANSPORT",UPPER(E299)="MM"),0,IF(UPPER(G299)&lt;&gt;"TAK",0,IF(OR(UPPER(E299)="ZAKUP",UPPER(E299)="PRODUKCJA"),AF299,IF(OR(UPPER(E299)="SPRZEDAŻ",UPPER(E299)="ZUŻYCIE"),-AF299,0)))))</f>
        <v/>
      </c>
      <c r="AJ299" s="21">
        <f>IF(UPPER(AD299)="SKORYGOWANY",0,IF(UPPER(E299)="ZAKUP",IF(L299&lt;&gt;"",L299,I299*K299),0))</f>
        <v/>
      </c>
      <c r="AK299" s="21">
        <f>IF(UPPER(AD299)="SKORYGOWANY",0,IF(UPPER(E299)="SPRZEDAŻ",IF(L299&lt;&gt;"",L299,I299*M299),0))</f>
        <v/>
      </c>
      <c r="AL299" s="21">
        <f>AE299*Q299</f>
        <v/>
      </c>
      <c r="AM299">
        <f>IF(R299="","",IF(LOWER(R299)="brak","Brak",IF(OR(ISNUMBER(SEARCH("własn",LOWER(R299))),ISNUMBER(SEARCH("wlasn",LOWER(R299))),ISNUMBER(SEARCH("wojciechowski",LOWER(R299)))),"Własny","Zewnętrzny")))</f>
        <v/>
      </c>
      <c r="AN299" s="24">
        <f>IF(C299="","",YEAR(C299))</f>
        <v/>
      </c>
      <c r="AO299" s="24">
        <f>IF(C299="","",MONTH(C299))</f>
        <v/>
      </c>
      <c r="AP299">
        <f>IF(C299="","",UPPER(TEXT(C299,"mmmm")))</f>
        <v/>
      </c>
      <c r="AQ299">
        <f>IF(C299="","","Q"&amp;ROUNDUP(MONTH(C299)/3,0))</f>
        <v/>
      </c>
    </row>
    <row r="300">
      <c r="A300" s="19" t="n">
        <v>46239</v>
      </c>
      <c r="B300" t="inlineStr">
        <is>
          <t>Magazyn Zabrze</t>
        </is>
      </c>
      <c r="C300" s="19" t="n">
        <v>46239</v>
      </c>
      <c r="D300" t="inlineStr">
        <is>
          <t>Magazyn Zabrze</t>
        </is>
      </c>
      <c r="E300" t="inlineStr">
        <is>
          <t>MM</t>
        </is>
      </c>
      <c r="F300" t="inlineStr">
        <is>
          <t>MM-57</t>
        </is>
      </c>
      <c r="G300" t="inlineStr">
        <is>
          <t>TAK</t>
        </is>
      </c>
      <c r="I300" s="20" t="n">
        <v>90</v>
      </c>
      <c r="J300" t="inlineStr">
        <is>
          <t>MP</t>
        </is>
      </c>
      <c r="K300" s="21" t="n">
        <v>0</v>
      </c>
      <c r="L300" s="21" t="n">
        <v>0</v>
      </c>
      <c r="M300" s="21" t="n">
        <v>0</v>
      </c>
      <c r="N300" t="inlineStr">
        <is>
          <t>Zrębka Produkcyjna Leśna</t>
        </is>
      </c>
      <c r="O300" t="inlineStr">
        <is>
          <t>B</t>
        </is>
      </c>
      <c r="Q300" s="21" t="n">
        <v>0</v>
      </c>
      <c r="R300" t="inlineStr">
        <is>
          <t>własny (Chrzan)</t>
        </is>
      </c>
      <c r="S300" t="inlineStr">
        <is>
          <t>SK 5L809</t>
        </is>
      </c>
      <c r="T300" s="22" t="n">
        <v>40</v>
      </c>
      <c r="U300" s="21" t="n">
        <v>5</v>
      </c>
      <c r="V300" s="21" t="n">
        <v>200</v>
      </c>
      <c r="W300" t="inlineStr">
        <is>
          <t>Magazyn Pyskowice</t>
        </is>
      </c>
      <c r="X300" t="inlineStr">
        <is>
          <t>Magazyn Zabrze</t>
        </is>
      </c>
      <c r="Z300" t="inlineStr">
        <is>
          <t>Roesner Mateusz</t>
        </is>
      </c>
      <c r="AA300" s="23" t="n">
        <v>46244.42288194445</v>
      </c>
      <c r="AB300" t="inlineStr">
        <is>
          <t>OP-MIGR-00299</t>
        </is>
      </c>
      <c r="AD300" t="inlineStr">
        <is>
          <t>AKTYWNY</t>
        </is>
      </c>
      <c r="AE300" s="20">
        <f>IF(I300="",0,IF(ISNUMBER(SEARCH("MP",UPPER(J300))),I300,IF(ISNUMBER(SEARCH("TON",UPPER(J300))),I300/Przelicznik_MP_tona,IF(ISNUMBER(SEARCH("M3",UPPER(J300))),I300*Przelicznik_M3_MP,IF(ISNUMBER(SEARCH("GJ",UPPER(J300))),I300/Przelicznik_GJ_tona/Przelicznik_MP_tona,I300)))))</f>
        <v/>
      </c>
      <c r="AF300" s="20">
        <f>IF(I300="",0,IF(ISNUMBER(SEARCH("TON",UPPER(J300))),I300,IF(ISNUMBER(SEARCH("GJ",UPPER(J300))),I300/Przelicznik_GJ_tona,AE300*Przelicznik_MP_tona)))</f>
        <v/>
      </c>
      <c r="AG300" s="20">
        <f>AF300*Przelicznik_GJ_tona</f>
        <v/>
      </c>
      <c r="AH300" s="20">
        <f>IF(UPPER(AD300)="SKORYGOWANY",0,IF(OR(UPPER(E300)="TRANSPORT",UPPER(E300)="MM"),0,IF(UPPER(G300)&lt;&gt;"TAK",0,IF(OR(UPPER(E300)="ZAKUP",UPPER(E300)="PRODUKCJA"),AE300,IF(OR(UPPER(E300)="SPRZEDAŻ",UPPER(E300)="ZUŻYCIE"),-AE300,0)))))</f>
        <v/>
      </c>
      <c r="AI300" s="20">
        <f>IF(UPPER(AD300)="SKORYGOWANY",0,IF(OR(UPPER(E300)="TRANSPORT",UPPER(E300)="MM"),0,IF(UPPER(G300)&lt;&gt;"TAK",0,IF(OR(UPPER(E300)="ZAKUP",UPPER(E300)="PRODUKCJA"),AF300,IF(OR(UPPER(E300)="SPRZEDAŻ",UPPER(E300)="ZUŻYCIE"),-AF300,0)))))</f>
        <v/>
      </c>
      <c r="AJ300" s="21">
        <f>IF(UPPER(AD300)="SKORYGOWANY",0,IF(UPPER(E300)="ZAKUP",IF(L300&lt;&gt;"",L300,I300*K300),0))</f>
        <v/>
      </c>
      <c r="AK300" s="21">
        <f>IF(UPPER(AD300)="SKORYGOWANY",0,IF(UPPER(E300)="SPRZEDAŻ",IF(L300&lt;&gt;"",L300,I300*M300),0))</f>
        <v/>
      </c>
      <c r="AL300" s="21">
        <f>AE300*Q300</f>
        <v/>
      </c>
      <c r="AM300">
        <f>IF(R300="","",IF(LOWER(R300)="brak","Brak",IF(OR(ISNUMBER(SEARCH("własn",LOWER(R300))),ISNUMBER(SEARCH("wlasn",LOWER(R300))),ISNUMBER(SEARCH("wojciechowski",LOWER(R300)))),"Własny","Zewnętrzny")))</f>
        <v/>
      </c>
      <c r="AN300" s="24">
        <f>IF(C300="","",YEAR(C300))</f>
        <v/>
      </c>
      <c r="AO300" s="24">
        <f>IF(C300="","",MONTH(C300))</f>
        <v/>
      </c>
      <c r="AP300">
        <f>IF(C300="","",UPPER(TEXT(C300,"mmmm")))</f>
        <v/>
      </c>
      <c r="AQ300">
        <f>IF(C300="","","Q"&amp;ROUNDUP(MONTH(C300)/3,0))</f>
        <v/>
      </c>
    </row>
    <row r="301">
      <c r="A301" s="19" t="n">
        <v>46239</v>
      </c>
      <c r="B301" t="inlineStr">
        <is>
          <t>Magazyn Pyskowice</t>
        </is>
      </c>
      <c r="C301" s="19" t="n">
        <v>46239</v>
      </c>
      <c r="D301" t="inlineStr">
        <is>
          <t>Magazyn Pyskowice</t>
        </is>
      </c>
      <c r="E301" t="inlineStr">
        <is>
          <t>SPRZEDAŻ</t>
        </is>
      </c>
      <c r="F301" t="inlineStr">
        <is>
          <t>WZ-3</t>
        </is>
      </c>
      <c r="G301" t="inlineStr">
        <is>
          <t>TAK</t>
        </is>
      </c>
      <c r="H301" t="inlineStr">
        <is>
          <t>KZR</t>
        </is>
      </c>
      <c r="I301" s="20" t="n">
        <v>90</v>
      </c>
      <c r="J301" t="inlineStr">
        <is>
          <t>MP</t>
        </is>
      </c>
      <c r="K301" s="21" t="n">
        <v>0</v>
      </c>
      <c r="L301" s="21" t="n">
        <v>0</v>
      </c>
      <c r="M301" s="21" t="n">
        <v>0</v>
      </c>
      <c r="N301" t="inlineStr">
        <is>
          <t>Zrębka Produkcyjna Leśna</t>
        </is>
      </c>
      <c r="O301" t="inlineStr">
        <is>
          <t>B</t>
        </is>
      </c>
      <c r="Q301" s="21" t="n">
        <v>0</v>
      </c>
      <c r="R301" t="inlineStr">
        <is>
          <t>własny (Chrzan)</t>
        </is>
      </c>
      <c r="S301" t="inlineStr">
        <is>
          <t>SK 5L809</t>
        </is>
      </c>
      <c r="T301" s="22" t="n">
        <v>107</v>
      </c>
      <c r="U301" s="21" t="n">
        <v>5</v>
      </c>
      <c r="V301" s="21" t="n">
        <v>535</v>
      </c>
      <c r="W301" t="inlineStr">
        <is>
          <t>Re Alloys, Łaziska</t>
        </is>
      </c>
      <c r="Z301" t="inlineStr">
        <is>
          <t>Roesner Mateusz</t>
        </is>
      </c>
      <c r="AA301" s="23" t="n">
        <v>46244.4240625</v>
      </c>
      <c r="AB301" t="inlineStr">
        <is>
          <t>OP-MIGR-00300</t>
        </is>
      </c>
      <c r="AD301" t="inlineStr">
        <is>
          <t>AKTYWNY</t>
        </is>
      </c>
      <c r="AE301" s="20">
        <f>IF(I301="",0,IF(ISNUMBER(SEARCH("MP",UPPER(J301))),I301,IF(ISNUMBER(SEARCH("TON",UPPER(J301))),I301/Przelicznik_MP_tona,IF(ISNUMBER(SEARCH("M3",UPPER(J301))),I301*Przelicznik_M3_MP,IF(ISNUMBER(SEARCH("GJ",UPPER(J301))),I301/Przelicznik_GJ_tona/Przelicznik_MP_tona,I301)))))</f>
        <v/>
      </c>
      <c r="AF301" s="20">
        <f>IF(I301="",0,IF(ISNUMBER(SEARCH("TON",UPPER(J301))),I301,IF(ISNUMBER(SEARCH("GJ",UPPER(J301))),I301/Przelicznik_GJ_tona,AE301*Przelicznik_MP_tona)))</f>
        <v/>
      </c>
      <c r="AG301" s="20">
        <f>AF301*Przelicznik_GJ_tona</f>
        <v/>
      </c>
      <c r="AH301" s="20">
        <f>IF(UPPER(AD301)="SKORYGOWANY",0,IF(OR(UPPER(E301)="TRANSPORT",UPPER(E301)="MM"),0,IF(UPPER(G301)&lt;&gt;"TAK",0,IF(OR(UPPER(E301)="ZAKUP",UPPER(E301)="PRODUKCJA"),AE301,IF(OR(UPPER(E301)="SPRZEDAŻ",UPPER(E301)="ZUŻYCIE"),-AE301,0)))))</f>
        <v/>
      </c>
      <c r="AI301" s="20">
        <f>IF(UPPER(AD301)="SKORYGOWANY",0,IF(OR(UPPER(E301)="TRANSPORT",UPPER(E301)="MM"),0,IF(UPPER(G301)&lt;&gt;"TAK",0,IF(OR(UPPER(E301)="ZAKUP",UPPER(E301)="PRODUKCJA"),AF301,IF(OR(UPPER(E301)="SPRZEDAŻ",UPPER(E301)="ZUŻYCIE"),-AF301,0)))))</f>
        <v/>
      </c>
      <c r="AJ301" s="21">
        <f>IF(UPPER(AD301)="SKORYGOWANY",0,IF(UPPER(E301)="ZAKUP",IF(L301&lt;&gt;"",L301,I301*K301),0))</f>
        <v/>
      </c>
      <c r="AK301" s="21">
        <f>IF(UPPER(AD301)="SKORYGOWANY",0,IF(UPPER(E301)="SPRZEDAŻ",IF(L301&lt;&gt;"",L301,I301*M301),0))</f>
        <v/>
      </c>
      <c r="AL301" s="21">
        <f>AE301*Q301</f>
        <v/>
      </c>
      <c r="AM301">
        <f>IF(R301="","",IF(LOWER(R301)="brak","Brak",IF(OR(ISNUMBER(SEARCH("własn",LOWER(R301))),ISNUMBER(SEARCH("wlasn",LOWER(R301))),ISNUMBER(SEARCH("wojciechowski",LOWER(R301)))),"Własny","Zewnętrzny")))</f>
        <v/>
      </c>
      <c r="AN301" s="24">
        <f>IF(C301="","",YEAR(C301))</f>
        <v/>
      </c>
      <c r="AO301" s="24">
        <f>IF(C301="","",MONTH(C301))</f>
        <v/>
      </c>
      <c r="AP301">
        <f>IF(C301="","",UPPER(TEXT(C301,"mmmm")))</f>
        <v/>
      </c>
      <c r="AQ301">
        <f>IF(C301="","","Q"&amp;ROUNDUP(MONTH(C301)/3,0))</f>
        <v/>
      </c>
    </row>
    <row r="302">
      <c r="A302" s="19" t="n">
        <v>46239</v>
      </c>
      <c r="B302" t="inlineStr">
        <is>
          <t>Magazyn Zabrze</t>
        </is>
      </c>
      <c r="C302" s="19" t="n">
        <v>46239</v>
      </c>
      <c r="D302" t="inlineStr">
        <is>
          <t>Magazyn Zabrze</t>
        </is>
      </c>
      <c r="E302" t="inlineStr">
        <is>
          <t>MM</t>
        </is>
      </c>
      <c r="F302" t="inlineStr">
        <is>
          <t>MM-58</t>
        </is>
      </c>
      <c r="G302" t="inlineStr">
        <is>
          <t>TAK</t>
        </is>
      </c>
      <c r="I302" s="20" t="n">
        <v>90</v>
      </c>
      <c r="J302" t="inlineStr">
        <is>
          <t>MP</t>
        </is>
      </c>
      <c r="K302" s="21" t="n">
        <v>0</v>
      </c>
      <c r="L302" s="21" t="n">
        <v>0</v>
      </c>
      <c r="M302" s="21" t="n">
        <v>0</v>
      </c>
      <c r="N302" t="inlineStr">
        <is>
          <t>Zrębka Produkcyjna Leśna</t>
        </is>
      </c>
      <c r="O302" t="inlineStr">
        <is>
          <t>B</t>
        </is>
      </c>
      <c r="Q302" s="21" t="n">
        <v>0</v>
      </c>
      <c r="R302" t="inlineStr">
        <is>
          <t>własny (Kretek)</t>
        </is>
      </c>
      <c r="S302" t="inlineStr">
        <is>
          <t>SK 7J885</t>
        </is>
      </c>
      <c r="T302" s="22" t="n">
        <v>40</v>
      </c>
      <c r="U302" s="21" t="n">
        <v>5</v>
      </c>
      <c r="V302" s="21" t="n">
        <v>200</v>
      </c>
      <c r="W302" t="inlineStr">
        <is>
          <t>Magazyn Pyskowice</t>
        </is>
      </c>
      <c r="X302" t="inlineStr">
        <is>
          <t>Magazyn Zabrze</t>
        </is>
      </c>
      <c r="Z302" t="inlineStr">
        <is>
          <t>Roesner Mateusz</t>
        </is>
      </c>
      <c r="AA302" s="23" t="n">
        <v>46244.42543981481</v>
      </c>
      <c r="AB302" t="inlineStr">
        <is>
          <t>OP-MIGR-00301</t>
        </is>
      </c>
      <c r="AD302" t="inlineStr">
        <is>
          <t>AKTYWNY</t>
        </is>
      </c>
      <c r="AE302" s="20">
        <f>IF(I302="",0,IF(ISNUMBER(SEARCH("MP",UPPER(J302))),I302,IF(ISNUMBER(SEARCH("TON",UPPER(J302))),I302/Przelicznik_MP_tona,IF(ISNUMBER(SEARCH("M3",UPPER(J302))),I302*Przelicznik_M3_MP,IF(ISNUMBER(SEARCH("GJ",UPPER(J302))),I302/Przelicznik_GJ_tona/Przelicznik_MP_tona,I302)))))</f>
        <v/>
      </c>
      <c r="AF302" s="20">
        <f>IF(I302="",0,IF(ISNUMBER(SEARCH("TON",UPPER(J302))),I302,IF(ISNUMBER(SEARCH("GJ",UPPER(J302))),I302/Przelicznik_GJ_tona,AE302*Przelicznik_MP_tona)))</f>
        <v/>
      </c>
      <c r="AG302" s="20">
        <f>AF302*Przelicznik_GJ_tona</f>
        <v/>
      </c>
      <c r="AH302" s="20">
        <f>IF(UPPER(AD302)="SKORYGOWANY",0,IF(OR(UPPER(E302)="TRANSPORT",UPPER(E302)="MM"),0,IF(UPPER(G302)&lt;&gt;"TAK",0,IF(OR(UPPER(E302)="ZAKUP",UPPER(E302)="PRODUKCJA"),AE302,IF(OR(UPPER(E302)="SPRZEDAŻ",UPPER(E302)="ZUŻYCIE"),-AE302,0)))))</f>
        <v/>
      </c>
      <c r="AI302" s="20">
        <f>IF(UPPER(AD302)="SKORYGOWANY",0,IF(OR(UPPER(E302)="TRANSPORT",UPPER(E302)="MM"),0,IF(UPPER(G302)&lt;&gt;"TAK",0,IF(OR(UPPER(E302)="ZAKUP",UPPER(E302)="PRODUKCJA"),AF302,IF(OR(UPPER(E302)="SPRZEDAŻ",UPPER(E302)="ZUŻYCIE"),-AF302,0)))))</f>
        <v/>
      </c>
      <c r="AJ302" s="21">
        <f>IF(UPPER(AD302)="SKORYGOWANY",0,IF(UPPER(E302)="ZAKUP",IF(L302&lt;&gt;"",L302,I302*K302),0))</f>
        <v/>
      </c>
      <c r="AK302" s="21">
        <f>IF(UPPER(AD302)="SKORYGOWANY",0,IF(UPPER(E302)="SPRZEDAŻ",IF(L302&lt;&gt;"",L302,I302*M302),0))</f>
        <v/>
      </c>
      <c r="AL302" s="21">
        <f>AE302*Q302</f>
        <v/>
      </c>
      <c r="AM302">
        <f>IF(R302="","",IF(LOWER(R302)="brak","Brak",IF(OR(ISNUMBER(SEARCH("własn",LOWER(R302))),ISNUMBER(SEARCH("wlasn",LOWER(R302))),ISNUMBER(SEARCH("wojciechowski",LOWER(R302)))),"Własny","Zewnętrzny")))</f>
        <v/>
      </c>
      <c r="AN302" s="24">
        <f>IF(C302="","",YEAR(C302))</f>
        <v/>
      </c>
      <c r="AO302" s="24">
        <f>IF(C302="","",MONTH(C302))</f>
        <v/>
      </c>
      <c r="AP302">
        <f>IF(C302="","",UPPER(TEXT(C302,"mmmm")))</f>
        <v/>
      </c>
      <c r="AQ302">
        <f>IF(C302="","","Q"&amp;ROUNDUP(MONTH(C302)/3,0))</f>
        <v/>
      </c>
    </row>
    <row r="303">
      <c r="A303" s="19" t="n">
        <v>46239</v>
      </c>
      <c r="B303" t="inlineStr">
        <is>
          <t>Magazyn Pyskowice</t>
        </is>
      </c>
      <c r="C303" s="19" t="n">
        <v>46239</v>
      </c>
      <c r="D303" t="inlineStr">
        <is>
          <t>Magazyn Pyskowice</t>
        </is>
      </c>
      <c r="E303" t="inlineStr">
        <is>
          <t>SPRZEDAŻ</t>
        </is>
      </c>
      <c r="F303" t="inlineStr">
        <is>
          <t>WZ-4</t>
        </is>
      </c>
      <c r="G303" t="inlineStr">
        <is>
          <t>TAK</t>
        </is>
      </c>
      <c r="H303" t="inlineStr">
        <is>
          <t>KZR</t>
        </is>
      </c>
      <c r="I303" s="20" t="n">
        <v>90</v>
      </c>
      <c r="J303" t="inlineStr">
        <is>
          <t>MP</t>
        </is>
      </c>
      <c r="K303" s="21" t="n">
        <v>0</v>
      </c>
      <c r="L303" s="21" t="n">
        <v>0</v>
      </c>
      <c r="M303" s="21" t="n">
        <v>0</v>
      </c>
      <c r="N303" t="inlineStr">
        <is>
          <t>Zrębka Produkcyjna Leśna</t>
        </is>
      </c>
      <c r="O303" t="inlineStr">
        <is>
          <t>B</t>
        </is>
      </c>
      <c r="Q303" s="21" t="n">
        <v>0</v>
      </c>
      <c r="R303" t="inlineStr">
        <is>
          <t>własny (Kretek)</t>
        </is>
      </c>
      <c r="S303" t="inlineStr">
        <is>
          <t>SK 7J885</t>
        </is>
      </c>
      <c r="T303" s="22" t="n">
        <v>107</v>
      </c>
      <c r="U303" s="21" t="n">
        <v>5</v>
      </c>
      <c r="V303" s="21" t="n">
        <v>535</v>
      </c>
      <c r="W303" t="inlineStr">
        <is>
          <t>Re Alloys, Łaziska</t>
        </is>
      </c>
      <c r="Z303" t="inlineStr">
        <is>
          <t>Roesner Mateusz</t>
        </is>
      </c>
      <c r="AA303" s="23" t="n">
        <v>46244.42649305556</v>
      </c>
      <c r="AB303" t="inlineStr">
        <is>
          <t>OP-MIGR-00302</t>
        </is>
      </c>
      <c r="AD303" t="inlineStr">
        <is>
          <t>AKTYWNY</t>
        </is>
      </c>
      <c r="AE303" s="20">
        <f>IF(I303="",0,IF(ISNUMBER(SEARCH("MP",UPPER(J303))),I303,IF(ISNUMBER(SEARCH("TON",UPPER(J303))),I303/Przelicznik_MP_tona,IF(ISNUMBER(SEARCH("M3",UPPER(J303))),I303*Przelicznik_M3_MP,IF(ISNUMBER(SEARCH("GJ",UPPER(J303))),I303/Przelicznik_GJ_tona/Przelicznik_MP_tona,I303)))))</f>
        <v/>
      </c>
      <c r="AF303" s="20">
        <f>IF(I303="",0,IF(ISNUMBER(SEARCH("TON",UPPER(J303))),I303,IF(ISNUMBER(SEARCH("GJ",UPPER(J303))),I303/Przelicznik_GJ_tona,AE303*Przelicznik_MP_tona)))</f>
        <v/>
      </c>
      <c r="AG303" s="20">
        <f>AF303*Przelicznik_GJ_tona</f>
        <v/>
      </c>
      <c r="AH303" s="20">
        <f>IF(UPPER(AD303)="SKORYGOWANY",0,IF(OR(UPPER(E303)="TRANSPORT",UPPER(E303)="MM"),0,IF(UPPER(G303)&lt;&gt;"TAK",0,IF(OR(UPPER(E303)="ZAKUP",UPPER(E303)="PRODUKCJA"),AE303,IF(OR(UPPER(E303)="SPRZEDAŻ",UPPER(E303)="ZUŻYCIE"),-AE303,0)))))</f>
        <v/>
      </c>
      <c r="AI303" s="20">
        <f>IF(UPPER(AD303)="SKORYGOWANY",0,IF(OR(UPPER(E303)="TRANSPORT",UPPER(E303)="MM"),0,IF(UPPER(G303)&lt;&gt;"TAK",0,IF(OR(UPPER(E303)="ZAKUP",UPPER(E303)="PRODUKCJA"),AF303,IF(OR(UPPER(E303)="SPRZEDAŻ",UPPER(E303)="ZUŻYCIE"),-AF303,0)))))</f>
        <v/>
      </c>
      <c r="AJ303" s="21">
        <f>IF(UPPER(AD303)="SKORYGOWANY",0,IF(UPPER(E303)="ZAKUP",IF(L303&lt;&gt;"",L303,I303*K303),0))</f>
        <v/>
      </c>
      <c r="AK303" s="21">
        <f>IF(UPPER(AD303)="SKORYGOWANY",0,IF(UPPER(E303)="SPRZEDAŻ",IF(L303&lt;&gt;"",L303,I303*M303),0))</f>
        <v/>
      </c>
      <c r="AL303" s="21">
        <f>AE303*Q303</f>
        <v/>
      </c>
      <c r="AM303">
        <f>IF(R303="","",IF(LOWER(R303)="brak","Brak",IF(OR(ISNUMBER(SEARCH("własn",LOWER(R303))),ISNUMBER(SEARCH("wlasn",LOWER(R303))),ISNUMBER(SEARCH("wojciechowski",LOWER(R303)))),"Własny","Zewnętrzny")))</f>
        <v/>
      </c>
      <c r="AN303" s="24">
        <f>IF(C303="","",YEAR(C303))</f>
        <v/>
      </c>
      <c r="AO303" s="24">
        <f>IF(C303="","",MONTH(C303))</f>
        <v/>
      </c>
      <c r="AP303">
        <f>IF(C303="","",UPPER(TEXT(C303,"mmmm")))</f>
        <v/>
      </c>
      <c r="AQ303">
        <f>IF(C303="","","Q"&amp;ROUNDUP(MONTH(C303)/3,0))</f>
        <v/>
      </c>
    </row>
    <row r="304">
      <c r="A304" s="19" t="n">
        <v>46239</v>
      </c>
      <c r="B304" t="inlineStr">
        <is>
          <t>Magazyn Zabrze</t>
        </is>
      </c>
      <c r="C304" s="19" t="n">
        <v>46239</v>
      </c>
      <c r="D304" t="inlineStr">
        <is>
          <t>Magazyn Zabrze</t>
        </is>
      </c>
      <c r="E304" t="inlineStr">
        <is>
          <t>MM</t>
        </is>
      </c>
      <c r="F304" t="inlineStr">
        <is>
          <t>MM-59</t>
        </is>
      </c>
      <c r="G304" t="inlineStr">
        <is>
          <t>TAK</t>
        </is>
      </c>
      <c r="I304" s="20" t="n">
        <v>90</v>
      </c>
      <c r="J304" t="inlineStr">
        <is>
          <t>MP</t>
        </is>
      </c>
      <c r="K304" s="21" t="n">
        <v>0</v>
      </c>
      <c r="L304" s="21" t="n">
        <v>0</v>
      </c>
      <c r="M304" s="21" t="n">
        <v>0</v>
      </c>
      <c r="N304" t="inlineStr">
        <is>
          <t>Zrębka Produkcyjna Leśna</t>
        </is>
      </c>
      <c r="O304" t="inlineStr">
        <is>
          <t>B</t>
        </is>
      </c>
      <c r="Q304" s="21" t="n">
        <v>0</v>
      </c>
      <c r="R304" t="inlineStr">
        <is>
          <t>własny (Wilczak)</t>
        </is>
      </c>
      <c r="S304" t="inlineStr">
        <is>
          <t>SK 7J884</t>
        </is>
      </c>
      <c r="T304" s="22" t="n">
        <v>40</v>
      </c>
      <c r="U304" s="21" t="n">
        <v>5</v>
      </c>
      <c r="V304" s="21" t="n">
        <v>200</v>
      </c>
      <c r="W304" t="inlineStr">
        <is>
          <t>Magazyn Pyskowice</t>
        </is>
      </c>
      <c r="X304" t="inlineStr">
        <is>
          <t>Magazyn Zabrze</t>
        </is>
      </c>
      <c r="Z304" t="inlineStr">
        <is>
          <t>Roesner Mateusz</t>
        </is>
      </c>
      <c r="AA304" s="23" t="n">
        <v>46244.42777777778</v>
      </c>
      <c r="AB304" t="inlineStr">
        <is>
          <t>OP-MIGR-00303</t>
        </is>
      </c>
      <c r="AD304" t="inlineStr">
        <is>
          <t>AKTYWNY</t>
        </is>
      </c>
      <c r="AE304" s="20">
        <f>IF(I304="",0,IF(ISNUMBER(SEARCH("MP",UPPER(J304))),I304,IF(ISNUMBER(SEARCH("TON",UPPER(J304))),I304/Przelicznik_MP_tona,IF(ISNUMBER(SEARCH("M3",UPPER(J304))),I304*Przelicznik_M3_MP,IF(ISNUMBER(SEARCH("GJ",UPPER(J304))),I304/Przelicznik_GJ_tona/Przelicznik_MP_tona,I304)))))</f>
        <v/>
      </c>
      <c r="AF304" s="20">
        <f>IF(I304="",0,IF(ISNUMBER(SEARCH("TON",UPPER(J304))),I304,IF(ISNUMBER(SEARCH("GJ",UPPER(J304))),I304/Przelicznik_GJ_tona,AE304*Przelicznik_MP_tona)))</f>
        <v/>
      </c>
      <c r="AG304" s="20">
        <f>AF304*Przelicznik_GJ_tona</f>
        <v/>
      </c>
      <c r="AH304" s="20">
        <f>IF(UPPER(AD304)="SKORYGOWANY",0,IF(OR(UPPER(E304)="TRANSPORT",UPPER(E304)="MM"),0,IF(UPPER(G304)&lt;&gt;"TAK",0,IF(OR(UPPER(E304)="ZAKUP",UPPER(E304)="PRODUKCJA"),AE304,IF(OR(UPPER(E304)="SPRZEDAŻ",UPPER(E304)="ZUŻYCIE"),-AE304,0)))))</f>
        <v/>
      </c>
      <c r="AI304" s="20">
        <f>IF(UPPER(AD304)="SKORYGOWANY",0,IF(OR(UPPER(E304)="TRANSPORT",UPPER(E304)="MM"),0,IF(UPPER(G304)&lt;&gt;"TAK",0,IF(OR(UPPER(E304)="ZAKUP",UPPER(E304)="PRODUKCJA"),AF304,IF(OR(UPPER(E304)="SPRZEDAŻ",UPPER(E304)="ZUŻYCIE"),-AF304,0)))))</f>
        <v/>
      </c>
      <c r="AJ304" s="21">
        <f>IF(UPPER(AD304)="SKORYGOWANY",0,IF(UPPER(E304)="ZAKUP",IF(L304&lt;&gt;"",L304,I304*K304),0))</f>
        <v/>
      </c>
      <c r="AK304" s="21">
        <f>IF(UPPER(AD304)="SKORYGOWANY",0,IF(UPPER(E304)="SPRZEDAŻ",IF(L304&lt;&gt;"",L304,I304*M304),0))</f>
        <v/>
      </c>
      <c r="AL304" s="21">
        <f>AE304*Q304</f>
        <v/>
      </c>
      <c r="AM304">
        <f>IF(R304="","",IF(LOWER(R304)="brak","Brak",IF(OR(ISNUMBER(SEARCH("własn",LOWER(R304))),ISNUMBER(SEARCH("wlasn",LOWER(R304))),ISNUMBER(SEARCH("wojciechowski",LOWER(R304)))),"Własny","Zewnętrzny")))</f>
        <v/>
      </c>
      <c r="AN304" s="24">
        <f>IF(C304="","",YEAR(C304))</f>
        <v/>
      </c>
      <c r="AO304" s="24">
        <f>IF(C304="","",MONTH(C304))</f>
        <v/>
      </c>
      <c r="AP304">
        <f>IF(C304="","",UPPER(TEXT(C304,"mmmm")))</f>
        <v/>
      </c>
      <c r="AQ304">
        <f>IF(C304="","","Q"&amp;ROUNDUP(MONTH(C304)/3,0))</f>
        <v/>
      </c>
    </row>
    <row r="305">
      <c r="A305" s="19" t="n">
        <v>46239</v>
      </c>
      <c r="B305" t="inlineStr">
        <is>
          <t>Magazyn Pyskowice</t>
        </is>
      </c>
      <c r="C305" s="19" t="n">
        <v>46239</v>
      </c>
      <c r="D305" t="inlineStr">
        <is>
          <t>Magazyn Pyskowice</t>
        </is>
      </c>
      <c r="E305" t="inlineStr">
        <is>
          <t>SPRZEDAŻ</t>
        </is>
      </c>
      <c r="F305" t="inlineStr">
        <is>
          <t>WZ-5</t>
        </is>
      </c>
      <c r="G305" t="inlineStr">
        <is>
          <t>TAK</t>
        </is>
      </c>
      <c r="H305" t="inlineStr">
        <is>
          <t>KZR</t>
        </is>
      </c>
      <c r="I305" s="20" t="n">
        <v>90</v>
      </c>
      <c r="J305" t="inlineStr">
        <is>
          <t>MP</t>
        </is>
      </c>
      <c r="K305" s="21" t="n">
        <v>0</v>
      </c>
      <c r="L305" s="21" t="n">
        <v>0</v>
      </c>
      <c r="M305" s="21" t="n">
        <v>0</v>
      </c>
      <c r="N305" t="inlineStr">
        <is>
          <t>Zrębka Produkcyjna Leśna</t>
        </is>
      </c>
      <c r="O305" t="inlineStr">
        <is>
          <t>B</t>
        </is>
      </c>
      <c r="Q305" s="21" t="n">
        <v>0</v>
      </c>
      <c r="R305" t="inlineStr">
        <is>
          <t>własny (Wilczak)</t>
        </is>
      </c>
      <c r="S305" t="inlineStr">
        <is>
          <t>SK 7J884</t>
        </is>
      </c>
      <c r="T305" s="22" t="n">
        <v>107</v>
      </c>
      <c r="U305" s="21" t="n">
        <v>5</v>
      </c>
      <c r="V305" s="21" t="n">
        <v>535</v>
      </c>
      <c r="W305" t="inlineStr">
        <is>
          <t>Re Alloys, Łaziska</t>
        </is>
      </c>
      <c r="Z305" t="inlineStr">
        <is>
          <t>Roesner Mateusz</t>
        </is>
      </c>
      <c r="AA305" s="23" t="n">
        <v>46244.42857638889</v>
      </c>
      <c r="AB305" t="inlineStr">
        <is>
          <t>OP-MIGR-00304</t>
        </is>
      </c>
      <c r="AD305" t="inlineStr">
        <is>
          <t>AKTYWNY</t>
        </is>
      </c>
      <c r="AE305" s="20">
        <f>IF(I305="",0,IF(ISNUMBER(SEARCH("MP",UPPER(J305))),I305,IF(ISNUMBER(SEARCH("TON",UPPER(J305))),I305/Przelicznik_MP_tona,IF(ISNUMBER(SEARCH("M3",UPPER(J305))),I305*Przelicznik_M3_MP,IF(ISNUMBER(SEARCH("GJ",UPPER(J305))),I305/Przelicznik_GJ_tona/Przelicznik_MP_tona,I305)))))</f>
        <v/>
      </c>
      <c r="AF305" s="20">
        <f>IF(I305="",0,IF(ISNUMBER(SEARCH("TON",UPPER(J305))),I305,IF(ISNUMBER(SEARCH("GJ",UPPER(J305))),I305/Przelicznik_GJ_tona,AE305*Przelicznik_MP_tona)))</f>
        <v/>
      </c>
      <c r="AG305" s="20">
        <f>AF305*Przelicznik_GJ_tona</f>
        <v/>
      </c>
      <c r="AH305" s="20">
        <f>IF(UPPER(AD305)="SKORYGOWANY",0,IF(OR(UPPER(E305)="TRANSPORT",UPPER(E305)="MM"),0,IF(UPPER(G305)&lt;&gt;"TAK",0,IF(OR(UPPER(E305)="ZAKUP",UPPER(E305)="PRODUKCJA"),AE305,IF(OR(UPPER(E305)="SPRZEDAŻ",UPPER(E305)="ZUŻYCIE"),-AE305,0)))))</f>
        <v/>
      </c>
      <c r="AI305" s="20">
        <f>IF(UPPER(AD305)="SKORYGOWANY",0,IF(OR(UPPER(E305)="TRANSPORT",UPPER(E305)="MM"),0,IF(UPPER(G305)&lt;&gt;"TAK",0,IF(OR(UPPER(E305)="ZAKUP",UPPER(E305)="PRODUKCJA"),AF305,IF(OR(UPPER(E305)="SPRZEDAŻ",UPPER(E305)="ZUŻYCIE"),-AF305,0)))))</f>
        <v/>
      </c>
      <c r="AJ305" s="21">
        <f>IF(UPPER(AD305)="SKORYGOWANY",0,IF(UPPER(E305)="ZAKUP",IF(L305&lt;&gt;"",L305,I305*K305),0))</f>
        <v/>
      </c>
      <c r="AK305" s="21">
        <f>IF(UPPER(AD305)="SKORYGOWANY",0,IF(UPPER(E305)="SPRZEDAŻ",IF(L305&lt;&gt;"",L305,I305*M305),0))</f>
        <v/>
      </c>
      <c r="AL305" s="21">
        <f>AE305*Q305</f>
        <v/>
      </c>
      <c r="AM305">
        <f>IF(R305="","",IF(LOWER(R305)="brak","Brak",IF(OR(ISNUMBER(SEARCH("własn",LOWER(R305))),ISNUMBER(SEARCH("wlasn",LOWER(R305))),ISNUMBER(SEARCH("wojciechowski",LOWER(R305)))),"Własny","Zewnętrzny")))</f>
        <v/>
      </c>
      <c r="AN305" s="24">
        <f>IF(C305="","",YEAR(C305))</f>
        <v/>
      </c>
      <c r="AO305" s="24">
        <f>IF(C305="","",MONTH(C305))</f>
        <v/>
      </c>
      <c r="AP305">
        <f>IF(C305="","",UPPER(TEXT(C305,"mmmm")))</f>
        <v/>
      </c>
      <c r="AQ305">
        <f>IF(C305="","","Q"&amp;ROUNDUP(MONTH(C305)/3,0))</f>
        <v/>
      </c>
    </row>
    <row r="306">
      <c r="A306" s="19" t="n">
        <v>46239</v>
      </c>
      <c r="B306" t="inlineStr">
        <is>
          <t>Magazyn Zabrze</t>
        </is>
      </c>
      <c r="C306" s="19" t="n">
        <v>46239</v>
      </c>
      <c r="D306" t="inlineStr">
        <is>
          <t>Magazyn Zabrze</t>
        </is>
      </c>
      <c r="E306" t="inlineStr">
        <is>
          <t>MM</t>
        </is>
      </c>
      <c r="F306" t="inlineStr">
        <is>
          <t>MM-60</t>
        </is>
      </c>
      <c r="G306" t="inlineStr">
        <is>
          <t>TAK</t>
        </is>
      </c>
      <c r="I306" s="20" t="n">
        <v>90</v>
      </c>
      <c r="J306" t="inlineStr">
        <is>
          <t>MP</t>
        </is>
      </c>
      <c r="K306" s="21" t="n">
        <v>0</v>
      </c>
      <c r="L306" s="21" t="n">
        <v>0</v>
      </c>
      <c r="M306" s="21" t="n">
        <v>0</v>
      </c>
      <c r="N306" t="inlineStr">
        <is>
          <t>Zrębka Produkcyjna Leśna</t>
        </is>
      </c>
      <c r="O306" t="inlineStr">
        <is>
          <t>B</t>
        </is>
      </c>
      <c r="Q306" s="21" t="n">
        <v>0</v>
      </c>
      <c r="R306" t="inlineStr">
        <is>
          <t>własny (Chrzan)</t>
        </is>
      </c>
      <c r="S306" t="inlineStr">
        <is>
          <t>SK 5K809</t>
        </is>
      </c>
      <c r="T306" s="22" t="n">
        <v>40</v>
      </c>
      <c r="U306" s="21" t="n">
        <v>5</v>
      </c>
      <c r="V306" s="21" t="n">
        <v>200</v>
      </c>
      <c r="W306" t="inlineStr">
        <is>
          <t>Magazyn Pyskowice</t>
        </is>
      </c>
      <c r="X306" t="inlineStr">
        <is>
          <t>Magazyn Zabrze</t>
        </is>
      </c>
      <c r="Z306" t="inlineStr">
        <is>
          <t>Roesner Mateusz</t>
        </is>
      </c>
      <c r="AA306" s="23" t="n">
        <v>46244.43020833333</v>
      </c>
      <c r="AB306" t="inlineStr">
        <is>
          <t>OP-MIGR-00305</t>
        </is>
      </c>
      <c r="AD306" t="inlineStr">
        <is>
          <t>AKTYWNY</t>
        </is>
      </c>
      <c r="AE306" s="20">
        <f>IF(I306="",0,IF(ISNUMBER(SEARCH("MP",UPPER(J306))),I306,IF(ISNUMBER(SEARCH("TON",UPPER(J306))),I306/Przelicznik_MP_tona,IF(ISNUMBER(SEARCH("M3",UPPER(J306))),I306*Przelicznik_M3_MP,IF(ISNUMBER(SEARCH("GJ",UPPER(J306))),I306/Przelicznik_GJ_tona/Przelicznik_MP_tona,I306)))))</f>
        <v/>
      </c>
      <c r="AF306" s="20">
        <f>IF(I306="",0,IF(ISNUMBER(SEARCH("TON",UPPER(J306))),I306,IF(ISNUMBER(SEARCH("GJ",UPPER(J306))),I306/Przelicznik_GJ_tona,AE306*Przelicznik_MP_tona)))</f>
        <v/>
      </c>
      <c r="AG306" s="20">
        <f>AF306*Przelicznik_GJ_tona</f>
        <v/>
      </c>
      <c r="AH306" s="20">
        <f>IF(UPPER(AD306)="SKORYGOWANY",0,IF(OR(UPPER(E306)="TRANSPORT",UPPER(E306)="MM"),0,IF(UPPER(G306)&lt;&gt;"TAK",0,IF(OR(UPPER(E306)="ZAKUP",UPPER(E306)="PRODUKCJA"),AE306,IF(OR(UPPER(E306)="SPRZEDAŻ",UPPER(E306)="ZUŻYCIE"),-AE306,0)))))</f>
        <v/>
      </c>
      <c r="AI306" s="20">
        <f>IF(UPPER(AD306)="SKORYGOWANY",0,IF(OR(UPPER(E306)="TRANSPORT",UPPER(E306)="MM"),0,IF(UPPER(G306)&lt;&gt;"TAK",0,IF(OR(UPPER(E306)="ZAKUP",UPPER(E306)="PRODUKCJA"),AF306,IF(OR(UPPER(E306)="SPRZEDAŻ",UPPER(E306)="ZUŻYCIE"),-AF306,0)))))</f>
        <v/>
      </c>
      <c r="AJ306" s="21">
        <f>IF(UPPER(AD306)="SKORYGOWANY",0,IF(UPPER(E306)="ZAKUP",IF(L306&lt;&gt;"",L306,I306*K306),0))</f>
        <v/>
      </c>
      <c r="AK306" s="21">
        <f>IF(UPPER(AD306)="SKORYGOWANY",0,IF(UPPER(E306)="SPRZEDAŻ",IF(L306&lt;&gt;"",L306,I306*M306),0))</f>
        <v/>
      </c>
      <c r="AL306" s="21">
        <f>AE306*Q306</f>
        <v/>
      </c>
      <c r="AM306">
        <f>IF(R306="","",IF(LOWER(R306)="brak","Brak",IF(OR(ISNUMBER(SEARCH("własn",LOWER(R306))),ISNUMBER(SEARCH("wlasn",LOWER(R306))),ISNUMBER(SEARCH("wojciechowski",LOWER(R306)))),"Własny","Zewnętrzny")))</f>
        <v/>
      </c>
      <c r="AN306" s="24">
        <f>IF(C306="","",YEAR(C306))</f>
        <v/>
      </c>
      <c r="AO306" s="24">
        <f>IF(C306="","",MONTH(C306))</f>
        <v/>
      </c>
      <c r="AP306">
        <f>IF(C306="","",UPPER(TEXT(C306,"mmmm")))</f>
        <v/>
      </c>
      <c r="AQ306">
        <f>IF(C306="","","Q"&amp;ROUNDUP(MONTH(C306)/3,0))</f>
        <v/>
      </c>
    </row>
    <row r="307">
      <c r="A307" s="19" t="n">
        <v>46239</v>
      </c>
      <c r="B307" t="inlineStr">
        <is>
          <t>Magazyn Pyskowice</t>
        </is>
      </c>
      <c r="C307" s="19" t="n">
        <v>46239</v>
      </c>
      <c r="D307" t="inlineStr">
        <is>
          <t>Magazyn Pyskowice</t>
        </is>
      </c>
      <c r="E307" t="inlineStr">
        <is>
          <t>SPRZEDAŻ</t>
        </is>
      </c>
      <c r="F307" t="inlineStr">
        <is>
          <t>WZ-6</t>
        </is>
      </c>
      <c r="G307" t="inlineStr">
        <is>
          <t>TAK</t>
        </is>
      </c>
      <c r="H307" t="inlineStr">
        <is>
          <t>KZR</t>
        </is>
      </c>
      <c r="I307" s="20" t="n">
        <v>90</v>
      </c>
      <c r="J307" t="inlineStr">
        <is>
          <t>MP</t>
        </is>
      </c>
      <c r="K307" s="21" t="n">
        <v>0</v>
      </c>
      <c r="L307" s="21" t="n">
        <v>0</v>
      </c>
      <c r="M307" s="21" t="n">
        <v>0</v>
      </c>
      <c r="N307" t="inlineStr">
        <is>
          <t>Zrębka Produkcyjna Leśna</t>
        </is>
      </c>
      <c r="O307" t="inlineStr">
        <is>
          <t>B</t>
        </is>
      </c>
      <c r="Q307" s="21" t="n">
        <v>0</v>
      </c>
      <c r="R307" t="inlineStr">
        <is>
          <t>własny (Chrzan)</t>
        </is>
      </c>
      <c r="S307" t="inlineStr">
        <is>
          <t>SK 5L809</t>
        </is>
      </c>
      <c r="T307" s="22" t="n">
        <v>107</v>
      </c>
      <c r="U307" s="21" t="n">
        <v>5</v>
      </c>
      <c r="V307" s="21" t="n">
        <v>535</v>
      </c>
      <c r="W307" t="inlineStr">
        <is>
          <t>Re Alloys, Łaziska</t>
        </is>
      </c>
      <c r="Z307" t="inlineStr">
        <is>
          <t>Roesner Mateusz</t>
        </is>
      </c>
      <c r="AA307" s="23" t="n">
        <v>46244.43094907407</v>
      </c>
      <c r="AB307" t="inlineStr">
        <is>
          <t>OP-MIGR-00306</t>
        </is>
      </c>
      <c r="AD307" t="inlineStr">
        <is>
          <t>AKTYWNY</t>
        </is>
      </c>
      <c r="AE307" s="20">
        <f>IF(I307="",0,IF(ISNUMBER(SEARCH("MP",UPPER(J307))),I307,IF(ISNUMBER(SEARCH("TON",UPPER(J307))),I307/Przelicznik_MP_tona,IF(ISNUMBER(SEARCH("M3",UPPER(J307))),I307*Przelicznik_M3_MP,IF(ISNUMBER(SEARCH("GJ",UPPER(J307))),I307/Przelicznik_GJ_tona/Przelicznik_MP_tona,I307)))))</f>
        <v/>
      </c>
      <c r="AF307" s="20">
        <f>IF(I307="",0,IF(ISNUMBER(SEARCH("TON",UPPER(J307))),I307,IF(ISNUMBER(SEARCH("GJ",UPPER(J307))),I307/Przelicznik_GJ_tona,AE307*Przelicznik_MP_tona)))</f>
        <v/>
      </c>
      <c r="AG307" s="20">
        <f>AF307*Przelicznik_GJ_tona</f>
        <v/>
      </c>
      <c r="AH307" s="20">
        <f>IF(UPPER(AD307)="SKORYGOWANY",0,IF(OR(UPPER(E307)="TRANSPORT",UPPER(E307)="MM"),0,IF(UPPER(G307)&lt;&gt;"TAK",0,IF(OR(UPPER(E307)="ZAKUP",UPPER(E307)="PRODUKCJA"),AE307,IF(OR(UPPER(E307)="SPRZEDAŻ",UPPER(E307)="ZUŻYCIE"),-AE307,0)))))</f>
        <v/>
      </c>
      <c r="AI307" s="20">
        <f>IF(UPPER(AD307)="SKORYGOWANY",0,IF(OR(UPPER(E307)="TRANSPORT",UPPER(E307)="MM"),0,IF(UPPER(G307)&lt;&gt;"TAK",0,IF(OR(UPPER(E307)="ZAKUP",UPPER(E307)="PRODUKCJA"),AF307,IF(OR(UPPER(E307)="SPRZEDAŻ",UPPER(E307)="ZUŻYCIE"),-AF307,0)))))</f>
        <v/>
      </c>
      <c r="AJ307" s="21">
        <f>IF(UPPER(AD307)="SKORYGOWANY",0,IF(UPPER(E307)="ZAKUP",IF(L307&lt;&gt;"",L307,I307*K307),0))</f>
        <v/>
      </c>
      <c r="AK307" s="21">
        <f>IF(UPPER(AD307)="SKORYGOWANY",0,IF(UPPER(E307)="SPRZEDAŻ",IF(L307&lt;&gt;"",L307,I307*M307),0))</f>
        <v/>
      </c>
      <c r="AL307" s="21">
        <f>AE307*Q307</f>
        <v/>
      </c>
      <c r="AM307">
        <f>IF(R307="","",IF(LOWER(R307)="brak","Brak",IF(OR(ISNUMBER(SEARCH("własn",LOWER(R307))),ISNUMBER(SEARCH("wlasn",LOWER(R307))),ISNUMBER(SEARCH("wojciechowski",LOWER(R307)))),"Własny","Zewnętrzny")))</f>
        <v/>
      </c>
      <c r="AN307" s="24">
        <f>IF(C307="","",YEAR(C307))</f>
        <v/>
      </c>
      <c r="AO307" s="24">
        <f>IF(C307="","",MONTH(C307))</f>
        <v/>
      </c>
      <c r="AP307">
        <f>IF(C307="","",UPPER(TEXT(C307,"mmmm")))</f>
        <v/>
      </c>
      <c r="AQ307">
        <f>IF(C307="","","Q"&amp;ROUNDUP(MONTH(C307)/3,0))</f>
        <v/>
      </c>
    </row>
    <row r="308">
      <c r="A308" s="19" t="n">
        <v>46240</v>
      </c>
      <c r="B308" t="inlineStr">
        <is>
          <t>Magazyn Zabrze</t>
        </is>
      </c>
      <c r="C308" s="19" t="n">
        <v>46240</v>
      </c>
      <c r="D308" t="inlineStr">
        <is>
          <t>Magazyn Zabrze</t>
        </is>
      </c>
      <c r="E308" t="inlineStr">
        <is>
          <t>MM</t>
        </is>
      </c>
      <c r="F308" t="inlineStr">
        <is>
          <t>MM-61</t>
        </is>
      </c>
      <c r="G308" t="inlineStr">
        <is>
          <t>TAK</t>
        </is>
      </c>
      <c r="I308" s="20" t="n">
        <v>90</v>
      </c>
      <c r="J308" t="inlineStr">
        <is>
          <t>MP</t>
        </is>
      </c>
      <c r="K308" s="21" t="n">
        <v>0</v>
      </c>
      <c r="L308" s="21" t="n">
        <v>0</v>
      </c>
      <c r="M308" s="21" t="n">
        <v>0</v>
      </c>
      <c r="N308" t="inlineStr">
        <is>
          <t>Zrębka Produkcyjna Leśna</t>
        </is>
      </c>
      <c r="O308" t="inlineStr">
        <is>
          <t>B</t>
        </is>
      </c>
      <c r="Q308" s="21" t="n">
        <v>0</v>
      </c>
      <c r="R308" t="inlineStr">
        <is>
          <t>własny (Kretek)</t>
        </is>
      </c>
      <c r="S308" t="inlineStr">
        <is>
          <t>SK 7J885</t>
        </is>
      </c>
      <c r="T308" s="22" t="n">
        <v>40</v>
      </c>
      <c r="U308" s="21" t="n">
        <v>5</v>
      </c>
      <c r="V308" s="21" t="n">
        <v>200</v>
      </c>
      <c r="W308" t="inlineStr">
        <is>
          <t>Magazyn Pyskowice</t>
        </is>
      </c>
      <c r="X308" t="inlineStr">
        <is>
          <t>Magazyn Zabrze</t>
        </is>
      </c>
      <c r="Z308" t="inlineStr">
        <is>
          <t>Roesner Mateusz</t>
        </is>
      </c>
      <c r="AA308" s="23" t="n">
        <v>46244.43224537037</v>
      </c>
      <c r="AB308" t="inlineStr">
        <is>
          <t>OP-MIGR-00307</t>
        </is>
      </c>
      <c r="AD308" t="inlineStr">
        <is>
          <t>AKTYWNY</t>
        </is>
      </c>
      <c r="AE308" s="20">
        <f>IF(I308="",0,IF(ISNUMBER(SEARCH("MP",UPPER(J308))),I308,IF(ISNUMBER(SEARCH("TON",UPPER(J308))),I308/Przelicznik_MP_tona,IF(ISNUMBER(SEARCH("M3",UPPER(J308))),I308*Przelicznik_M3_MP,IF(ISNUMBER(SEARCH("GJ",UPPER(J308))),I308/Przelicznik_GJ_tona/Przelicznik_MP_tona,I308)))))</f>
        <v/>
      </c>
      <c r="AF308" s="20">
        <f>IF(I308="",0,IF(ISNUMBER(SEARCH("TON",UPPER(J308))),I308,IF(ISNUMBER(SEARCH("GJ",UPPER(J308))),I308/Przelicznik_GJ_tona,AE308*Przelicznik_MP_tona)))</f>
        <v/>
      </c>
      <c r="AG308" s="20">
        <f>AF308*Przelicznik_GJ_tona</f>
        <v/>
      </c>
      <c r="AH308" s="20">
        <f>IF(UPPER(AD308)="SKORYGOWANY",0,IF(OR(UPPER(E308)="TRANSPORT",UPPER(E308)="MM"),0,IF(UPPER(G308)&lt;&gt;"TAK",0,IF(OR(UPPER(E308)="ZAKUP",UPPER(E308)="PRODUKCJA"),AE308,IF(OR(UPPER(E308)="SPRZEDAŻ",UPPER(E308)="ZUŻYCIE"),-AE308,0)))))</f>
        <v/>
      </c>
      <c r="AI308" s="20">
        <f>IF(UPPER(AD308)="SKORYGOWANY",0,IF(OR(UPPER(E308)="TRANSPORT",UPPER(E308)="MM"),0,IF(UPPER(G308)&lt;&gt;"TAK",0,IF(OR(UPPER(E308)="ZAKUP",UPPER(E308)="PRODUKCJA"),AF308,IF(OR(UPPER(E308)="SPRZEDAŻ",UPPER(E308)="ZUŻYCIE"),-AF308,0)))))</f>
        <v/>
      </c>
      <c r="AJ308" s="21">
        <f>IF(UPPER(AD308)="SKORYGOWANY",0,IF(UPPER(E308)="ZAKUP",IF(L308&lt;&gt;"",L308,I308*K308),0))</f>
        <v/>
      </c>
      <c r="AK308" s="21">
        <f>IF(UPPER(AD308)="SKORYGOWANY",0,IF(UPPER(E308)="SPRZEDAŻ",IF(L308&lt;&gt;"",L308,I308*M308),0))</f>
        <v/>
      </c>
      <c r="AL308" s="21">
        <f>AE308*Q308</f>
        <v/>
      </c>
      <c r="AM308">
        <f>IF(R308="","",IF(LOWER(R308)="brak","Brak",IF(OR(ISNUMBER(SEARCH("własn",LOWER(R308))),ISNUMBER(SEARCH("wlasn",LOWER(R308))),ISNUMBER(SEARCH("wojciechowski",LOWER(R308)))),"Własny","Zewnętrzny")))</f>
        <v/>
      </c>
      <c r="AN308" s="24">
        <f>IF(C308="","",YEAR(C308))</f>
        <v/>
      </c>
      <c r="AO308" s="24">
        <f>IF(C308="","",MONTH(C308))</f>
        <v/>
      </c>
      <c r="AP308">
        <f>IF(C308="","",UPPER(TEXT(C308,"mmmm")))</f>
        <v/>
      </c>
      <c r="AQ308">
        <f>IF(C308="","","Q"&amp;ROUNDUP(MONTH(C308)/3,0))</f>
        <v/>
      </c>
    </row>
    <row r="309">
      <c r="A309" s="19" t="n">
        <v>46240</v>
      </c>
      <c r="B309" t="inlineStr">
        <is>
          <t>Magazyn Pyskowice</t>
        </is>
      </c>
      <c r="C309" s="19" t="n">
        <v>46240</v>
      </c>
      <c r="D309" t="inlineStr">
        <is>
          <t>Magazyn Pyskowice</t>
        </is>
      </c>
      <c r="E309" t="inlineStr">
        <is>
          <t>SPRZEDAŻ</t>
        </is>
      </c>
      <c r="F309" t="inlineStr">
        <is>
          <t>WZ-7</t>
        </is>
      </c>
      <c r="G309" t="inlineStr">
        <is>
          <t>TAK</t>
        </is>
      </c>
      <c r="H309" t="inlineStr">
        <is>
          <t>KZR</t>
        </is>
      </c>
      <c r="I309" s="20" t="n">
        <v>90</v>
      </c>
      <c r="J309" t="inlineStr">
        <is>
          <t>MP</t>
        </is>
      </c>
      <c r="K309" s="21" t="n">
        <v>0</v>
      </c>
      <c r="L309" s="21" t="n">
        <v>0</v>
      </c>
      <c r="M309" s="21" t="n">
        <v>0</v>
      </c>
      <c r="N309" t="inlineStr">
        <is>
          <t>Zrębka Produkcyjna Leśna</t>
        </is>
      </c>
      <c r="O309" t="inlineStr">
        <is>
          <t>B</t>
        </is>
      </c>
      <c r="Q309" s="21" t="n">
        <v>0</v>
      </c>
      <c r="R309" t="inlineStr">
        <is>
          <t>własny (Kretek)</t>
        </is>
      </c>
      <c r="S309" t="inlineStr">
        <is>
          <t>SK 7J885</t>
        </is>
      </c>
      <c r="T309" s="22" t="n">
        <v>107</v>
      </c>
      <c r="U309" s="21" t="n">
        <v>5</v>
      </c>
      <c r="V309" s="21" t="n">
        <v>535</v>
      </c>
      <c r="W309" t="inlineStr">
        <is>
          <t>Re Alloys, Łaziska</t>
        </is>
      </c>
      <c r="Z309" t="inlineStr">
        <is>
          <t>Roesner Mateusz</t>
        </is>
      </c>
      <c r="AA309" s="23" t="n">
        <v>46244.4327662037</v>
      </c>
      <c r="AB309" t="inlineStr">
        <is>
          <t>OP-MIGR-00308</t>
        </is>
      </c>
      <c r="AD309" t="inlineStr">
        <is>
          <t>AKTYWNY</t>
        </is>
      </c>
      <c r="AE309" s="20">
        <f>IF(I309="",0,IF(ISNUMBER(SEARCH("MP",UPPER(J309))),I309,IF(ISNUMBER(SEARCH("TON",UPPER(J309))),I309/Przelicznik_MP_tona,IF(ISNUMBER(SEARCH("M3",UPPER(J309))),I309*Przelicznik_M3_MP,IF(ISNUMBER(SEARCH("GJ",UPPER(J309))),I309/Przelicznik_GJ_tona/Przelicznik_MP_tona,I309)))))</f>
        <v/>
      </c>
      <c r="AF309" s="20">
        <f>IF(I309="",0,IF(ISNUMBER(SEARCH("TON",UPPER(J309))),I309,IF(ISNUMBER(SEARCH("GJ",UPPER(J309))),I309/Przelicznik_GJ_tona,AE309*Przelicznik_MP_tona)))</f>
        <v/>
      </c>
      <c r="AG309" s="20">
        <f>AF309*Przelicznik_GJ_tona</f>
        <v/>
      </c>
      <c r="AH309" s="20">
        <f>IF(UPPER(AD309)="SKORYGOWANY",0,IF(OR(UPPER(E309)="TRANSPORT",UPPER(E309)="MM"),0,IF(UPPER(G309)&lt;&gt;"TAK",0,IF(OR(UPPER(E309)="ZAKUP",UPPER(E309)="PRODUKCJA"),AE309,IF(OR(UPPER(E309)="SPRZEDAŻ",UPPER(E309)="ZUŻYCIE"),-AE309,0)))))</f>
        <v/>
      </c>
      <c r="AI309" s="20">
        <f>IF(UPPER(AD309)="SKORYGOWANY",0,IF(OR(UPPER(E309)="TRANSPORT",UPPER(E309)="MM"),0,IF(UPPER(G309)&lt;&gt;"TAK",0,IF(OR(UPPER(E309)="ZAKUP",UPPER(E309)="PRODUKCJA"),AF309,IF(OR(UPPER(E309)="SPRZEDAŻ",UPPER(E309)="ZUŻYCIE"),-AF309,0)))))</f>
        <v/>
      </c>
      <c r="AJ309" s="21">
        <f>IF(UPPER(AD309)="SKORYGOWANY",0,IF(UPPER(E309)="ZAKUP",IF(L309&lt;&gt;"",L309,I309*K309),0))</f>
        <v/>
      </c>
      <c r="AK309" s="21">
        <f>IF(UPPER(AD309)="SKORYGOWANY",0,IF(UPPER(E309)="SPRZEDAŻ",IF(L309&lt;&gt;"",L309,I309*M309),0))</f>
        <v/>
      </c>
      <c r="AL309" s="21">
        <f>AE309*Q309</f>
        <v/>
      </c>
      <c r="AM309">
        <f>IF(R309="","",IF(LOWER(R309)="brak","Brak",IF(OR(ISNUMBER(SEARCH("własn",LOWER(R309))),ISNUMBER(SEARCH("wlasn",LOWER(R309))),ISNUMBER(SEARCH("wojciechowski",LOWER(R309)))),"Własny","Zewnętrzny")))</f>
        <v/>
      </c>
      <c r="AN309" s="24">
        <f>IF(C309="","",YEAR(C309))</f>
        <v/>
      </c>
      <c r="AO309" s="24">
        <f>IF(C309="","",MONTH(C309))</f>
        <v/>
      </c>
      <c r="AP309">
        <f>IF(C309="","",UPPER(TEXT(C309,"mmmm")))</f>
        <v/>
      </c>
      <c r="AQ309">
        <f>IF(C309="","","Q"&amp;ROUNDUP(MONTH(C309)/3,0))</f>
        <v/>
      </c>
    </row>
    <row r="310">
      <c r="A310" s="19" t="n">
        <v>46240</v>
      </c>
      <c r="B310" t="inlineStr">
        <is>
          <t>Magazyn Zabrze</t>
        </is>
      </c>
      <c r="C310" s="19" t="n">
        <v>46240</v>
      </c>
      <c r="D310" t="inlineStr">
        <is>
          <t>Magazyn Zabrze</t>
        </is>
      </c>
      <c r="E310" t="inlineStr">
        <is>
          <t>MM</t>
        </is>
      </c>
      <c r="F310" t="inlineStr">
        <is>
          <t>MM-62</t>
        </is>
      </c>
      <c r="G310" t="inlineStr">
        <is>
          <t>TAK</t>
        </is>
      </c>
      <c r="I310" s="20" t="n">
        <v>90</v>
      </c>
      <c r="J310" t="inlineStr">
        <is>
          <t>MP</t>
        </is>
      </c>
      <c r="K310" s="21" t="n">
        <v>0</v>
      </c>
      <c r="L310" s="21" t="n">
        <v>0</v>
      </c>
      <c r="M310" s="21" t="n">
        <v>0</v>
      </c>
      <c r="N310" t="inlineStr">
        <is>
          <t>Zrębka Produkcyjna Leśna</t>
        </is>
      </c>
      <c r="O310" t="inlineStr">
        <is>
          <t>B</t>
        </is>
      </c>
      <c r="Q310" s="21" t="n">
        <v>0</v>
      </c>
      <c r="R310" t="inlineStr">
        <is>
          <t>własny (Wilczak)</t>
        </is>
      </c>
      <c r="S310" t="inlineStr">
        <is>
          <t>SK 7J884</t>
        </is>
      </c>
      <c r="T310" s="22" t="n">
        <v>40</v>
      </c>
      <c r="U310" s="21" t="n">
        <v>5</v>
      </c>
      <c r="V310" s="21" t="n">
        <v>200</v>
      </c>
      <c r="W310" t="inlineStr">
        <is>
          <t>Magazyn Pyskowice</t>
        </is>
      </c>
      <c r="Z310" t="inlineStr">
        <is>
          <t>Roesner Mateusz</t>
        </is>
      </c>
      <c r="AA310" s="23" t="n">
        <v>46244.4341087963</v>
      </c>
      <c r="AB310" t="inlineStr">
        <is>
          <t>OP-MIGR-00309</t>
        </is>
      </c>
      <c r="AD310" t="inlineStr">
        <is>
          <t>AKTYWNY</t>
        </is>
      </c>
      <c r="AE310" s="20">
        <f>IF(I310="",0,IF(ISNUMBER(SEARCH("MP",UPPER(J310))),I310,IF(ISNUMBER(SEARCH("TON",UPPER(J310))),I310/Przelicznik_MP_tona,IF(ISNUMBER(SEARCH("M3",UPPER(J310))),I310*Przelicznik_M3_MP,IF(ISNUMBER(SEARCH("GJ",UPPER(J310))),I310/Przelicznik_GJ_tona/Przelicznik_MP_tona,I310)))))</f>
        <v/>
      </c>
      <c r="AF310" s="20">
        <f>IF(I310="",0,IF(ISNUMBER(SEARCH("TON",UPPER(J310))),I310,IF(ISNUMBER(SEARCH("GJ",UPPER(J310))),I310/Przelicznik_GJ_tona,AE310*Przelicznik_MP_tona)))</f>
        <v/>
      </c>
      <c r="AG310" s="20">
        <f>AF310*Przelicznik_GJ_tona</f>
        <v/>
      </c>
      <c r="AH310" s="20">
        <f>IF(UPPER(AD310)="SKORYGOWANY",0,IF(OR(UPPER(E310)="TRANSPORT",UPPER(E310)="MM"),0,IF(UPPER(G310)&lt;&gt;"TAK",0,IF(OR(UPPER(E310)="ZAKUP",UPPER(E310)="PRODUKCJA"),AE310,IF(OR(UPPER(E310)="SPRZEDAŻ",UPPER(E310)="ZUŻYCIE"),-AE310,0)))))</f>
        <v/>
      </c>
      <c r="AI310" s="20">
        <f>IF(UPPER(AD310)="SKORYGOWANY",0,IF(OR(UPPER(E310)="TRANSPORT",UPPER(E310)="MM"),0,IF(UPPER(G310)&lt;&gt;"TAK",0,IF(OR(UPPER(E310)="ZAKUP",UPPER(E310)="PRODUKCJA"),AF310,IF(OR(UPPER(E310)="SPRZEDAŻ",UPPER(E310)="ZUŻYCIE"),-AF310,0)))))</f>
        <v/>
      </c>
      <c r="AJ310" s="21">
        <f>IF(UPPER(AD310)="SKORYGOWANY",0,IF(UPPER(E310)="ZAKUP",IF(L310&lt;&gt;"",L310,I310*K310),0))</f>
        <v/>
      </c>
      <c r="AK310" s="21">
        <f>IF(UPPER(AD310)="SKORYGOWANY",0,IF(UPPER(E310)="SPRZEDAŻ",IF(L310&lt;&gt;"",L310,I310*M310),0))</f>
        <v/>
      </c>
      <c r="AL310" s="21">
        <f>AE310*Q310</f>
        <v/>
      </c>
      <c r="AM310">
        <f>IF(R310="","",IF(LOWER(R310)="brak","Brak",IF(OR(ISNUMBER(SEARCH("własn",LOWER(R310))),ISNUMBER(SEARCH("wlasn",LOWER(R310))),ISNUMBER(SEARCH("wojciechowski",LOWER(R310)))),"Własny","Zewnętrzny")))</f>
        <v/>
      </c>
      <c r="AN310" s="24">
        <f>IF(C310="","",YEAR(C310))</f>
        <v/>
      </c>
      <c r="AO310" s="24">
        <f>IF(C310="","",MONTH(C310))</f>
        <v/>
      </c>
      <c r="AP310">
        <f>IF(C310="","",UPPER(TEXT(C310,"mmmm")))</f>
        <v/>
      </c>
      <c r="AQ310">
        <f>IF(C310="","","Q"&amp;ROUNDUP(MONTH(C310)/3,0))</f>
        <v/>
      </c>
    </row>
    <row r="311">
      <c r="A311" s="19" t="n">
        <v>46240</v>
      </c>
      <c r="B311" t="inlineStr">
        <is>
          <t>Magazyn Pyskowice</t>
        </is>
      </c>
      <c r="C311" s="19" t="n">
        <v>46240</v>
      </c>
      <c r="D311" t="inlineStr">
        <is>
          <t>Magazyn Pyskowice</t>
        </is>
      </c>
      <c r="E311" t="inlineStr">
        <is>
          <t>SPRZEDAŻ</t>
        </is>
      </c>
      <c r="F311" t="inlineStr">
        <is>
          <t>WZ-8</t>
        </is>
      </c>
      <c r="G311" t="inlineStr">
        <is>
          <t>TAK</t>
        </is>
      </c>
      <c r="H311" t="inlineStr">
        <is>
          <t>KZR</t>
        </is>
      </c>
      <c r="I311" s="20" t="n">
        <v>90</v>
      </c>
      <c r="J311" t="inlineStr">
        <is>
          <t>MP</t>
        </is>
      </c>
      <c r="K311" s="21" t="n">
        <v>0</v>
      </c>
      <c r="L311" s="21" t="n">
        <v>0</v>
      </c>
      <c r="M311" s="21" t="n">
        <v>0</v>
      </c>
      <c r="N311" t="inlineStr">
        <is>
          <t>Zrębka Produkcyjna Leśna</t>
        </is>
      </c>
      <c r="O311" t="inlineStr">
        <is>
          <t>B</t>
        </is>
      </c>
      <c r="Q311" s="21" t="n">
        <v>0</v>
      </c>
      <c r="R311" t="inlineStr">
        <is>
          <t>własny (Wilczak)</t>
        </is>
      </c>
      <c r="S311" t="inlineStr">
        <is>
          <t>SK 7J884</t>
        </is>
      </c>
      <c r="T311" s="22" t="n">
        <v>107</v>
      </c>
      <c r="U311" s="21" t="n">
        <v>5</v>
      </c>
      <c r="V311" s="21" t="n">
        <v>535</v>
      </c>
      <c r="W311" t="inlineStr">
        <is>
          <t>Re Alloys, Łaziska</t>
        </is>
      </c>
      <c r="Z311" t="inlineStr">
        <is>
          <t>Roesner Mateusz</t>
        </is>
      </c>
      <c r="AA311" s="23" t="n">
        <v>46244.43481481481</v>
      </c>
      <c r="AB311" t="inlineStr">
        <is>
          <t>OP-MIGR-00310</t>
        </is>
      </c>
      <c r="AD311" t="inlineStr">
        <is>
          <t>AKTYWNY</t>
        </is>
      </c>
      <c r="AE311" s="20">
        <f>IF(I311="",0,IF(ISNUMBER(SEARCH("MP",UPPER(J311))),I311,IF(ISNUMBER(SEARCH("TON",UPPER(J311))),I311/Przelicznik_MP_tona,IF(ISNUMBER(SEARCH("M3",UPPER(J311))),I311*Przelicznik_M3_MP,IF(ISNUMBER(SEARCH("GJ",UPPER(J311))),I311/Przelicznik_GJ_tona/Przelicznik_MP_tona,I311)))))</f>
        <v/>
      </c>
      <c r="AF311" s="20">
        <f>IF(I311="",0,IF(ISNUMBER(SEARCH("TON",UPPER(J311))),I311,IF(ISNUMBER(SEARCH("GJ",UPPER(J311))),I311/Przelicznik_GJ_tona,AE311*Przelicznik_MP_tona)))</f>
        <v/>
      </c>
      <c r="AG311" s="20">
        <f>AF311*Przelicznik_GJ_tona</f>
        <v/>
      </c>
      <c r="AH311" s="20">
        <f>IF(UPPER(AD311)="SKORYGOWANY",0,IF(OR(UPPER(E311)="TRANSPORT",UPPER(E311)="MM"),0,IF(UPPER(G311)&lt;&gt;"TAK",0,IF(OR(UPPER(E311)="ZAKUP",UPPER(E311)="PRODUKCJA"),AE311,IF(OR(UPPER(E311)="SPRZEDAŻ",UPPER(E311)="ZUŻYCIE"),-AE311,0)))))</f>
        <v/>
      </c>
      <c r="AI311" s="20">
        <f>IF(UPPER(AD311)="SKORYGOWANY",0,IF(OR(UPPER(E311)="TRANSPORT",UPPER(E311)="MM"),0,IF(UPPER(G311)&lt;&gt;"TAK",0,IF(OR(UPPER(E311)="ZAKUP",UPPER(E311)="PRODUKCJA"),AF311,IF(OR(UPPER(E311)="SPRZEDAŻ",UPPER(E311)="ZUŻYCIE"),-AF311,0)))))</f>
        <v/>
      </c>
      <c r="AJ311" s="21">
        <f>IF(UPPER(AD311)="SKORYGOWANY",0,IF(UPPER(E311)="ZAKUP",IF(L311&lt;&gt;"",L311,I311*K311),0))</f>
        <v/>
      </c>
      <c r="AK311" s="21">
        <f>IF(UPPER(AD311)="SKORYGOWANY",0,IF(UPPER(E311)="SPRZEDAŻ",IF(L311&lt;&gt;"",L311,I311*M311),0))</f>
        <v/>
      </c>
      <c r="AL311" s="21">
        <f>AE311*Q311</f>
        <v/>
      </c>
      <c r="AM311">
        <f>IF(R311="","",IF(LOWER(R311)="brak","Brak",IF(OR(ISNUMBER(SEARCH("własn",LOWER(R311))),ISNUMBER(SEARCH("wlasn",LOWER(R311))),ISNUMBER(SEARCH("wojciechowski",LOWER(R311)))),"Własny","Zewnętrzny")))</f>
        <v/>
      </c>
      <c r="AN311" s="24">
        <f>IF(C311="","",YEAR(C311))</f>
        <v/>
      </c>
      <c r="AO311" s="24">
        <f>IF(C311="","",MONTH(C311))</f>
        <v/>
      </c>
      <c r="AP311">
        <f>IF(C311="","",UPPER(TEXT(C311,"mmmm")))</f>
        <v/>
      </c>
      <c r="AQ311">
        <f>IF(C311="","","Q"&amp;ROUNDUP(MONTH(C311)/3,0))</f>
        <v/>
      </c>
    </row>
    <row r="312">
      <c r="A312" s="19" t="n">
        <v>46240</v>
      </c>
      <c r="B312" t="inlineStr">
        <is>
          <t>Magazyn Zabrze</t>
        </is>
      </c>
      <c r="C312" s="19" t="n">
        <v>46240</v>
      </c>
      <c r="D312" t="inlineStr">
        <is>
          <t>Magazyn Zabrze</t>
        </is>
      </c>
      <c r="E312" t="inlineStr">
        <is>
          <t>MM</t>
        </is>
      </c>
      <c r="F312" t="inlineStr">
        <is>
          <t>MM-63</t>
        </is>
      </c>
      <c r="G312" t="inlineStr">
        <is>
          <t>TAK</t>
        </is>
      </c>
      <c r="I312" s="20" t="n">
        <v>90</v>
      </c>
      <c r="J312" t="inlineStr">
        <is>
          <t>MP</t>
        </is>
      </c>
      <c r="K312" s="21" t="n">
        <v>0</v>
      </c>
      <c r="L312" s="21" t="n">
        <v>0</v>
      </c>
      <c r="M312" s="21" t="n">
        <v>0</v>
      </c>
      <c r="N312" t="inlineStr">
        <is>
          <t>Zrębka Produkcyjna Leśna</t>
        </is>
      </c>
      <c r="O312" t="inlineStr">
        <is>
          <t>B</t>
        </is>
      </c>
      <c r="Q312" s="21" t="n">
        <v>0</v>
      </c>
      <c r="R312" t="inlineStr">
        <is>
          <t>własny (Chrzan)</t>
        </is>
      </c>
      <c r="S312" t="inlineStr">
        <is>
          <t>SK 5L809</t>
        </is>
      </c>
      <c r="T312" s="22" t="n">
        <v>40</v>
      </c>
      <c r="U312" s="21" t="n">
        <v>5</v>
      </c>
      <c r="V312" s="21" t="n">
        <v>200</v>
      </c>
      <c r="W312" t="inlineStr">
        <is>
          <t>Magazyn Pyskowice</t>
        </is>
      </c>
      <c r="Z312" t="inlineStr">
        <is>
          <t>Roesner Mateusz</t>
        </is>
      </c>
      <c r="AA312" s="23" t="n">
        <v>46244.43787037037</v>
      </c>
      <c r="AB312" t="inlineStr">
        <is>
          <t>OP-MIGR-00311</t>
        </is>
      </c>
      <c r="AD312" t="inlineStr">
        <is>
          <t>AKTYWNY</t>
        </is>
      </c>
      <c r="AE312" s="20">
        <f>IF(I312="",0,IF(ISNUMBER(SEARCH("MP",UPPER(J312))),I312,IF(ISNUMBER(SEARCH("TON",UPPER(J312))),I312/Przelicznik_MP_tona,IF(ISNUMBER(SEARCH("M3",UPPER(J312))),I312*Przelicznik_M3_MP,IF(ISNUMBER(SEARCH("GJ",UPPER(J312))),I312/Przelicznik_GJ_tona/Przelicznik_MP_tona,I312)))))</f>
        <v/>
      </c>
      <c r="AF312" s="20">
        <f>IF(I312="",0,IF(ISNUMBER(SEARCH("TON",UPPER(J312))),I312,IF(ISNUMBER(SEARCH("GJ",UPPER(J312))),I312/Przelicznik_GJ_tona,AE312*Przelicznik_MP_tona)))</f>
        <v/>
      </c>
      <c r="AG312" s="20">
        <f>AF312*Przelicznik_GJ_tona</f>
        <v/>
      </c>
      <c r="AH312" s="20">
        <f>IF(UPPER(AD312)="SKORYGOWANY",0,IF(OR(UPPER(E312)="TRANSPORT",UPPER(E312)="MM"),0,IF(UPPER(G312)&lt;&gt;"TAK",0,IF(OR(UPPER(E312)="ZAKUP",UPPER(E312)="PRODUKCJA"),AE312,IF(OR(UPPER(E312)="SPRZEDAŻ",UPPER(E312)="ZUŻYCIE"),-AE312,0)))))</f>
        <v/>
      </c>
      <c r="AI312" s="20">
        <f>IF(UPPER(AD312)="SKORYGOWANY",0,IF(OR(UPPER(E312)="TRANSPORT",UPPER(E312)="MM"),0,IF(UPPER(G312)&lt;&gt;"TAK",0,IF(OR(UPPER(E312)="ZAKUP",UPPER(E312)="PRODUKCJA"),AF312,IF(OR(UPPER(E312)="SPRZEDAŻ",UPPER(E312)="ZUŻYCIE"),-AF312,0)))))</f>
        <v/>
      </c>
      <c r="AJ312" s="21">
        <f>IF(UPPER(AD312)="SKORYGOWANY",0,IF(UPPER(E312)="ZAKUP",IF(L312&lt;&gt;"",L312,I312*K312),0))</f>
        <v/>
      </c>
      <c r="AK312" s="21">
        <f>IF(UPPER(AD312)="SKORYGOWANY",0,IF(UPPER(E312)="SPRZEDAŻ",IF(L312&lt;&gt;"",L312,I312*M312),0))</f>
        <v/>
      </c>
      <c r="AL312" s="21">
        <f>AE312*Q312</f>
        <v/>
      </c>
      <c r="AM312">
        <f>IF(R312="","",IF(LOWER(R312)="brak","Brak",IF(OR(ISNUMBER(SEARCH("własn",LOWER(R312))),ISNUMBER(SEARCH("wlasn",LOWER(R312))),ISNUMBER(SEARCH("wojciechowski",LOWER(R312)))),"Własny","Zewnętrzny")))</f>
        <v/>
      </c>
      <c r="AN312" s="24">
        <f>IF(C312="","",YEAR(C312))</f>
        <v/>
      </c>
      <c r="AO312" s="24">
        <f>IF(C312="","",MONTH(C312))</f>
        <v/>
      </c>
      <c r="AP312">
        <f>IF(C312="","",UPPER(TEXT(C312,"mmmm")))</f>
        <v/>
      </c>
      <c r="AQ312">
        <f>IF(C312="","","Q"&amp;ROUNDUP(MONTH(C312)/3,0))</f>
        <v/>
      </c>
    </row>
    <row r="313">
      <c r="A313" s="19" t="n">
        <v>46240</v>
      </c>
      <c r="B313" t="inlineStr">
        <is>
          <t>Magazyn Pyskowice</t>
        </is>
      </c>
      <c r="C313" s="19" t="n">
        <v>46240</v>
      </c>
      <c r="D313" t="inlineStr">
        <is>
          <t>Magazyn Pyskowice</t>
        </is>
      </c>
      <c r="E313" t="inlineStr">
        <is>
          <t>SPRZEDAŻ</t>
        </is>
      </c>
      <c r="F313" t="inlineStr">
        <is>
          <t>WZ-9</t>
        </is>
      </c>
      <c r="G313" t="inlineStr">
        <is>
          <t>TAK</t>
        </is>
      </c>
      <c r="H313" t="inlineStr">
        <is>
          <t>KZR</t>
        </is>
      </c>
      <c r="I313" s="20" t="n">
        <v>90</v>
      </c>
      <c r="J313" t="inlineStr">
        <is>
          <t>MP</t>
        </is>
      </c>
      <c r="K313" s="21" t="n">
        <v>0</v>
      </c>
      <c r="L313" s="21" t="n">
        <v>0</v>
      </c>
      <c r="M313" s="21" t="n">
        <v>0</v>
      </c>
      <c r="N313" t="inlineStr">
        <is>
          <t>Zrębka Produkcyjna Leśna</t>
        </is>
      </c>
      <c r="O313" t="inlineStr">
        <is>
          <t>B</t>
        </is>
      </c>
      <c r="Q313" s="21" t="n">
        <v>0</v>
      </c>
      <c r="R313" t="inlineStr">
        <is>
          <t>własny (Chrzan)</t>
        </is>
      </c>
      <c r="S313" t="inlineStr">
        <is>
          <t>SK 5L809</t>
        </is>
      </c>
      <c r="T313" s="22" t="n">
        <v>107</v>
      </c>
      <c r="U313" s="21" t="n">
        <v>5</v>
      </c>
      <c r="V313" s="21" t="n">
        <v>535</v>
      </c>
      <c r="W313" t="inlineStr">
        <is>
          <t>Re Alloys, Łaziska</t>
        </is>
      </c>
      <c r="Z313" t="inlineStr">
        <is>
          <t>Roesner Mateusz</t>
        </is>
      </c>
      <c r="AA313" s="23" t="n">
        <v>46244.43855324074</v>
      </c>
      <c r="AB313" t="inlineStr">
        <is>
          <t>OP-MIGR-00312</t>
        </is>
      </c>
      <c r="AD313" t="inlineStr">
        <is>
          <t>AKTYWNY</t>
        </is>
      </c>
      <c r="AE313" s="20">
        <f>IF(I313="",0,IF(ISNUMBER(SEARCH("MP",UPPER(J313))),I313,IF(ISNUMBER(SEARCH("TON",UPPER(J313))),I313/Przelicznik_MP_tona,IF(ISNUMBER(SEARCH("M3",UPPER(J313))),I313*Przelicznik_M3_MP,IF(ISNUMBER(SEARCH("GJ",UPPER(J313))),I313/Przelicznik_GJ_tona/Przelicznik_MP_tona,I313)))))</f>
        <v/>
      </c>
      <c r="AF313" s="20">
        <f>IF(I313="",0,IF(ISNUMBER(SEARCH("TON",UPPER(J313))),I313,IF(ISNUMBER(SEARCH("GJ",UPPER(J313))),I313/Przelicznik_GJ_tona,AE313*Przelicznik_MP_tona)))</f>
        <v/>
      </c>
      <c r="AG313" s="20">
        <f>AF313*Przelicznik_GJ_tona</f>
        <v/>
      </c>
      <c r="AH313" s="20">
        <f>IF(UPPER(AD313)="SKORYGOWANY",0,IF(OR(UPPER(E313)="TRANSPORT",UPPER(E313)="MM"),0,IF(UPPER(G313)&lt;&gt;"TAK",0,IF(OR(UPPER(E313)="ZAKUP",UPPER(E313)="PRODUKCJA"),AE313,IF(OR(UPPER(E313)="SPRZEDAŻ",UPPER(E313)="ZUŻYCIE"),-AE313,0)))))</f>
        <v/>
      </c>
      <c r="AI313" s="20">
        <f>IF(UPPER(AD313)="SKORYGOWANY",0,IF(OR(UPPER(E313)="TRANSPORT",UPPER(E313)="MM"),0,IF(UPPER(G313)&lt;&gt;"TAK",0,IF(OR(UPPER(E313)="ZAKUP",UPPER(E313)="PRODUKCJA"),AF313,IF(OR(UPPER(E313)="SPRZEDAŻ",UPPER(E313)="ZUŻYCIE"),-AF313,0)))))</f>
        <v/>
      </c>
      <c r="AJ313" s="21">
        <f>IF(UPPER(AD313)="SKORYGOWANY",0,IF(UPPER(E313)="ZAKUP",IF(L313&lt;&gt;"",L313,I313*K313),0))</f>
        <v/>
      </c>
      <c r="AK313" s="21">
        <f>IF(UPPER(AD313)="SKORYGOWANY",0,IF(UPPER(E313)="SPRZEDAŻ",IF(L313&lt;&gt;"",L313,I313*M313),0))</f>
        <v/>
      </c>
      <c r="AL313" s="21">
        <f>AE313*Q313</f>
        <v/>
      </c>
      <c r="AM313">
        <f>IF(R313="","",IF(LOWER(R313)="brak","Brak",IF(OR(ISNUMBER(SEARCH("własn",LOWER(R313))),ISNUMBER(SEARCH("wlasn",LOWER(R313))),ISNUMBER(SEARCH("wojciechowski",LOWER(R313)))),"Własny","Zewnętrzny")))</f>
        <v/>
      </c>
      <c r="AN313" s="24">
        <f>IF(C313="","",YEAR(C313))</f>
        <v/>
      </c>
      <c r="AO313" s="24">
        <f>IF(C313="","",MONTH(C313))</f>
        <v/>
      </c>
      <c r="AP313">
        <f>IF(C313="","",UPPER(TEXT(C313,"mmmm")))</f>
        <v/>
      </c>
      <c r="AQ313">
        <f>IF(C313="","","Q"&amp;ROUNDUP(MONTH(C313)/3,0))</f>
        <v/>
      </c>
    </row>
    <row r="314">
      <c r="A314" s="19" t="n">
        <v>46240</v>
      </c>
      <c r="B314" t="inlineStr">
        <is>
          <t>Magazyn Zabrze</t>
        </is>
      </c>
      <c r="C314" s="19" t="n">
        <v>46240</v>
      </c>
      <c r="D314" t="inlineStr">
        <is>
          <t>Magazyn Zabrze</t>
        </is>
      </c>
      <c r="E314" t="inlineStr">
        <is>
          <t>MM</t>
        </is>
      </c>
      <c r="F314" t="inlineStr">
        <is>
          <t>MM-64</t>
        </is>
      </c>
      <c r="G314" t="inlineStr">
        <is>
          <t>TAK</t>
        </is>
      </c>
      <c r="I314" s="20" t="n">
        <v>90</v>
      </c>
      <c r="J314" t="inlineStr">
        <is>
          <t>MP</t>
        </is>
      </c>
      <c r="K314" s="21" t="n">
        <v>0</v>
      </c>
      <c r="L314" s="21" t="n">
        <v>0</v>
      </c>
      <c r="M314" s="21" t="n">
        <v>0</v>
      </c>
      <c r="N314" t="inlineStr">
        <is>
          <t>Zrębka Produkcyjna Leśna</t>
        </is>
      </c>
      <c r="O314" t="inlineStr">
        <is>
          <t>B</t>
        </is>
      </c>
      <c r="Q314" s="21" t="n">
        <v>0</v>
      </c>
      <c r="R314" t="inlineStr">
        <is>
          <t>własny (Wilczak)</t>
        </is>
      </c>
      <c r="S314" t="inlineStr">
        <is>
          <t>SK 7J884</t>
        </is>
      </c>
      <c r="T314" s="22" t="n">
        <v>40</v>
      </c>
      <c r="U314" s="21" t="n">
        <v>5</v>
      </c>
      <c r="V314" s="21" t="n">
        <v>200</v>
      </c>
      <c r="W314" t="inlineStr">
        <is>
          <t>Magazyn Pyskowice</t>
        </is>
      </c>
      <c r="Z314" t="inlineStr">
        <is>
          <t>Roesner Mateusz</t>
        </is>
      </c>
      <c r="AA314" s="23" t="n">
        <v>46244.44009259259</v>
      </c>
      <c r="AB314" t="inlineStr">
        <is>
          <t>OP-MIGR-00313</t>
        </is>
      </c>
      <c r="AD314" t="inlineStr">
        <is>
          <t>AKTYWNY</t>
        </is>
      </c>
      <c r="AE314" s="20">
        <f>IF(I314="",0,IF(ISNUMBER(SEARCH("MP",UPPER(J314))),I314,IF(ISNUMBER(SEARCH("TON",UPPER(J314))),I314/Przelicznik_MP_tona,IF(ISNUMBER(SEARCH("M3",UPPER(J314))),I314*Przelicznik_M3_MP,IF(ISNUMBER(SEARCH("GJ",UPPER(J314))),I314/Przelicznik_GJ_tona/Przelicznik_MP_tona,I314)))))</f>
        <v/>
      </c>
      <c r="AF314" s="20">
        <f>IF(I314="",0,IF(ISNUMBER(SEARCH("TON",UPPER(J314))),I314,IF(ISNUMBER(SEARCH("GJ",UPPER(J314))),I314/Przelicznik_GJ_tona,AE314*Przelicznik_MP_tona)))</f>
        <v/>
      </c>
      <c r="AG314" s="20">
        <f>AF314*Przelicznik_GJ_tona</f>
        <v/>
      </c>
      <c r="AH314" s="20">
        <f>IF(UPPER(AD314)="SKORYGOWANY",0,IF(OR(UPPER(E314)="TRANSPORT",UPPER(E314)="MM"),0,IF(UPPER(G314)&lt;&gt;"TAK",0,IF(OR(UPPER(E314)="ZAKUP",UPPER(E314)="PRODUKCJA"),AE314,IF(OR(UPPER(E314)="SPRZEDAŻ",UPPER(E314)="ZUŻYCIE"),-AE314,0)))))</f>
        <v/>
      </c>
      <c r="AI314" s="20">
        <f>IF(UPPER(AD314)="SKORYGOWANY",0,IF(OR(UPPER(E314)="TRANSPORT",UPPER(E314)="MM"),0,IF(UPPER(G314)&lt;&gt;"TAK",0,IF(OR(UPPER(E314)="ZAKUP",UPPER(E314)="PRODUKCJA"),AF314,IF(OR(UPPER(E314)="SPRZEDAŻ",UPPER(E314)="ZUŻYCIE"),-AF314,0)))))</f>
        <v/>
      </c>
      <c r="AJ314" s="21">
        <f>IF(UPPER(AD314)="SKORYGOWANY",0,IF(UPPER(E314)="ZAKUP",IF(L314&lt;&gt;"",L314,I314*K314),0))</f>
        <v/>
      </c>
      <c r="AK314" s="21">
        <f>IF(UPPER(AD314)="SKORYGOWANY",0,IF(UPPER(E314)="SPRZEDAŻ",IF(L314&lt;&gt;"",L314,I314*M314),0))</f>
        <v/>
      </c>
      <c r="AL314" s="21">
        <f>AE314*Q314</f>
        <v/>
      </c>
      <c r="AM314">
        <f>IF(R314="","",IF(LOWER(R314)="brak","Brak",IF(OR(ISNUMBER(SEARCH("własn",LOWER(R314))),ISNUMBER(SEARCH("wlasn",LOWER(R314))),ISNUMBER(SEARCH("wojciechowski",LOWER(R314)))),"Własny","Zewnętrzny")))</f>
        <v/>
      </c>
      <c r="AN314" s="24">
        <f>IF(C314="","",YEAR(C314))</f>
        <v/>
      </c>
      <c r="AO314" s="24">
        <f>IF(C314="","",MONTH(C314))</f>
        <v/>
      </c>
      <c r="AP314">
        <f>IF(C314="","",UPPER(TEXT(C314,"mmmm")))</f>
        <v/>
      </c>
      <c r="AQ314">
        <f>IF(C314="","","Q"&amp;ROUNDUP(MONTH(C314)/3,0))</f>
        <v/>
      </c>
    </row>
    <row r="315">
      <c r="A315" s="19" t="n">
        <v>46240</v>
      </c>
      <c r="B315" t="inlineStr">
        <is>
          <t>Magazyn Pyskowice</t>
        </is>
      </c>
      <c r="C315" s="19" t="n">
        <v>46240</v>
      </c>
      <c r="D315" t="inlineStr">
        <is>
          <t>Magazyn Pyskowice</t>
        </is>
      </c>
      <c r="E315" t="inlineStr">
        <is>
          <t>SPRZEDAŻ</t>
        </is>
      </c>
      <c r="F315" t="inlineStr">
        <is>
          <t>WZ-10</t>
        </is>
      </c>
      <c r="G315" t="inlineStr">
        <is>
          <t>TAK</t>
        </is>
      </c>
      <c r="H315" t="inlineStr">
        <is>
          <t>KZR</t>
        </is>
      </c>
      <c r="I315" s="20" t="n">
        <v>90</v>
      </c>
      <c r="J315" t="inlineStr">
        <is>
          <t>MP</t>
        </is>
      </c>
      <c r="K315" s="21" t="n">
        <v>0</v>
      </c>
      <c r="L315" s="21" t="n">
        <v>0</v>
      </c>
      <c r="M315" s="21" t="n">
        <v>0</v>
      </c>
      <c r="N315" t="inlineStr">
        <is>
          <t>Zrębka Produkcyjna Leśna</t>
        </is>
      </c>
      <c r="O315" t="inlineStr">
        <is>
          <t>B</t>
        </is>
      </c>
      <c r="Q315" s="21" t="n">
        <v>0</v>
      </c>
      <c r="R315" t="inlineStr">
        <is>
          <t>własny (Wilczak)</t>
        </is>
      </c>
      <c r="S315" t="inlineStr">
        <is>
          <t>SK 7J884</t>
        </is>
      </c>
      <c r="T315" s="22" t="n">
        <v>107</v>
      </c>
      <c r="U315" s="21" t="n">
        <v>5</v>
      </c>
      <c r="V315" s="21" t="n">
        <v>535</v>
      </c>
      <c r="W315" t="inlineStr">
        <is>
          <t>Re Alloys, Łaziska</t>
        </is>
      </c>
      <c r="Z315" t="inlineStr">
        <is>
          <t>Roesner Mateusz</t>
        </is>
      </c>
      <c r="AA315" s="23" t="n">
        <v>46244.44061342593</v>
      </c>
      <c r="AB315" t="inlineStr">
        <is>
          <t>OP-MIGR-00314</t>
        </is>
      </c>
      <c r="AD315" t="inlineStr">
        <is>
          <t>AKTYWNY</t>
        </is>
      </c>
      <c r="AE315" s="20">
        <f>IF(I315="",0,IF(ISNUMBER(SEARCH("MP",UPPER(J315))),I315,IF(ISNUMBER(SEARCH("TON",UPPER(J315))),I315/Przelicznik_MP_tona,IF(ISNUMBER(SEARCH("M3",UPPER(J315))),I315*Przelicznik_M3_MP,IF(ISNUMBER(SEARCH("GJ",UPPER(J315))),I315/Przelicznik_GJ_tona/Przelicznik_MP_tona,I315)))))</f>
        <v/>
      </c>
      <c r="AF315" s="20">
        <f>IF(I315="",0,IF(ISNUMBER(SEARCH("TON",UPPER(J315))),I315,IF(ISNUMBER(SEARCH("GJ",UPPER(J315))),I315/Przelicznik_GJ_tona,AE315*Przelicznik_MP_tona)))</f>
        <v/>
      </c>
      <c r="AG315" s="20">
        <f>AF315*Przelicznik_GJ_tona</f>
        <v/>
      </c>
      <c r="AH315" s="20">
        <f>IF(UPPER(AD315)="SKORYGOWANY",0,IF(OR(UPPER(E315)="TRANSPORT",UPPER(E315)="MM"),0,IF(UPPER(G315)&lt;&gt;"TAK",0,IF(OR(UPPER(E315)="ZAKUP",UPPER(E315)="PRODUKCJA"),AE315,IF(OR(UPPER(E315)="SPRZEDAŻ",UPPER(E315)="ZUŻYCIE"),-AE315,0)))))</f>
        <v/>
      </c>
      <c r="AI315" s="20">
        <f>IF(UPPER(AD315)="SKORYGOWANY",0,IF(OR(UPPER(E315)="TRANSPORT",UPPER(E315)="MM"),0,IF(UPPER(G315)&lt;&gt;"TAK",0,IF(OR(UPPER(E315)="ZAKUP",UPPER(E315)="PRODUKCJA"),AF315,IF(OR(UPPER(E315)="SPRZEDAŻ",UPPER(E315)="ZUŻYCIE"),-AF315,0)))))</f>
        <v/>
      </c>
      <c r="AJ315" s="21">
        <f>IF(UPPER(AD315)="SKORYGOWANY",0,IF(UPPER(E315)="ZAKUP",IF(L315&lt;&gt;"",L315,I315*K315),0))</f>
        <v/>
      </c>
      <c r="AK315" s="21">
        <f>IF(UPPER(AD315)="SKORYGOWANY",0,IF(UPPER(E315)="SPRZEDAŻ",IF(L315&lt;&gt;"",L315,I315*M315),0))</f>
        <v/>
      </c>
      <c r="AL315" s="21">
        <f>AE315*Q315</f>
        <v/>
      </c>
      <c r="AM315">
        <f>IF(R315="","",IF(LOWER(R315)="brak","Brak",IF(OR(ISNUMBER(SEARCH("własn",LOWER(R315))),ISNUMBER(SEARCH("wlasn",LOWER(R315))),ISNUMBER(SEARCH("wojciechowski",LOWER(R315)))),"Własny","Zewnętrzny")))</f>
        <v/>
      </c>
      <c r="AN315" s="24">
        <f>IF(C315="","",YEAR(C315))</f>
        <v/>
      </c>
      <c r="AO315" s="24">
        <f>IF(C315="","",MONTH(C315))</f>
        <v/>
      </c>
      <c r="AP315">
        <f>IF(C315="","",UPPER(TEXT(C315,"mmmm")))</f>
        <v/>
      </c>
      <c r="AQ315">
        <f>IF(C315="","","Q"&amp;ROUNDUP(MONTH(C315)/3,0))</f>
        <v/>
      </c>
    </row>
    <row r="316">
      <c r="A316" s="19" t="n">
        <v>46240</v>
      </c>
      <c r="B316" t="inlineStr">
        <is>
          <t>Magazyn Zabrze</t>
        </is>
      </c>
      <c r="C316" s="19" t="n">
        <v>46240</v>
      </c>
      <c r="D316" t="inlineStr">
        <is>
          <t>Magazyn Zabrze</t>
        </is>
      </c>
      <c r="E316" t="inlineStr">
        <is>
          <t>MM</t>
        </is>
      </c>
      <c r="F316" t="inlineStr">
        <is>
          <t>MM-65</t>
        </is>
      </c>
      <c r="G316" t="inlineStr">
        <is>
          <t>TAK</t>
        </is>
      </c>
      <c r="I316" s="20" t="n">
        <v>90</v>
      </c>
      <c r="J316" t="inlineStr">
        <is>
          <t>MP</t>
        </is>
      </c>
      <c r="K316" s="21" t="n">
        <v>0</v>
      </c>
      <c r="L316" s="21" t="n">
        <v>0</v>
      </c>
      <c r="M316" s="21" t="n">
        <v>0</v>
      </c>
      <c r="N316" t="inlineStr">
        <is>
          <t>Zrębka Produkcyjna Leśna</t>
        </is>
      </c>
      <c r="O316" t="inlineStr">
        <is>
          <t>B</t>
        </is>
      </c>
      <c r="Q316" s="21" t="n">
        <v>0</v>
      </c>
      <c r="R316" t="inlineStr">
        <is>
          <t>własny (Chrzan)</t>
        </is>
      </c>
      <c r="S316" t="inlineStr">
        <is>
          <t>SK 5L809</t>
        </is>
      </c>
      <c r="T316" s="22" t="n">
        <v>40</v>
      </c>
      <c r="U316" s="21" t="n">
        <v>5</v>
      </c>
      <c r="V316" s="21" t="n">
        <v>200</v>
      </c>
      <c r="W316" t="inlineStr">
        <is>
          <t>Magazyn Pyskowice</t>
        </is>
      </c>
      <c r="Z316" t="inlineStr">
        <is>
          <t>Roesner Mateusz</t>
        </is>
      </c>
      <c r="AA316" s="23" t="n">
        <v>46244.44136574074</v>
      </c>
      <c r="AB316" t="inlineStr">
        <is>
          <t>OP-MIGR-00315</t>
        </is>
      </c>
      <c r="AD316" t="inlineStr">
        <is>
          <t>AKTYWNY</t>
        </is>
      </c>
      <c r="AE316" s="20">
        <f>IF(I316="",0,IF(ISNUMBER(SEARCH("MP",UPPER(J316))),I316,IF(ISNUMBER(SEARCH("TON",UPPER(J316))),I316/Przelicznik_MP_tona,IF(ISNUMBER(SEARCH("M3",UPPER(J316))),I316*Przelicznik_M3_MP,IF(ISNUMBER(SEARCH("GJ",UPPER(J316))),I316/Przelicznik_GJ_tona/Przelicznik_MP_tona,I316)))))</f>
        <v/>
      </c>
      <c r="AF316" s="20">
        <f>IF(I316="",0,IF(ISNUMBER(SEARCH("TON",UPPER(J316))),I316,IF(ISNUMBER(SEARCH("GJ",UPPER(J316))),I316/Przelicznik_GJ_tona,AE316*Przelicznik_MP_tona)))</f>
        <v/>
      </c>
      <c r="AG316" s="20">
        <f>AF316*Przelicznik_GJ_tona</f>
        <v/>
      </c>
      <c r="AH316" s="20">
        <f>IF(UPPER(AD316)="SKORYGOWANY",0,IF(OR(UPPER(E316)="TRANSPORT",UPPER(E316)="MM"),0,IF(UPPER(G316)&lt;&gt;"TAK",0,IF(OR(UPPER(E316)="ZAKUP",UPPER(E316)="PRODUKCJA"),AE316,IF(OR(UPPER(E316)="SPRZEDAŻ",UPPER(E316)="ZUŻYCIE"),-AE316,0)))))</f>
        <v/>
      </c>
      <c r="AI316" s="20">
        <f>IF(UPPER(AD316)="SKORYGOWANY",0,IF(OR(UPPER(E316)="TRANSPORT",UPPER(E316)="MM"),0,IF(UPPER(G316)&lt;&gt;"TAK",0,IF(OR(UPPER(E316)="ZAKUP",UPPER(E316)="PRODUKCJA"),AF316,IF(OR(UPPER(E316)="SPRZEDAŻ",UPPER(E316)="ZUŻYCIE"),-AF316,0)))))</f>
        <v/>
      </c>
      <c r="AJ316" s="21">
        <f>IF(UPPER(AD316)="SKORYGOWANY",0,IF(UPPER(E316)="ZAKUP",IF(L316&lt;&gt;"",L316,I316*K316),0))</f>
        <v/>
      </c>
      <c r="AK316" s="21">
        <f>IF(UPPER(AD316)="SKORYGOWANY",0,IF(UPPER(E316)="SPRZEDAŻ",IF(L316&lt;&gt;"",L316,I316*M316),0))</f>
        <v/>
      </c>
      <c r="AL316" s="21">
        <f>AE316*Q316</f>
        <v/>
      </c>
      <c r="AM316">
        <f>IF(R316="","",IF(LOWER(R316)="brak","Brak",IF(OR(ISNUMBER(SEARCH("własn",LOWER(R316))),ISNUMBER(SEARCH("wlasn",LOWER(R316))),ISNUMBER(SEARCH("wojciechowski",LOWER(R316)))),"Własny","Zewnętrzny")))</f>
        <v/>
      </c>
      <c r="AN316" s="24">
        <f>IF(C316="","",YEAR(C316))</f>
        <v/>
      </c>
      <c r="AO316" s="24">
        <f>IF(C316="","",MONTH(C316))</f>
        <v/>
      </c>
      <c r="AP316">
        <f>IF(C316="","",UPPER(TEXT(C316,"mmmm")))</f>
        <v/>
      </c>
      <c r="AQ316">
        <f>IF(C316="","","Q"&amp;ROUNDUP(MONTH(C316)/3,0))</f>
        <v/>
      </c>
    </row>
    <row r="317">
      <c r="A317" s="19" t="n">
        <v>46240</v>
      </c>
      <c r="B317" t="inlineStr">
        <is>
          <t>Magazyn Pyskowice</t>
        </is>
      </c>
      <c r="C317" s="19" t="n">
        <v>46240</v>
      </c>
      <c r="D317" t="inlineStr">
        <is>
          <t>Magazyn Pyskowice</t>
        </is>
      </c>
      <c r="E317" t="inlineStr">
        <is>
          <t>SPRZEDAŻ</t>
        </is>
      </c>
      <c r="F317" t="inlineStr">
        <is>
          <t>WZ-11</t>
        </is>
      </c>
      <c r="G317" t="inlineStr">
        <is>
          <t>TAK</t>
        </is>
      </c>
      <c r="H317" t="inlineStr">
        <is>
          <t>KZR</t>
        </is>
      </c>
      <c r="I317" s="20" t="n">
        <v>90</v>
      </c>
      <c r="J317" t="inlineStr">
        <is>
          <t>MP</t>
        </is>
      </c>
      <c r="K317" s="21" t="n">
        <v>0</v>
      </c>
      <c r="L317" s="21" t="n">
        <v>0</v>
      </c>
      <c r="M317" s="21" t="n">
        <v>0</v>
      </c>
      <c r="N317" t="inlineStr">
        <is>
          <t>Zrębka Produkcyjna Leśna</t>
        </is>
      </c>
      <c r="O317" t="inlineStr">
        <is>
          <t>B</t>
        </is>
      </c>
      <c r="Q317" s="21" t="n">
        <v>0</v>
      </c>
      <c r="R317" t="inlineStr">
        <is>
          <t>własny (Chrzan)</t>
        </is>
      </c>
      <c r="S317" t="inlineStr">
        <is>
          <t>SK 5L809</t>
        </is>
      </c>
      <c r="T317" s="22" t="n">
        <v>107</v>
      </c>
      <c r="U317" s="21" t="n">
        <v>5</v>
      </c>
      <c r="V317" s="21" t="n">
        <v>535</v>
      </c>
      <c r="W317" t="inlineStr">
        <is>
          <t>Re Alloys, Łaziska</t>
        </is>
      </c>
      <c r="Z317" t="inlineStr">
        <is>
          <t>Roesner Mateusz</t>
        </is>
      </c>
      <c r="AA317" s="23" t="n">
        <v>46244.44186342593</v>
      </c>
      <c r="AB317" t="inlineStr">
        <is>
          <t>OP-MIGR-00316</t>
        </is>
      </c>
      <c r="AD317" t="inlineStr">
        <is>
          <t>AKTYWNY</t>
        </is>
      </c>
      <c r="AE317" s="20">
        <f>IF(I317="",0,IF(ISNUMBER(SEARCH("MP",UPPER(J317))),I317,IF(ISNUMBER(SEARCH("TON",UPPER(J317))),I317/Przelicznik_MP_tona,IF(ISNUMBER(SEARCH("M3",UPPER(J317))),I317*Przelicznik_M3_MP,IF(ISNUMBER(SEARCH("GJ",UPPER(J317))),I317/Przelicznik_GJ_tona/Przelicznik_MP_tona,I317)))))</f>
        <v/>
      </c>
      <c r="AF317" s="20">
        <f>IF(I317="",0,IF(ISNUMBER(SEARCH("TON",UPPER(J317))),I317,IF(ISNUMBER(SEARCH("GJ",UPPER(J317))),I317/Przelicznik_GJ_tona,AE317*Przelicznik_MP_tona)))</f>
        <v/>
      </c>
      <c r="AG317" s="20">
        <f>AF317*Przelicznik_GJ_tona</f>
        <v/>
      </c>
      <c r="AH317" s="20">
        <f>IF(UPPER(AD317)="SKORYGOWANY",0,IF(OR(UPPER(E317)="TRANSPORT",UPPER(E317)="MM"),0,IF(UPPER(G317)&lt;&gt;"TAK",0,IF(OR(UPPER(E317)="ZAKUP",UPPER(E317)="PRODUKCJA"),AE317,IF(OR(UPPER(E317)="SPRZEDAŻ",UPPER(E317)="ZUŻYCIE"),-AE317,0)))))</f>
        <v/>
      </c>
      <c r="AI317" s="20">
        <f>IF(UPPER(AD317)="SKORYGOWANY",0,IF(OR(UPPER(E317)="TRANSPORT",UPPER(E317)="MM"),0,IF(UPPER(G317)&lt;&gt;"TAK",0,IF(OR(UPPER(E317)="ZAKUP",UPPER(E317)="PRODUKCJA"),AF317,IF(OR(UPPER(E317)="SPRZEDAŻ",UPPER(E317)="ZUŻYCIE"),-AF317,0)))))</f>
        <v/>
      </c>
      <c r="AJ317" s="21">
        <f>IF(UPPER(AD317)="SKORYGOWANY",0,IF(UPPER(E317)="ZAKUP",IF(L317&lt;&gt;"",L317,I317*K317),0))</f>
        <v/>
      </c>
      <c r="AK317" s="21">
        <f>IF(UPPER(AD317)="SKORYGOWANY",0,IF(UPPER(E317)="SPRZEDAŻ",IF(L317&lt;&gt;"",L317,I317*M317),0))</f>
        <v/>
      </c>
      <c r="AL317" s="21">
        <f>AE317*Q317</f>
        <v/>
      </c>
      <c r="AM317">
        <f>IF(R317="","",IF(LOWER(R317)="brak","Brak",IF(OR(ISNUMBER(SEARCH("własn",LOWER(R317))),ISNUMBER(SEARCH("wlasn",LOWER(R317))),ISNUMBER(SEARCH("wojciechowski",LOWER(R317)))),"Własny","Zewnętrzny")))</f>
        <v/>
      </c>
      <c r="AN317" s="24">
        <f>IF(C317="","",YEAR(C317))</f>
        <v/>
      </c>
      <c r="AO317" s="24">
        <f>IF(C317="","",MONTH(C317))</f>
        <v/>
      </c>
      <c r="AP317">
        <f>IF(C317="","",UPPER(TEXT(C317,"mmmm")))</f>
        <v/>
      </c>
      <c r="AQ317">
        <f>IF(C317="","","Q"&amp;ROUNDUP(MONTH(C317)/3,0))</f>
        <v/>
      </c>
    </row>
    <row r="318">
      <c r="A318" s="19" t="n">
        <v>46241</v>
      </c>
      <c r="B318" t="inlineStr">
        <is>
          <t>Magazyn Zabrze</t>
        </is>
      </c>
      <c r="C318" s="19" t="n">
        <v>46241</v>
      </c>
      <c r="D318" t="inlineStr">
        <is>
          <t>Magazyn Zabrze</t>
        </is>
      </c>
      <c r="E318" t="inlineStr">
        <is>
          <t>MM</t>
        </is>
      </c>
      <c r="F318" t="inlineStr">
        <is>
          <t>MM-66</t>
        </is>
      </c>
      <c r="G318" t="inlineStr">
        <is>
          <t>TAK</t>
        </is>
      </c>
      <c r="I318" s="20" t="n">
        <v>90</v>
      </c>
      <c r="J318" t="inlineStr">
        <is>
          <t>MP</t>
        </is>
      </c>
      <c r="K318" s="21" t="n">
        <v>0</v>
      </c>
      <c r="L318" s="21" t="n">
        <v>0</v>
      </c>
      <c r="M318" s="21" t="n">
        <v>0</v>
      </c>
      <c r="N318" t="inlineStr">
        <is>
          <t>Zrębka Produkcyjna Leśna</t>
        </is>
      </c>
      <c r="O318" t="inlineStr">
        <is>
          <t>B</t>
        </is>
      </c>
      <c r="Q318" s="21" t="n">
        <v>0</v>
      </c>
      <c r="R318" t="inlineStr">
        <is>
          <t>własny (Kretek)</t>
        </is>
      </c>
      <c r="S318" t="inlineStr">
        <is>
          <t>SK 7J885</t>
        </is>
      </c>
      <c r="T318" s="22" t="n">
        <v>40</v>
      </c>
      <c r="U318" s="21" t="n">
        <v>5</v>
      </c>
      <c r="V318" s="21" t="n">
        <v>200</v>
      </c>
      <c r="W318" t="inlineStr">
        <is>
          <t>Magazyn Pyskowice</t>
        </is>
      </c>
      <c r="Z318" t="inlineStr">
        <is>
          <t>Roesner Mateusz</t>
        </is>
      </c>
      <c r="AA318" s="23" t="n">
        <v>46244.44320601852</v>
      </c>
      <c r="AB318" t="inlineStr">
        <is>
          <t>OP-MIGR-00317</t>
        </is>
      </c>
      <c r="AD318" t="inlineStr">
        <is>
          <t>AKTYWNY</t>
        </is>
      </c>
      <c r="AE318" s="20">
        <f>IF(I318="",0,IF(ISNUMBER(SEARCH("MP",UPPER(J318))),I318,IF(ISNUMBER(SEARCH("TON",UPPER(J318))),I318/Przelicznik_MP_tona,IF(ISNUMBER(SEARCH("M3",UPPER(J318))),I318*Przelicznik_M3_MP,IF(ISNUMBER(SEARCH("GJ",UPPER(J318))),I318/Przelicznik_GJ_tona/Przelicznik_MP_tona,I318)))))</f>
        <v/>
      </c>
      <c r="AF318" s="20">
        <f>IF(I318="",0,IF(ISNUMBER(SEARCH("TON",UPPER(J318))),I318,IF(ISNUMBER(SEARCH("GJ",UPPER(J318))),I318/Przelicznik_GJ_tona,AE318*Przelicznik_MP_tona)))</f>
        <v/>
      </c>
      <c r="AG318" s="20">
        <f>AF318*Przelicznik_GJ_tona</f>
        <v/>
      </c>
      <c r="AH318" s="20">
        <f>IF(UPPER(AD318)="SKORYGOWANY",0,IF(OR(UPPER(E318)="TRANSPORT",UPPER(E318)="MM"),0,IF(UPPER(G318)&lt;&gt;"TAK",0,IF(OR(UPPER(E318)="ZAKUP",UPPER(E318)="PRODUKCJA"),AE318,IF(OR(UPPER(E318)="SPRZEDAŻ",UPPER(E318)="ZUŻYCIE"),-AE318,0)))))</f>
        <v/>
      </c>
      <c r="AI318" s="20">
        <f>IF(UPPER(AD318)="SKORYGOWANY",0,IF(OR(UPPER(E318)="TRANSPORT",UPPER(E318)="MM"),0,IF(UPPER(G318)&lt;&gt;"TAK",0,IF(OR(UPPER(E318)="ZAKUP",UPPER(E318)="PRODUKCJA"),AF318,IF(OR(UPPER(E318)="SPRZEDAŻ",UPPER(E318)="ZUŻYCIE"),-AF318,0)))))</f>
        <v/>
      </c>
      <c r="AJ318" s="21">
        <f>IF(UPPER(AD318)="SKORYGOWANY",0,IF(UPPER(E318)="ZAKUP",IF(L318&lt;&gt;"",L318,I318*K318),0))</f>
        <v/>
      </c>
      <c r="AK318" s="21">
        <f>IF(UPPER(AD318)="SKORYGOWANY",0,IF(UPPER(E318)="SPRZEDAŻ",IF(L318&lt;&gt;"",L318,I318*M318),0))</f>
        <v/>
      </c>
      <c r="AL318" s="21">
        <f>AE318*Q318</f>
        <v/>
      </c>
      <c r="AM318">
        <f>IF(R318="","",IF(LOWER(R318)="brak","Brak",IF(OR(ISNUMBER(SEARCH("własn",LOWER(R318))),ISNUMBER(SEARCH("wlasn",LOWER(R318))),ISNUMBER(SEARCH("wojciechowski",LOWER(R318)))),"Własny","Zewnętrzny")))</f>
        <v/>
      </c>
      <c r="AN318" s="24">
        <f>IF(C318="","",YEAR(C318))</f>
        <v/>
      </c>
      <c r="AO318" s="24">
        <f>IF(C318="","",MONTH(C318))</f>
        <v/>
      </c>
      <c r="AP318">
        <f>IF(C318="","",UPPER(TEXT(C318,"mmmm")))</f>
        <v/>
      </c>
      <c r="AQ318">
        <f>IF(C318="","","Q"&amp;ROUNDUP(MONTH(C318)/3,0))</f>
        <v/>
      </c>
    </row>
    <row r="319">
      <c r="A319" s="19" t="n">
        <v>46241</v>
      </c>
      <c r="B319" t="inlineStr">
        <is>
          <t>Magazyn Pyskowice</t>
        </is>
      </c>
      <c r="C319" s="19" t="n">
        <v>46241</v>
      </c>
      <c r="D319" t="inlineStr">
        <is>
          <t>Magazyn Pyskowice</t>
        </is>
      </c>
      <c r="E319" t="inlineStr">
        <is>
          <t>SPRZEDAŻ</t>
        </is>
      </c>
      <c r="F319" t="inlineStr">
        <is>
          <t>WZ-12</t>
        </is>
      </c>
      <c r="G319" t="inlineStr">
        <is>
          <t>TAK</t>
        </is>
      </c>
      <c r="H319" t="inlineStr">
        <is>
          <t>KZR</t>
        </is>
      </c>
      <c r="I319" s="20" t="n">
        <v>90</v>
      </c>
      <c r="J319" t="inlineStr">
        <is>
          <t>MP</t>
        </is>
      </c>
      <c r="K319" s="21" t="n">
        <v>0</v>
      </c>
      <c r="L319" s="21" t="n">
        <v>0</v>
      </c>
      <c r="M319" s="21" t="n">
        <v>0</v>
      </c>
      <c r="N319" t="inlineStr">
        <is>
          <t>Zrębka Produkcyjna Leśna</t>
        </is>
      </c>
      <c r="O319" t="inlineStr">
        <is>
          <t>B</t>
        </is>
      </c>
      <c r="Q319" s="21" t="n">
        <v>0</v>
      </c>
      <c r="R319" t="inlineStr">
        <is>
          <t>własny (Kretek)</t>
        </is>
      </c>
      <c r="S319" t="inlineStr">
        <is>
          <t>SK 7J885</t>
        </is>
      </c>
      <c r="T319" s="22" t="n">
        <v>107</v>
      </c>
      <c r="U319" s="21" t="n">
        <v>5</v>
      </c>
      <c r="V319" s="21" t="n">
        <v>535</v>
      </c>
      <c r="W319" t="inlineStr">
        <is>
          <t>Re Alloys, Łaziska</t>
        </is>
      </c>
      <c r="Z319" t="inlineStr">
        <is>
          <t>Roesner Mateusz</t>
        </is>
      </c>
      <c r="AA319" s="23" t="n">
        <v>46244.44369212963</v>
      </c>
      <c r="AB319" t="inlineStr">
        <is>
          <t>OP-MIGR-00318</t>
        </is>
      </c>
      <c r="AD319" t="inlineStr">
        <is>
          <t>AKTYWNY</t>
        </is>
      </c>
      <c r="AE319" s="20">
        <f>IF(I319="",0,IF(ISNUMBER(SEARCH("MP",UPPER(J319))),I319,IF(ISNUMBER(SEARCH("TON",UPPER(J319))),I319/Przelicznik_MP_tona,IF(ISNUMBER(SEARCH("M3",UPPER(J319))),I319*Przelicznik_M3_MP,IF(ISNUMBER(SEARCH("GJ",UPPER(J319))),I319/Przelicznik_GJ_tona/Przelicznik_MP_tona,I319)))))</f>
        <v/>
      </c>
      <c r="AF319" s="20">
        <f>IF(I319="",0,IF(ISNUMBER(SEARCH("TON",UPPER(J319))),I319,IF(ISNUMBER(SEARCH("GJ",UPPER(J319))),I319/Przelicznik_GJ_tona,AE319*Przelicznik_MP_tona)))</f>
        <v/>
      </c>
      <c r="AG319" s="20">
        <f>AF319*Przelicznik_GJ_tona</f>
        <v/>
      </c>
      <c r="AH319" s="20">
        <f>IF(UPPER(AD319)="SKORYGOWANY",0,IF(OR(UPPER(E319)="TRANSPORT",UPPER(E319)="MM"),0,IF(UPPER(G319)&lt;&gt;"TAK",0,IF(OR(UPPER(E319)="ZAKUP",UPPER(E319)="PRODUKCJA"),AE319,IF(OR(UPPER(E319)="SPRZEDAŻ",UPPER(E319)="ZUŻYCIE"),-AE319,0)))))</f>
        <v/>
      </c>
      <c r="AI319" s="20">
        <f>IF(UPPER(AD319)="SKORYGOWANY",0,IF(OR(UPPER(E319)="TRANSPORT",UPPER(E319)="MM"),0,IF(UPPER(G319)&lt;&gt;"TAK",0,IF(OR(UPPER(E319)="ZAKUP",UPPER(E319)="PRODUKCJA"),AF319,IF(OR(UPPER(E319)="SPRZEDAŻ",UPPER(E319)="ZUŻYCIE"),-AF319,0)))))</f>
        <v/>
      </c>
      <c r="AJ319" s="21">
        <f>IF(UPPER(AD319)="SKORYGOWANY",0,IF(UPPER(E319)="ZAKUP",IF(L319&lt;&gt;"",L319,I319*K319),0))</f>
        <v/>
      </c>
      <c r="AK319" s="21">
        <f>IF(UPPER(AD319)="SKORYGOWANY",0,IF(UPPER(E319)="SPRZEDAŻ",IF(L319&lt;&gt;"",L319,I319*M319),0))</f>
        <v/>
      </c>
      <c r="AL319" s="21">
        <f>AE319*Q319</f>
        <v/>
      </c>
      <c r="AM319">
        <f>IF(R319="","",IF(LOWER(R319)="brak","Brak",IF(OR(ISNUMBER(SEARCH("własn",LOWER(R319))),ISNUMBER(SEARCH("wlasn",LOWER(R319))),ISNUMBER(SEARCH("wojciechowski",LOWER(R319)))),"Własny","Zewnętrzny")))</f>
        <v/>
      </c>
      <c r="AN319" s="24">
        <f>IF(C319="","",YEAR(C319))</f>
        <v/>
      </c>
      <c r="AO319" s="24">
        <f>IF(C319="","",MONTH(C319))</f>
        <v/>
      </c>
      <c r="AP319">
        <f>IF(C319="","",UPPER(TEXT(C319,"mmmm")))</f>
        <v/>
      </c>
      <c r="AQ319">
        <f>IF(C319="","","Q"&amp;ROUNDUP(MONTH(C319)/3,0))</f>
        <v/>
      </c>
    </row>
    <row r="320">
      <c r="A320" s="19" t="n">
        <v>46241</v>
      </c>
      <c r="B320" t="inlineStr">
        <is>
          <t>Magazyn Zabrze</t>
        </is>
      </c>
      <c r="C320" s="19" t="n">
        <v>46241</v>
      </c>
      <c r="D320" t="inlineStr">
        <is>
          <t>Magazyn Zabrze</t>
        </is>
      </c>
      <c r="E320" t="inlineStr">
        <is>
          <t>MM</t>
        </is>
      </c>
      <c r="F320" t="inlineStr">
        <is>
          <t>MM-67</t>
        </is>
      </c>
      <c r="G320" t="inlineStr">
        <is>
          <t>TAK</t>
        </is>
      </c>
      <c r="I320" s="20" t="n">
        <v>90</v>
      </c>
      <c r="J320" t="inlineStr">
        <is>
          <t>MP</t>
        </is>
      </c>
      <c r="K320" s="21" t="n">
        <v>0</v>
      </c>
      <c r="L320" s="21" t="n">
        <v>0</v>
      </c>
      <c r="M320" s="21" t="n">
        <v>0</v>
      </c>
      <c r="N320" t="inlineStr">
        <is>
          <t>Zrębka Produkcyjna Leśna</t>
        </is>
      </c>
      <c r="O320" t="inlineStr">
        <is>
          <t>B</t>
        </is>
      </c>
      <c r="Q320" s="21" t="n">
        <v>0</v>
      </c>
      <c r="R320" t="inlineStr">
        <is>
          <t>własny (Wilczak)</t>
        </is>
      </c>
      <c r="S320" t="inlineStr">
        <is>
          <t>SK 7J884</t>
        </is>
      </c>
      <c r="T320" s="22" t="n">
        <v>40</v>
      </c>
      <c r="U320" s="21" t="n">
        <v>5</v>
      </c>
      <c r="V320" s="21" t="n">
        <v>200</v>
      </c>
      <c r="W320" t="inlineStr">
        <is>
          <t>Magazyn Pyskowice</t>
        </is>
      </c>
      <c r="Z320" t="inlineStr">
        <is>
          <t>Roesner Mateusz</t>
        </is>
      </c>
      <c r="AA320" s="23" t="n">
        <v>46244.44450231481</v>
      </c>
      <c r="AB320" t="inlineStr">
        <is>
          <t>OP-MIGR-00319</t>
        </is>
      </c>
      <c r="AD320" t="inlineStr">
        <is>
          <t>AKTYWNY</t>
        </is>
      </c>
      <c r="AE320" s="20">
        <f>IF(I320="",0,IF(ISNUMBER(SEARCH("MP",UPPER(J320))),I320,IF(ISNUMBER(SEARCH("TON",UPPER(J320))),I320/Przelicznik_MP_tona,IF(ISNUMBER(SEARCH("M3",UPPER(J320))),I320*Przelicznik_M3_MP,IF(ISNUMBER(SEARCH("GJ",UPPER(J320))),I320/Przelicznik_GJ_tona/Przelicznik_MP_tona,I320)))))</f>
        <v/>
      </c>
      <c r="AF320" s="20">
        <f>IF(I320="",0,IF(ISNUMBER(SEARCH("TON",UPPER(J320))),I320,IF(ISNUMBER(SEARCH("GJ",UPPER(J320))),I320/Przelicznik_GJ_tona,AE320*Przelicznik_MP_tona)))</f>
        <v/>
      </c>
      <c r="AG320" s="20">
        <f>AF320*Przelicznik_GJ_tona</f>
        <v/>
      </c>
      <c r="AH320" s="20">
        <f>IF(UPPER(AD320)="SKORYGOWANY",0,IF(OR(UPPER(E320)="TRANSPORT",UPPER(E320)="MM"),0,IF(UPPER(G320)&lt;&gt;"TAK",0,IF(OR(UPPER(E320)="ZAKUP",UPPER(E320)="PRODUKCJA"),AE320,IF(OR(UPPER(E320)="SPRZEDAŻ",UPPER(E320)="ZUŻYCIE"),-AE320,0)))))</f>
        <v/>
      </c>
      <c r="AI320" s="20">
        <f>IF(UPPER(AD320)="SKORYGOWANY",0,IF(OR(UPPER(E320)="TRANSPORT",UPPER(E320)="MM"),0,IF(UPPER(G320)&lt;&gt;"TAK",0,IF(OR(UPPER(E320)="ZAKUP",UPPER(E320)="PRODUKCJA"),AF320,IF(OR(UPPER(E320)="SPRZEDAŻ",UPPER(E320)="ZUŻYCIE"),-AF320,0)))))</f>
        <v/>
      </c>
      <c r="AJ320" s="21">
        <f>IF(UPPER(AD320)="SKORYGOWANY",0,IF(UPPER(E320)="ZAKUP",IF(L320&lt;&gt;"",L320,I320*K320),0))</f>
        <v/>
      </c>
      <c r="AK320" s="21">
        <f>IF(UPPER(AD320)="SKORYGOWANY",0,IF(UPPER(E320)="SPRZEDAŻ",IF(L320&lt;&gt;"",L320,I320*M320),0))</f>
        <v/>
      </c>
      <c r="AL320" s="21">
        <f>AE320*Q320</f>
        <v/>
      </c>
      <c r="AM320">
        <f>IF(R320="","",IF(LOWER(R320)="brak","Brak",IF(OR(ISNUMBER(SEARCH("własn",LOWER(R320))),ISNUMBER(SEARCH("wlasn",LOWER(R320))),ISNUMBER(SEARCH("wojciechowski",LOWER(R320)))),"Własny","Zewnętrzny")))</f>
        <v/>
      </c>
      <c r="AN320" s="24">
        <f>IF(C320="","",YEAR(C320))</f>
        <v/>
      </c>
      <c r="AO320" s="24">
        <f>IF(C320="","",MONTH(C320))</f>
        <v/>
      </c>
      <c r="AP320">
        <f>IF(C320="","",UPPER(TEXT(C320,"mmmm")))</f>
        <v/>
      </c>
      <c r="AQ320">
        <f>IF(C320="","","Q"&amp;ROUNDUP(MONTH(C320)/3,0))</f>
        <v/>
      </c>
    </row>
    <row r="321">
      <c r="A321" s="19" t="n">
        <v>46241</v>
      </c>
      <c r="B321" t="inlineStr">
        <is>
          <t>Magazyn Pyskowice</t>
        </is>
      </c>
      <c r="C321" s="19" t="n">
        <v>46241</v>
      </c>
      <c r="D321" t="inlineStr">
        <is>
          <t>Magazyn Pyskowice</t>
        </is>
      </c>
      <c r="E321" t="inlineStr">
        <is>
          <t>SPRZEDAŻ</t>
        </is>
      </c>
      <c r="F321" t="inlineStr">
        <is>
          <t>WZ-13</t>
        </is>
      </c>
      <c r="G321" t="inlineStr">
        <is>
          <t>TAK</t>
        </is>
      </c>
      <c r="H321" t="inlineStr">
        <is>
          <t>KZR</t>
        </is>
      </c>
      <c r="I321" s="20" t="n">
        <v>90</v>
      </c>
      <c r="J321" t="inlineStr">
        <is>
          <t>MP</t>
        </is>
      </c>
      <c r="K321" s="21" t="n">
        <v>0</v>
      </c>
      <c r="L321" s="21" t="n">
        <v>0</v>
      </c>
      <c r="M321" s="21" t="n">
        <v>0</v>
      </c>
      <c r="N321" t="inlineStr">
        <is>
          <t>Zrębka Produkcyjna Leśna</t>
        </is>
      </c>
      <c r="O321" t="inlineStr">
        <is>
          <t>B</t>
        </is>
      </c>
      <c r="Q321" s="21" t="n">
        <v>0</v>
      </c>
      <c r="R321" t="inlineStr">
        <is>
          <t>własny (Wilczak)</t>
        </is>
      </c>
      <c r="S321" t="inlineStr">
        <is>
          <t>SK 7J884</t>
        </is>
      </c>
      <c r="T321" s="22" t="n">
        <v>107</v>
      </c>
      <c r="U321" s="21" t="n">
        <v>5</v>
      </c>
      <c r="V321" s="21" t="n">
        <v>535</v>
      </c>
      <c r="W321" t="inlineStr">
        <is>
          <t>Re Alloys, Łaziska</t>
        </is>
      </c>
      <c r="Z321" t="inlineStr">
        <is>
          <t>Roesner Mateusz</t>
        </is>
      </c>
      <c r="AA321" s="23" t="n">
        <v>46244.44495370371</v>
      </c>
      <c r="AB321" t="inlineStr">
        <is>
          <t>OP-MIGR-00320</t>
        </is>
      </c>
      <c r="AD321" t="inlineStr">
        <is>
          <t>AKTYWNY</t>
        </is>
      </c>
      <c r="AE321" s="20">
        <f>IF(I321="",0,IF(ISNUMBER(SEARCH("MP",UPPER(J321))),I321,IF(ISNUMBER(SEARCH("TON",UPPER(J321))),I321/Przelicznik_MP_tona,IF(ISNUMBER(SEARCH("M3",UPPER(J321))),I321*Przelicznik_M3_MP,IF(ISNUMBER(SEARCH("GJ",UPPER(J321))),I321/Przelicznik_GJ_tona/Przelicznik_MP_tona,I321)))))</f>
        <v/>
      </c>
      <c r="AF321" s="20">
        <f>IF(I321="",0,IF(ISNUMBER(SEARCH("TON",UPPER(J321))),I321,IF(ISNUMBER(SEARCH("GJ",UPPER(J321))),I321/Przelicznik_GJ_tona,AE321*Przelicznik_MP_tona)))</f>
        <v/>
      </c>
      <c r="AG321" s="20">
        <f>AF321*Przelicznik_GJ_tona</f>
        <v/>
      </c>
      <c r="AH321" s="20">
        <f>IF(UPPER(AD321)="SKORYGOWANY",0,IF(OR(UPPER(E321)="TRANSPORT",UPPER(E321)="MM"),0,IF(UPPER(G321)&lt;&gt;"TAK",0,IF(OR(UPPER(E321)="ZAKUP",UPPER(E321)="PRODUKCJA"),AE321,IF(OR(UPPER(E321)="SPRZEDAŻ",UPPER(E321)="ZUŻYCIE"),-AE321,0)))))</f>
        <v/>
      </c>
      <c r="AI321" s="20">
        <f>IF(UPPER(AD321)="SKORYGOWANY",0,IF(OR(UPPER(E321)="TRANSPORT",UPPER(E321)="MM"),0,IF(UPPER(G321)&lt;&gt;"TAK",0,IF(OR(UPPER(E321)="ZAKUP",UPPER(E321)="PRODUKCJA"),AF321,IF(OR(UPPER(E321)="SPRZEDAŻ",UPPER(E321)="ZUŻYCIE"),-AF321,0)))))</f>
        <v/>
      </c>
      <c r="AJ321" s="21">
        <f>IF(UPPER(AD321)="SKORYGOWANY",0,IF(UPPER(E321)="ZAKUP",IF(L321&lt;&gt;"",L321,I321*K321),0))</f>
        <v/>
      </c>
      <c r="AK321" s="21">
        <f>IF(UPPER(AD321)="SKORYGOWANY",0,IF(UPPER(E321)="SPRZEDAŻ",IF(L321&lt;&gt;"",L321,I321*M321),0))</f>
        <v/>
      </c>
      <c r="AL321" s="21">
        <f>AE321*Q321</f>
        <v/>
      </c>
      <c r="AM321">
        <f>IF(R321="","",IF(LOWER(R321)="brak","Brak",IF(OR(ISNUMBER(SEARCH("własn",LOWER(R321))),ISNUMBER(SEARCH("wlasn",LOWER(R321))),ISNUMBER(SEARCH("wojciechowski",LOWER(R321)))),"Własny","Zewnętrzny")))</f>
        <v/>
      </c>
      <c r="AN321" s="24">
        <f>IF(C321="","",YEAR(C321))</f>
        <v/>
      </c>
      <c r="AO321" s="24">
        <f>IF(C321="","",MONTH(C321))</f>
        <v/>
      </c>
      <c r="AP321">
        <f>IF(C321="","",UPPER(TEXT(C321,"mmmm")))</f>
        <v/>
      </c>
      <c r="AQ321">
        <f>IF(C321="","","Q"&amp;ROUNDUP(MONTH(C321)/3,0))</f>
        <v/>
      </c>
    </row>
    <row r="322">
      <c r="A322" s="19" t="n">
        <v>46241</v>
      </c>
      <c r="B322" t="inlineStr">
        <is>
          <t>Magazyn Zabrze</t>
        </is>
      </c>
      <c r="C322" s="19" t="n">
        <v>46241</v>
      </c>
      <c r="D322" t="inlineStr">
        <is>
          <t>Magazyn Zabrze</t>
        </is>
      </c>
      <c r="E322" t="inlineStr">
        <is>
          <t>MM</t>
        </is>
      </c>
      <c r="F322" t="inlineStr">
        <is>
          <t>MM-68</t>
        </is>
      </c>
      <c r="G322" t="inlineStr">
        <is>
          <t>TAK</t>
        </is>
      </c>
      <c r="I322" s="20" t="n">
        <v>90</v>
      </c>
      <c r="J322" t="inlineStr">
        <is>
          <t>MP</t>
        </is>
      </c>
      <c r="K322" s="21" t="n">
        <v>0</v>
      </c>
      <c r="L322" s="21" t="n">
        <v>0</v>
      </c>
      <c r="M322" s="21" t="n">
        <v>0</v>
      </c>
      <c r="N322" t="inlineStr">
        <is>
          <t>Zrębka Produkcyjna Leśna</t>
        </is>
      </c>
      <c r="O322" t="inlineStr">
        <is>
          <t>B</t>
        </is>
      </c>
      <c r="Q322" s="21" t="n">
        <v>0</v>
      </c>
      <c r="R322" t="inlineStr">
        <is>
          <t>własny (Wilczak)</t>
        </is>
      </c>
      <c r="S322" t="inlineStr">
        <is>
          <t>SK 7J884</t>
        </is>
      </c>
      <c r="T322" s="22" t="n">
        <v>40</v>
      </c>
      <c r="U322" s="21" t="n">
        <v>5</v>
      </c>
      <c r="V322" s="21" t="n">
        <v>200</v>
      </c>
      <c r="W322" t="inlineStr">
        <is>
          <t>Magazyn Pyskowice</t>
        </is>
      </c>
      <c r="Z322" t="inlineStr">
        <is>
          <t>Roesner Mateusz</t>
        </is>
      </c>
      <c r="AA322" s="23" t="n">
        <v>46249.56703703704</v>
      </c>
      <c r="AB322" t="inlineStr">
        <is>
          <t>OP-MIGR-00321</t>
        </is>
      </c>
      <c r="AD322" t="inlineStr">
        <is>
          <t>AKTYWNY</t>
        </is>
      </c>
      <c r="AE322" s="20">
        <f>IF(I322="",0,IF(ISNUMBER(SEARCH("MP",UPPER(J322))),I322,IF(ISNUMBER(SEARCH("TON",UPPER(J322))),I322/Przelicznik_MP_tona,IF(ISNUMBER(SEARCH("M3",UPPER(J322))),I322*Przelicznik_M3_MP,IF(ISNUMBER(SEARCH("GJ",UPPER(J322))),I322/Przelicznik_GJ_tona/Przelicznik_MP_tona,I322)))))</f>
        <v/>
      </c>
      <c r="AF322" s="20">
        <f>IF(I322="",0,IF(ISNUMBER(SEARCH("TON",UPPER(J322))),I322,IF(ISNUMBER(SEARCH("GJ",UPPER(J322))),I322/Przelicznik_GJ_tona,AE322*Przelicznik_MP_tona)))</f>
        <v/>
      </c>
      <c r="AG322" s="20">
        <f>AF322*Przelicznik_GJ_tona</f>
        <v/>
      </c>
      <c r="AH322" s="20">
        <f>IF(UPPER(AD322)="SKORYGOWANY",0,IF(OR(UPPER(E322)="TRANSPORT",UPPER(E322)="MM"),0,IF(UPPER(G322)&lt;&gt;"TAK",0,IF(OR(UPPER(E322)="ZAKUP",UPPER(E322)="PRODUKCJA"),AE322,IF(OR(UPPER(E322)="SPRZEDAŻ",UPPER(E322)="ZUŻYCIE"),-AE322,0)))))</f>
        <v/>
      </c>
      <c r="AI322" s="20">
        <f>IF(UPPER(AD322)="SKORYGOWANY",0,IF(OR(UPPER(E322)="TRANSPORT",UPPER(E322)="MM"),0,IF(UPPER(G322)&lt;&gt;"TAK",0,IF(OR(UPPER(E322)="ZAKUP",UPPER(E322)="PRODUKCJA"),AF322,IF(OR(UPPER(E322)="SPRZEDAŻ",UPPER(E322)="ZUŻYCIE"),-AF322,0)))))</f>
        <v/>
      </c>
      <c r="AJ322" s="21">
        <f>IF(UPPER(AD322)="SKORYGOWANY",0,IF(UPPER(E322)="ZAKUP",IF(L322&lt;&gt;"",L322,I322*K322),0))</f>
        <v/>
      </c>
      <c r="AK322" s="21">
        <f>IF(UPPER(AD322)="SKORYGOWANY",0,IF(UPPER(E322)="SPRZEDAŻ",IF(L322&lt;&gt;"",L322,I322*M322),0))</f>
        <v/>
      </c>
      <c r="AL322" s="21">
        <f>AE322*Q322</f>
        <v/>
      </c>
      <c r="AM322">
        <f>IF(R322="","",IF(LOWER(R322)="brak","Brak",IF(OR(ISNUMBER(SEARCH("własn",LOWER(R322))),ISNUMBER(SEARCH("wlasn",LOWER(R322))),ISNUMBER(SEARCH("wojciechowski",LOWER(R322)))),"Własny","Zewnętrzny")))</f>
        <v/>
      </c>
      <c r="AN322" s="24">
        <f>IF(C322="","",YEAR(C322))</f>
        <v/>
      </c>
      <c r="AO322" s="24">
        <f>IF(C322="","",MONTH(C322))</f>
        <v/>
      </c>
      <c r="AP322">
        <f>IF(C322="","",UPPER(TEXT(C322,"mmmm")))</f>
        <v/>
      </c>
      <c r="AQ322">
        <f>IF(C322="","","Q"&amp;ROUNDUP(MONTH(C322)/3,0))</f>
        <v/>
      </c>
    </row>
    <row r="323">
      <c r="A323" s="19" t="n">
        <v>46241</v>
      </c>
      <c r="B323" t="inlineStr">
        <is>
          <t>Magazyn Pyskowice</t>
        </is>
      </c>
      <c r="C323" s="19" t="n">
        <v>46241</v>
      </c>
      <c r="D323" t="inlineStr">
        <is>
          <t>Magazyn Pyskowice</t>
        </is>
      </c>
      <c r="E323" t="inlineStr">
        <is>
          <t>SPRZEDAŻ</t>
        </is>
      </c>
      <c r="F323" t="inlineStr">
        <is>
          <t>WZ-14</t>
        </is>
      </c>
      <c r="G323" t="inlineStr">
        <is>
          <t>TAK</t>
        </is>
      </c>
      <c r="H323" t="inlineStr">
        <is>
          <t>KZR</t>
        </is>
      </c>
      <c r="I323" s="20" t="n">
        <v>90</v>
      </c>
      <c r="J323" t="inlineStr">
        <is>
          <t>MP</t>
        </is>
      </c>
      <c r="K323" s="21" t="n">
        <v>0</v>
      </c>
      <c r="L323" s="21" t="n">
        <v>0</v>
      </c>
      <c r="M323" s="21" t="n">
        <v>0</v>
      </c>
      <c r="N323" t="inlineStr">
        <is>
          <t>Zrębka Produkcyjna Leśna</t>
        </is>
      </c>
      <c r="O323" t="inlineStr">
        <is>
          <t>B</t>
        </is>
      </c>
      <c r="Q323" s="21" t="n">
        <v>0</v>
      </c>
      <c r="R323" t="inlineStr">
        <is>
          <t>własny (Wilczak)</t>
        </is>
      </c>
      <c r="S323" t="inlineStr">
        <is>
          <t>SK 7J884</t>
        </is>
      </c>
      <c r="T323" s="22" t="n">
        <v>107</v>
      </c>
      <c r="U323" s="21" t="n">
        <v>5</v>
      </c>
      <c r="V323" s="21" t="n">
        <v>535</v>
      </c>
      <c r="W323" t="inlineStr">
        <is>
          <t>Re Alloys, Łaziska</t>
        </is>
      </c>
      <c r="Z323" t="inlineStr">
        <is>
          <t>Roesner Mateusz</t>
        </is>
      </c>
      <c r="AA323" s="23" t="n">
        <v>46249.56777777777</v>
      </c>
      <c r="AB323" t="inlineStr">
        <is>
          <t>OP-MIGR-00322</t>
        </is>
      </c>
      <c r="AD323" t="inlineStr">
        <is>
          <t>AKTYWNY</t>
        </is>
      </c>
      <c r="AE323" s="20">
        <f>IF(I323="",0,IF(ISNUMBER(SEARCH("MP",UPPER(J323))),I323,IF(ISNUMBER(SEARCH("TON",UPPER(J323))),I323/Przelicznik_MP_tona,IF(ISNUMBER(SEARCH("M3",UPPER(J323))),I323*Przelicznik_M3_MP,IF(ISNUMBER(SEARCH("GJ",UPPER(J323))),I323/Przelicznik_GJ_tona/Przelicznik_MP_tona,I323)))))</f>
        <v/>
      </c>
      <c r="AF323" s="20">
        <f>IF(I323="",0,IF(ISNUMBER(SEARCH("TON",UPPER(J323))),I323,IF(ISNUMBER(SEARCH("GJ",UPPER(J323))),I323/Przelicznik_GJ_tona,AE323*Przelicznik_MP_tona)))</f>
        <v/>
      </c>
      <c r="AG323" s="20">
        <f>AF323*Przelicznik_GJ_tona</f>
        <v/>
      </c>
      <c r="AH323" s="20">
        <f>IF(UPPER(AD323)="SKORYGOWANY",0,IF(OR(UPPER(E323)="TRANSPORT",UPPER(E323)="MM"),0,IF(UPPER(G323)&lt;&gt;"TAK",0,IF(OR(UPPER(E323)="ZAKUP",UPPER(E323)="PRODUKCJA"),AE323,IF(OR(UPPER(E323)="SPRZEDAŻ",UPPER(E323)="ZUŻYCIE"),-AE323,0)))))</f>
        <v/>
      </c>
      <c r="AI323" s="20">
        <f>IF(UPPER(AD323)="SKORYGOWANY",0,IF(OR(UPPER(E323)="TRANSPORT",UPPER(E323)="MM"),0,IF(UPPER(G323)&lt;&gt;"TAK",0,IF(OR(UPPER(E323)="ZAKUP",UPPER(E323)="PRODUKCJA"),AF323,IF(OR(UPPER(E323)="SPRZEDAŻ",UPPER(E323)="ZUŻYCIE"),-AF323,0)))))</f>
        <v/>
      </c>
      <c r="AJ323" s="21">
        <f>IF(UPPER(AD323)="SKORYGOWANY",0,IF(UPPER(E323)="ZAKUP",IF(L323&lt;&gt;"",L323,I323*K323),0))</f>
        <v/>
      </c>
      <c r="AK323" s="21">
        <f>IF(UPPER(AD323)="SKORYGOWANY",0,IF(UPPER(E323)="SPRZEDAŻ",IF(L323&lt;&gt;"",L323,I323*M323),0))</f>
        <v/>
      </c>
      <c r="AL323" s="21">
        <f>AE323*Q323</f>
        <v/>
      </c>
      <c r="AM323">
        <f>IF(R323="","",IF(LOWER(R323)="brak","Brak",IF(OR(ISNUMBER(SEARCH("własn",LOWER(R323))),ISNUMBER(SEARCH("wlasn",LOWER(R323))),ISNUMBER(SEARCH("wojciechowski",LOWER(R323)))),"Własny","Zewnętrzny")))</f>
        <v/>
      </c>
      <c r="AN323" s="24">
        <f>IF(C323="","",YEAR(C323))</f>
        <v/>
      </c>
      <c r="AO323" s="24">
        <f>IF(C323="","",MONTH(C323))</f>
        <v/>
      </c>
      <c r="AP323">
        <f>IF(C323="","",UPPER(TEXT(C323,"mmmm")))</f>
        <v/>
      </c>
      <c r="AQ323">
        <f>IF(C323="","","Q"&amp;ROUNDUP(MONTH(C323)/3,0))</f>
        <v/>
      </c>
    </row>
    <row r="324">
      <c r="A324" s="19" t="n">
        <v>46241</v>
      </c>
      <c r="B324" t="inlineStr">
        <is>
          <t>Magazyn Zabrze</t>
        </is>
      </c>
      <c r="C324" s="19" t="n">
        <v>46241</v>
      </c>
      <c r="D324" t="inlineStr">
        <is>
          <t>Magazyn Zabrze</t>
        </is>
      </c>
      <c r="E324" t="inlineStr">
        <is>
          <t>MM</t>
        </is>
      </c>
      <c r="F324" t="inlineStr">
        <is>
          <t>MM-69</t>
        </is>
      </c>
      <c r="G324" t="inlineStr">
        <is>
          <t>TAK</t>
        </is>
      </c>
      <c r="I324" s="20" t="n">
        <v>90</v>
      </c>
      <c r="J324" t="inlineStr">
        <is>
          <t>MP</t>
        </is>
      </c>
      <c r="K324" s="21" t="n">
        <v>0</v>
      </c>
      <c r="L324" s="21" t="n">
        <v>0</v>
      </c>
      <c r="M324" s="21" t="n">
        <v>0</v>
      </c>
      <c r="N324" t="inlineStr">
        <is>
          <t>Zrębka Produkcyjna Leśna</t>
        </is>
      </c>
      <c r="O324" t="inlineStr">
        <is>
          <t>B</t>
        </is>
      </c>
      <c r="Q324" s="21" t="n">
        <v>0</v>
      </c>
      <c r="R324" t="inlineStr">
        <is>
          <t>własny (Kretek)</t>
        </is>
      </c>
      <c r="S324" t="inlineStr">
        <is>
          <t>SK 7J885</t>
        </is>
      </c>
      <c r="T324" s="22" t="n">
        <v>40</v>
      </c>
      <c r="U324" s="21" t="n">
        <v>5</v>
      </c>
      <c r="V324" s="21" t="n">
        <v>200</v>
      </c>
      <c r="W324" t="inlineStr">
        <is>
          <t>Magazyn Pyskowice</t>
        </is>
      </c>
      <c r="Z324" t="inlineStr">
        <is>
          <t>Roesner Mateusz</t>
        </is>
      </c>
      <c r="AA324" s="23" t="n">
        <v>46249.85105324074</v>
      </c>
      <c r="AB324" t="inlineStr">
        <is>
          <t>OP-MIGR-00323</t>
        </is>
      </c>
      <c r="AD324" t="inlineStr">
        <is>
          <t>AKTYWNY</t>
        </is>
      </c>
      <c r="AE324" s="20">
        <f>IF(I324="",0,IF(ISNUMBER(SEARCH("MP",UPPER(J324))),I324,IF(ISNUMBER(SEARCH("TON",UPPER(J324))),I324/Przelicznik_MP_tona,IF(ISNUMBER(SEARCH("M3",UPPER(J324))),I324*Przelicznik_M3_MP,IF(ISNUMBER(SEARCH("GJ",UPPER(J324))),I324/Przelicznik_GJ_tona/Przelicznik_MP_tona,I324)))))</f>
        <v/>
      </c>
      <c r="AF324" s="20">
        <f>IF(I324="",0,IF(ISNUMBER(SEARCH("TON",UPPER(J324))),I324,IF(ISNUMBER(SEARCH("GJ",UPPER(J324))),I324/Przelicznik_GJ_tona,AE324*Przelicznik_MP_tona)))</f>
        <v/>
      </c>
      <c r="AG324" s="20">
        <f>AF324*Przelicznik_GJ_tona</f>
        <v/>
      </c>
      <c r="AH324" s="20">
        <f>IF(UPPER(AD324)="SKORYGOWANY",0,IF(OR(UPPER(E324)="TRANSPORT",UPPER(E324)="MM"),0,IF(UPPER(G324)&lt;&gt;"TAK",0,IF(OR(UPPER(E324)="ZAKUP",UPPER(E324)="PRODUKCJA"),AE324,IF(OR(UPPER(E324)="SPRZEDAŻ",UPPER(E324)="ZUŻYCIE"),-AE324,0)))))</f>
        <v/>
      </c>
      <c r="AI324" s="20">
        <f>IF(UPPER(AD324)="SKORYGOWANY",0,IF(OR(UPPER(E324)="TRANSPORT",UPPER(E324)="MM"),0,IF(UPPER(G324)&lt;&gt;"TAK",0,IF(OR(UPPER(E324)="ZAKUP",UPPER(E324)="PRODUKCJA"),AF324,IF(OR(UPPER(E324)="SPRZEDAŻ",UPPER(E324)="ZUŻYCIE"),-AF324,0)))))</f>
        <v/>
      </c>
      <c r="AJ324" s="21">
        <f>IF(UPPER(AD324)="SKORYGOWANY",0,IF(UPPER(E324)="ZAKUP",IF(L324&lt;&gt;"",L324,I324*K324),0))</f>
        <v/>
      </c>
      <c r="AK324" s="21">
        <f>IF(UPPER(AD324)="SKORYGOWANY",0,IF(UPPER(E324)="SPRZEDAŻ",IF(L324&lt;&gt;"",L324,I324*M324),0))</f>
        <v/>
      </c>
      <c r="AL324" s="21">
        <f>AE324*Q324</f>
        <v/>
      </c>
      <c r="AM324">
        <f>IF(R324="","",IF(LOWER(R324)="brak","Brak",IF(OR(ISNUMBER(SEARCH("własn",LOWER(R324))),ISNUMBER(SEARCH("wlasn",LOWER(R324))),ISNUMBER(SEARCH("wojciechowski",LOWER(R324)))),"Własny","Zewnętrzny")))</f>
        <v/>
      </c>
      <c r="AN324" s="24">
        <f>IF(C324="","",YEAR(C324))</f>
        <v/>
      </c>
      <c r="AO324" s="24">
        <f>IF(C324="","",MONTH(C324))</f>
        <v/>
      </c>
      <c r="AP324">
        <f>IF(C324="","",UPPER(TEXT(C324,"mmmm")))</f>
        <v/>
      </c>
      <c r="AQ324">
        <f>IF(C324="","","Q"&amp;ROUNDUP(MONTH(C324)/3,0))</f>
        <v/>
      </c>
    </row>
    <row r="325">
      <c r="A325" s="19" t="n">
        <v>46241</v>
      </c>
      <c r="B325" t="inlineStr">
        <is>
          <t>Magazyn Pyskowice</t>
        </is>
      </c>
      <c r="C325" s="19" t="n">
        <v>46241</v>
      </c>
      <c r="D325" t="inlineStr">
        <is>
          <t>Magazyn Pyskowice</t>
        </is>
      </c>
      <c r="E325" t="inlineStr">
        <is>
          <t>SPRZEDAŻ</t>
        </is>
      </c>
      <c r="F325" t="inlineStr">
        <is>
          <t>WZ-15</t>
        </is>
      </c>
      <c r="G325" t="inlineStr">
        <is>
          <t>TAK</t>
        </is>
      </c>
      <c r="H325" t="inlineStr">
        <is>
          <t>KZR</t>
        </is>
      </c>
      <c r="I325" s="20" t="n">
        <v>90</v>
      </c>
      <c r="J325" t="inlineStr">
        <is>
          <t>MP</t>
        </is>
      </c>
      <c r="K325" s="21" t="n">
        <v>0</v>
      </c>
      <c r="L325" s="21" t="n">
        <v>0</v>
      </c>
      <c r="M325" s="21" t="n">
        <v>0</v>
      </c>
      <c r="N325" t="inlineStr">
        <is>
          <t>Zrębka Produkcyjna Leśna</t>
        </is>
      </c>
      <c r="O325" t="inlineStr">
        <is>
          <t>B</t>
        </is>
      </c>
      <c r="Q325" s="21" t="n">
        <v>0</v>
      </c>
      <c r="R325" t="inlineStr">
        <is>
          <t>własny (Kretek)</t>
        </is>
      </c>
      <c r="S325" t="inlineStr">
        <is>
          <t>SK 7J885</t>
        </is>
      </c>
      <c r="T325" s="22" t="n">
        <v>107</v>
      </c>
      <c r="U325" s="21" t="n">
        <v>5</v>
      </c>
      <c r="V325" s="21" t="n">
        <v>535</v>
      </c>
      <c r="W325" t="inlineStr">
        <is>
          <t>Re Alloys, Łaziska</t>
        </is>
      </c>
      <c r="Z325" t="inlineStr">
        <is>
          <t>Roesner Mateusz</t>
        </is>
      </c>
      <c r="AA325" s="23" t="n">
        <v>46249.85184027778</v>
      </c>
      <c r="AB325" t="inlineStr">
        <is>
          <t>OP-MIGR-00324</t>
        </is>
      </c>
      <c r="AD325" t="inlineStr">
        <is>
          <t>AKTYWNY</t>
        </is>
      </c>
      <c r="AE325" s="20">
        <f>IF(I325="",0,IF(ISNUMBER(SEARCH("MP",UPPER(J325))),I325,IF(ISNUMBER(SEARCH("TON",UPPER(J325))),I325/Przelicznik_MP_tona,IF(ISNUMBER(SEARCH("M3",UPPER(J325))),I325*Przelicznik_M3_MP,IF(ISNUMBER(SEARCH("GJ",UPPER(J325))),I325/Przelicznik_GJ_tona/Przelicznik_MP_tona,I325)))))</f>
        <v/>
      </c>
      <c r="AF325" s="20">
        <f>IF(I325="",0,IF(ISNUMBER(SEARCH("TON",UPPER(J325))),I325,IF(ISNUMBER(SEARCH("GJ",UPPER(J325))),I325/Przelicznik_GJ_tona,AE325*Przelicznik_MP_tona)))</f>
        <v/>
      </c>
      <c r="AG325" s="20">
        <f>AF325*Przelicznik_GJ_tona</f>
        <v/>
      </c>
      <c r="AH325" s="20">
        <f>IF(UPPER(AD325)="SKORYGOWANY",0,IF(OR(UPPER(E325)="TRANSPORT",UPPER(E325)="MM"),0,IF(UPPER(G325)&lt;&gt;"TAK",0,IF(OR(UPPER(E325)="ZAKUP",UPPER(E325)="PRODUKCJA"),AE325,IF(OR(UPPER(E325)="SPRZEDAŻ",UPPER(E325)="ZUŻYCIE"),-AE325,0)))))</f>
        <v/>
      </c>
      <c r="AI325" s="20">
        <f>IF(UPPER(AD325)="SKORYGOWANY",0,IF(OR(UPPER(E325)="TRANSPORT",UPPER(E325)="MM"),0,IF(UPPER(G325)&lt;&gt;"TAK",0,IF(OR(UPPER(E325)="ZAKUP",UPPER(E325)="PRODUKCJA"),AF325,IF(OR(UPPER(E325)="SPRZEDAŻ",UPPER(E325)="ZUŻYCIE"),-AF325,0)))))</f>
        <v/>
      </c>
      <c r="AJ325" s="21">
        <f>IF(UPPER(AD325)="SKORYGOWANY",0,IF(UPPER(E325)="ZAKUP",IF(L325&lt;&gt;"",L325,I325*K325),0))</f>
        <v/>
      </c>
      <c r="AK325" s="21">
        <f>IF(UPPER(AD325)="SKORYGOWANY",0,IF(UPPER(E325)="SPRZEDAŻ",IF(L325&lt;&gt;"",L325,I325*M325),0))</f>
        <v/>
      </c>
      <c r="AL325" s="21">
        <f>AE325*Q325</f>
        <v/>
      </c>
      <c r="AM325">
        <f>IF(R325="","",IF(LOWER(R325)="brak","Brak",IF(OR(ISNUMBER(SEARCH("własn",LOWER(R325))),ISNUMBER(SEARCH("wlasn",LOWER(R325))),ISNUMBER(SEARCH("wojciechowski",LOWER(R325)))),"Własny","Zewnętrzny")))</f>
        <v/>
      </c>
      <c r="AN325" s="24">
        <f>IF(C325="","",YEAR(C325))</f>
        <v/>
      </c>
      <c r="AO325" s="24">
        <f>IF(C325="","",MONTH(C325))</f>
        <v/>
      </c>
      <c r="AP325">
        <f>IF(C325="","",UPPER(TEXT(C325,"mmmm")))</f>
        <v/>
      </c>
      <c r="AQ325">
        <f>IF(C325="","","Q"&amp;ROUNDUP(MONTH(C325)/3,0))</f>
        <v/>
      </c>
    </row>
    <row r="326">
      <c r="A326" s="19" t="n">
        <v>46241</v>
      </c>
      <c r="B326" t="inlineStr">
        <is>
          <t>Magazyn Zabrze</t>
        </is>
      </c>
      <c r="C326" s="19" t="n">
        <v>46241</v>
      </c>
      <c r="D326" t="inlineStr">
        <is>
          <t>Magazyn Zabrze</t>
        </is>
      </c>
      <c r="E326" t="inlineStr">
        <is>
          <t>MM</t>
        </is>
      </c>
      <c r="F326" t="inlineStr">
        <is>
          <t>MM-70</t>
        </is>
      </c>
      <c r="G326" t="inlineStr">
        <is>
          <t>TAK</t>
        </is>
      </c>
      <c r="I326" s="20" t="n">
        <v>90</v>
      </c>
      <c r="J326" t="inlineStr">
        <is>
          <t>MP</t>
        </is>
      </c>
      <c r="K326" s="21" t="n">
        <v>0</v>
      </c>
      <c r="L326" s="21" t="n">
        <v>0</v>
      </c>
      <c r="M326" s="21" t="n">
        <v>0</v>
      </c>
      <c r="N326" t="inlineStr">
        <is>
          <t>Zrębka Produkcyjna Leśna</t>
        </is>
      </c>
      <c r="O326" t="inlineStr">
        <is>
          <t>B</t>
        </is>
      </c>
      <c r="Q326" s="21" t="n">
        <v>0</v>
      </c>
      <c r="R326" t="inlineStr">
        <is>
          <t>własny (Chrzan)</t>
        </is>
      </c>
      <c r="S326" t="inlineStr">
        <is>
          <t>SK 5L809</t>
        </is>
      </c>
      <c r="T326" s="22" t="n">
        <v>40</v>
      </c>
      <c r="U326" s="21" t="n">
        <v>5</v>
      </c>
      <c r="V326" s="21" t="n">
        <v>200</v>
      </c>
      <c r="W326" t="inlineStr">
        <is>
          <t>Magazyn Pyskowice</t>
        </is>
      </c>
      <c r="Z326" t="inlineStr">
        <is>
          <t>Roesner Mateusz</t>
        </is>
      </c>
      <c r="AA326" s="23" t="n">
        <v>46249.85564814815</v>
      </c>
      <c r="AB326" t="inlineStr">
        <is>
          <t>OP-MIGR-00325</t>
        </is>
      </c>
      <c r="AD326" t="inlineStr">
        <is>
          <t>AKTYWNY</t>
        </is>
      </c>
      <c r="AE326" s="20">
        <f>IF(I326="",0,IF(ISNUMBER(SEARCH("MP",UPPER(J326))),I326,IF(ISNUMBER(SEARCH("TON",UPPER(J326))),I326/Przelicznik_MP_tona,IF(ISNUMBER(SEARCH("M3",UPPER(J326))),I326*Przelicznik_M3_MP,IF(ISNUMBER(SEARCH("GJ",UPPER(J326))),I326/Przelicznik_GJ_tona/Przelicznik_MP_tona,I326)))))</f>
        <v/>
      </c>
      <c r="AF326" s="20">
        <f>IF(I326="",0,IF(ISNUMBER(SEARCH("TON",UPPER(J326))),I326,IF(ISNUMBER(SEARCH("GJ",UPPER(J326))),I326/Przelicznik_GJ_tona,AE326*Przelicznik_MP_tona)))</f>
        <v/>
      </c>
      <c r="AG326" s="20">
        <f>AF326*Przelicznik_GJ_tona</f>
        <v/>
      </c>
      <c r="AH326" s="20">
        <f>IF(UPPER(AD326)="SKORYGOWANY",0,IF(OR(UPPER(E326)="TRANSPORT",UPPER(E326)="MM"),0,IF(UPPER(G326)&lt;&gt;"TAK",0,IF(OR(UPPER(E326)="ZAKUP",UPPER(E326)="PRODUKCJA"),AE326,IF(OR(UPPER(E326)="SPRZEDAŻ",UPPER(E326)="ZUŻYCIE"),-AE326,0)))))</f>
        <v/>
      </c>
      <c r="AI326" s="20">
        <f>IF(UPPER(AD326)="SKORYGOWANY",0,IF(OR(UPPER(E326)="TRANSPORT",UPPER(E326)="MM"),0,IF(UPPER(G326)&lt;&gt;"TAK",0,IF(OR(UPPER(E326)="ZAKUP",UPPER(E326)="PRODUKCJA"),AF326,IF(OR(UPPER(E326)="SPRZEDAŻ",UPPER(E326)="ZUŻYCIE"),-AF326,0)))))</f>
        <v/>
      </c>
      <c r="AJ326" s="21">
        <f>IF(UPPER(AD326)="SKORYGOWANY",0,IF(UPPER(E326)="ZAKUP",IF(L326&lt;&gt;"",L326,I326*K326),0))</f>
        <v/>
      </c>
      <c r="AK326" s="21">
        <f>IF(UPPER(AD326)="SKORYGOWANY",0,IF(UPPER(E326)="SPRZEDAŻ",IF(L326&lt;&gt;"",L326,I326*M326),0))</f>
        <v/>
      </c>
      <c r="AL326" s="21">
        <f>AE326*Q326</f>
        <v/>
      </c>
      <c r="AM326">
        <f>IF(R326="","",IF(LOWER(R326)="brak","Brak",IF(OR(ISNUMBER(SEARCH("własn",LOWER(R326))),ISNUMBER(SEARCH("wlasn",LOWER(R326))),ISNUMBER(SEARCH("wojciechowski",LOWER(R326)))),"Własny","Zewnętrzny")))</f>
        <v/>
      </c>
      <c r="AN326" s="24">
        <f>IF(C326="","",YEAR(C326))</f>
        <v/>
      </c>
      <c r="AO326" s="24">
        <f>IF(C326="","",MONTH(C326))</f>
        <v/>
      </c>
      <c r="AP326">
        <f>IF(C326="","",UPPER(TEXT(C326,"mmmm")))</f>
        <v/>
      </c>
      <c r="AQ326">
        <f>IF(C326="","","Q"&amp;ROUNDUP(MONTH(C326)/3,0))</f>
        <v/>
      </c>
    </row>
    <row r="327">
      <c r="A327" s="19" t="n">
        <v>46241</v>
      </c>
      <c r="B327" t="inlineStr">
        <is>
          <t>Magazyn Pyskowice</t>
        </is>
      </c>
      <c r="C327" s="19" t="n">
        <v>46241</v>
      </c>
      <c r="D327" t="inlineStr">
        <is>
          <t>Magazyn Pyskowice</t>
        </is>
      </c>
      <c r="E327" t="inlineStr">
        <is>
          <t>SPRZEDAŻ</t>
        </is>
      </c>
      <c r="F327" t="inlineStr">
        <is>
          <t>WZ-16</t>
        </is>
      </c>
      <c r="G327" t="inlineStr">
        <is>
          <t>TAK</t>
        </is>
      </c>
      <c r="H327" t="inlineStr">
        <is>
          <t>KZR</t>
        </is>
      </c>
      <c r="I327" s="20" t="n">
        <v>90</v>
      </c>
      <c r="J327" t="inlineStr">
        <is>
          <t>MP</t>
        </is>
      </c>
      <c r="K327" s="21" t="n">
        <v>0</v>
      </c>
      <c r="L327" s="21" t="n">
        <v>0</v>
      </c>
      <c r="M327" s="21" t="n">
        <v>0</v>
      </c>
      <c r="N327" t="inlineStr">
        <is>
          <t>Zrębka Produkcyjna Leśna</t>
        </is>
      </c>
      <c r="O327" t="inlineStr">
        <is>
          <t>B</t>
        </is>
      </c>
      <c r="Q327" s="21" t="n">
        <v>0</v>
      </c>
      <c r="R327" t="inlineStr">
        <is>
          <t>własny (Chrzan)</t>
        </is>
      </c>
      <c r="S327" t="inlineStr">
        <is>
          <t>SK 5L809</t>
        </is>
      </c>
      <c r="T327" s="22" t="n">
        <v>107</v>
      </c>
      <c r="U327" s="21" t="n">
        <v>5</v>
      </c>
      <c r="V327" s="21" t="n">
        <v>535</v>
      </c>
      <c r="W327" t="inlineStr">
        <is>
          <t>Re Alloys, Łaziska</t>
        </is>
      </c>
      <c r="Z327" t="inlineStr">
        <is>
          <t>Roesner Mateusz</t>
        </is>
      </c>
      <c r="AA327" s="23" t="n">
        <v>46249.85637731481</v>
      </c>
      <c r="AB327" t="inlineStr">
        <is>
          <t>OP-MIGR-00326</t>
        </is>
      </c>
      <c r="AD327" t="inlineStr">
        <is>
          <t>AKTYWNY</t>
        </is>
      </c>
      <c r="AE327" s="20">
        <f>IF(I327="",0,IF(ISNUMBER(SEARCH("MP",UPPER(J327))),I327,IF(ISNUMBER(SEARCH("TON",UPPER(J327))),I327/Przelicznik_MP_tona,IF(ISNUMBER(SEARCH("M3",UPPER(J327))),I327*Przelicznik_M3_MP,IF(ISNUMBER(SEARCH("GJ",UPPER(J327))),I327/Przelicznik_GJ_tona/Przelicznik_MP_tona,I327)))))</f>
        <v/>
      </c>
      <c r="AF327" s="20">
        <f>IF(I327="",0,IF(ISNUMBER(SEARCH("TON",UPPER(J327))),I327,IF(ISNUMBER(SEARCH("GJ",UPPER(J327))),I327/Przelicznik_GJ_tona,AE327*Przelicznik_MP_tona)))</f>
        <v/>
      </c>
      <c r="AG327" s="20">
        <f>AF327*Przelicznik_GJ_tona</f>
        <v/>
      </c>
      <c r="AH327" s="20">
        <f>IF(UPPER(AD327)="SKORYGOWANY",0,IF(OR(UPPER(E327)="TRANSPORT",UPPER(E327)="MM"),0,IF(UPPER(G327)&lt;&gt;"TAK",0,IF(OR(UPPER(E327)="ZAKUP",UPPER(E327)="PRODUKCJA"),AE327,IF(OR(UPPER(E327)="SPRZEDAŻ",UPPER(E327)="ZUŻYCIE"),-AE327,0)))))</f>
        <v/>
      </c>
      <c r="AI327" s="20">
        <f>IF(UPPER(AD327)="SKORYGOWANY",0,IF(OR(UPPER(E327)="TRANSPORT",UPPER(E327)="MM"),0,IF(UPPER(G327)&lt;&gt;"TAK",0,IF(OR(UPPER(E327)="ZAKUP",UPPER(E327)="PRODUKCJA"),AF327,IF(OR(UPPER(E327)="SPRZEDAŻ",UPPER(E327)="ZUŻYCIE"),-AF327,0)))))</f>
        <v/>
      </c>
      <c r="AJ327" s="21">
        <f>IF(UPPER(AD327)="SKORYGOWANY",0,IF(UPPER(E327)="ZAKUP",IF(L327&lt;&gt;"",L327,I327*K327),0))</f>
        <v/>
      </c>
      <c r="AK327" s="21">
        <f>IF(UPPER(AD327)="SKORYGOWANY",0,IF(UPPER(E327)="SPRZEDAŻ",IF(L327&lt;&gt;"",L327,I327*M327),0))</f>
        <v/>
      </c>
      <c r="AL327" s="21">
        <f>AE327*Q327</f>
        <v/>
      </c>
      <c r="AM327">
        <f>IF(R327="","",IF(LOWER(R327)="brak","Brak",IF(OR(ISNUMBER(SEARCH("własn",LOWER(R327))),ISNUMBER(SEARCH("wlasn",LOWER(R327))),ISNUMBER(SEARCH("wojciechowski",LOWER(R327)))),"Własny","Zewnętrzny")))</f>
        <v/>
      </c>
      <c r="AN327" s="24">
        <f>IF(C327="","",YEAR(C327))</f>
        <v/>
      </c>
      <c r="AO327" s="24">
        <f>IF(C327="","",MONTH(C327))</f>
        <v/>
      </c>
      <c r="AP327">
        <f>IF(C327="","",UPPER(TEXT(C327,"mmmm")))</f>
        <v/>
      </c>
      <c r="AQ327">
        <f>IF(C327="","","Q"&amp;ROUNDUP(MONTH(C327)/3,0))</f>
        <v/>
      </c>
    </row>
    <row r="328">
      <c r="A328" s="19" t="n">
        <v>46240</v>
      </c>
      <c r="B328" t="inlineStr">
        <is>
          <t>Gdańsk</t>
        </is>
      </c>
      <c r="C328" s="19" t="n">
        <v>46242</v>
      </c>
      <c r="D328" t="inlineStr">
        <is>
          <t>Port Północny Gdańsk</t>
        </is>
      </c>
      <c r="E328" t="inlineStr">
        <is>
          <t>ZAKUP</t>
        </is>
      </c>
      <c r="F328" t="inlineStr">
        <is>
          <t>PZ/5/ŁN</t>
        </is>
      </c>
      <c r="G328" t="inlineStr">
        <is>
          <t>TAK</t>
        </is>
      </c>
      <c r="H328" t="inlineStr">
        <is>
          <t>KZR</t>
        </is>
      </c>
      <c r="I328" s="20" t="n">
        <v>1158.85</v>
      </c>
      <c r="J328" t="inlineStr">
        <is>
          <t>TON</t>
        </is>
      </c>
      <c r="K328" s="21" t="n">
        <v>0</v>
      </c>
      <c r="L328" s="21" t="n">
        <v>0</v>
      </c>
      <c r="M328" s="21" t="n">
        <v>0</v>
      </c>
      <c r="N328" t="inlineStr">
        <is>
          <t>CNCS</t>
        </is>
      </c>
      <c r="Q328" s="21" t="n">
        <v>0</v>
      </c>
      <c r="R328" t="inlineStr">
        <is>
          <t>DB Cargo</t>
        </is>
      </c>
      <c r="T328" s="22" t="n">
        <v>0</v>
      </c>
      <c r="U328" s="21" t="n">
        <v>0</v>
      </c>
      <c r="V328" s="21" t="n">
        <v>0</v>
      </c>
      <c r="W328" t="inlineStr">
        <is>
          <t>Magazyn Zabrze</t>
        </is>
      </c>
      <c r="Y328" t="inlineStr">
        <is>
          <t>43 wagony</t>
        </is>
      </c>
      <c r="Z328" t="inlineStr">
        <is>
          <t>Marcin Kwiatkowski</t>
        </is>
      </c>
      <c r="AA328" s="23" t="n">
        <v>46255.58325231481</v>
      </c>
      <c r="AB328" t="inlineStr">
        <is>
          <t>OP-MIGR-00327</t>
        </is>
      </c>
      <c r="AD328" t="inlineStr">
        <is>
          <t>AKTYWNY</t>
        </is>
      </c>
      <c r="AE328" s="20">
        <f>IF(I328="",0,IF(ISNUMBER(SEARCH("MP",UPPER(J328))),I328,IF(ISNUMBER(SEARCH("TON",UPPER(J328))),I328/Przelicznik_MP_tona,IF(ISNUMBER(SEARCH("M3",UPPER(J328))),I328*Przelicznik_M3_MP,IF(ISNUMBER(SEARCH("GJ",UPPER(J328))),I328/Przelicznik_GJ_tona/Przelicznik_MP_tona,I328)))))</f>
        <v/>
      </c>
      <c r="AF328" s="20">
        <f>IF(I328="",0,IF(ISNUMBER(SEARCH("TON",UPPER(J328))),I328,IF(ISNUMBER(SEARCH("GJ",UPPER(J328))),I328/Przelicznik_GJ_tona,AE328*Przelicznik_MP_tona)))</f>
        <v/>
      </c>
      <c r="AG328" s="20">
        <f>AF328*Przelicznik_GJ_tona</f>
        <v/>
      </c>
      <c r="AH328" s="20">
        <f>IF(UPPER(AD328)="SKORYGOWANY",0,IF(OR(UPPER(E328)="TRANSPORT",UPPER(E328)="MM"),0,IF(UPPER(G328)&lt;&gt;"TAK",0,IF(OR(UPPER(E328)="ZAKUP",UPPER(E328)="PRODUKCJA"),AE328,IF(OR(UPPER(E328)="SPRZEDAŻ",UPPER(E328)="ZUŻYCIE"),-AE328,0)))))</f>
        <v/>
      </c>
      <c r="AI328" s="20">
        <f>IF(UPPER(AD328)="SKORYGOWANY",0,IF(OR(UPPER(E328)="TRANSPORT",UPPER(E328)="MM"),0,IF(UPPER(G328)&lt;&gt;"TAK",0,IF(OR(UPPER(E328)="ZAKUP",UPPER(E328)="PRODUKCJA"),AF328,IF(OR(UPPER(E328)="SPRZEDAŻ",UPPER(E328)="ZUŻYCIE"),-AF328,0)))))</f>
        <v/>
      </c>
      <c r="AJ328" s="21">
        <f>IF(UPPER(AD328)="SKORYGOWANY",0,IF(UPPER(E328)="ZAKUP",IF(L328&lt;&gt;"",L328,I328*K328),0))</f>
        <v/>
      </c>
      <c r="AK328" s="21">
        <f>IF(UPPER(AD328)="SKORYGOWANY",0,IF(UPPER(E328)="SPRZEDAŻ",IF(L328&lt;&gt;"",L328,I328*M328),0))</f>
        <v/>
      </c>
      <c r="AL328" s="21">
        <f>AE328*Q328</f>
        <v/>
      </c>
      <c r="AM328">
        <f>IF(R328="","",IF(LOWER(R328)="brak","Brak",IF(OR(ISNUMBER(SEARCH("własn",LOWER(R328))),ISNUMBER(SEARCH("wlasn",LOWER(R328))),ISNUMBER(SEARCH("wojciechowski",LOWER(R328)))),"Własny","Zewnętrzny")))</f>
        <v/>
      </c>
      <c r="AN328" s="24">
        <f>IF(C328="","",YEAR(C328))</f>
        <v/>
      </c>
      <c r="AO328" s="24">
        <f>IF(C328="","",MONTH(C328))</f>
        <v/>
      </c>
      <c r="AP328">
        <f>IF(C328="","",UPPER(TEXT(C328,"mmmm")))</f>
        <v/>
      </c>
      <c r="AQ328">
        <f>IF(C328="","","Q"&amp;ROUNDUP(MONTH(C328)/3,0))</f>
        <v/>
      </c>
    </row>
    <row r="329">
      <c r="A329" s="19" t="n">
        <v>46244</v>
      </c>
      <c r="B329" t="inlineStr">
        <is>
          <t>Magazyn Zabrze</t>
        </is>
      </c>
      <c r="C329" s="19" t="n">
        <v>46244</v>
      </c>
      <c r="D329" t="inlineStr">
        <is>
          <t>Magazyn Zabrze</t>
        </is>
      </c>
      <c r="E329" t="inlineStr">
        <is>
          <t>MM</t>
        </is>
      </c>
      <c r="F329" t="inlineStr">
        <is>
          <t>MM-71</t>
        </is>
      </c>
      <c r="G329" t="inlineStr">
        <is>
          <t>TAK</t>
        </is>
      </c>
      <c r="I329" s="20" t="n">
        <v>90</v>
      </c>
      <c r="J329" t="inlineStr">
        <is>
          <t>MP</t>
        </is>
      </c>
      <c r="K329" s="21" t="n">
        <v>0</v>
      </c>
      <c r="L329" s="21" t="n">
        <v>0</v>
      </c>
      <c r="M329" s="21" t="n">
        <v>0</v>
      </c>
      <c r="N329" t="inlineStr">
        <is>
          <t>Zrębka Produkcyjna Leśna</t>
        </is>
      </c>
      <c r="O329" t="inlineStr">
        <is>
          <t>B</t>
        </is>
      </c>
      <c r="Q329" s="21" t="n">
        <v>0</v>
      </c>
      <c r="R329" t="inlineStr">
        <is>
          <t>własny (Kretek)</t>
        </is>
      </c>
      <c r="S329" t="inlineStr">
        <is>
          <t>SK 7J885</t>
        </is>
      </c>
      <c r="T329" s="22" t="n">
        <v>40</v>
      </c>
      <c r="U329" s="21" t="n">
        <v>5</v>
      </c>
      <c r="V329" s="21" t="n">
        <v>200</v>
      </c>
      <c r="W329" t="inlineStr">
        <is>
          <t>Magazyn Pyskowice</t>
        </is>
      </c>
      <c r="X329" t="inlineStr">
        <is>
          <t>Magazyn Zabrze</t>
        </is>
      </c>
      <c r="Z329" t="inlineStr">
        <is>
          <t>Marcin Kwiatkowski</t>
        </is>
      </c>
      <c r="AA329" s="23" t="n">
        <v>46246.97085648148</v>
      </c>
      <c r="AB329" t="inlineStr">
        <is>
          <t>OP-MIGR-00328</t>
        </is>
      </c>
      <c r="AD329" t="inlineStr">
        <is>
          <t>AKTYWNY</t>
        </is>
      </c>
      <c r="AE329" s="20">
        <f>IF(I329="",0,IF(ISNUMBER(SEARCH("MP",UPPER(J329))),I329,IF(ISNUMBER(SEARCH("TON",UPPER(J329))),I329/Przelicznik_MP_tona,IF(ISNUMBER(SEARCH("M3",UPPER(J329))),I329*Przelicznik_M3_MP,IF(ISNUMBER(SEARCH("GJ",UPPER(J329))),I329/Przelicznik_GJ_tona/Przelicznik_MP_tona,I329)))))</f>
        <v/>
      </c>
      <c r="AF329" s="20">
        <f>IF(I329="",0,IF(ISNUMBER(SEARCH("TON",UPPER(J329))),I329,IF(ISNUMBER(SEARCH("GJ",UPPER(J329))),I329/Przelicznik_GJ_tona,AE329*Przelicznik_MP_tona)))</f>
        <v/>
      </c>
      <c r="AG329" s="20">
        <f>AF329*Przelicznik_GJ_tona</f>
        <v/>
      </c>
      <c r="AH329" s="20">
        <f>IF(UPPER(AD329)="SKORYGOWANY",0,IF(OR(UPPER(E329)="TRANSPORT",UPPER(E329)="MM"),0,IF(UPPER(G329)&lt;&gt;"TAK",0,IF(OR(UPPER(E329)="ZAKUP",UPPER(E329)="PRODUKCJA"),AE329,IF(OR(UPPER(E329)="SPRZEDAŻ",UPPER(E329)="ZUŻYCIE"),-AE329,0)))))</f>
        <v/>
      </c>
      <c r="AI329" s="20">
        <f>IF(UPPER(AD329)="SKORYGOWANY",0,IF(OR(UPPER(E329)="TRANSPORT",UPPER(E329)="MM"),0,IF(UPPER(G329)&lt;&gt;"TAK",0,IF(OR(UPPER(E329)="ZAKUP",UPPER(E329)="PRODUKCJA"),AF329,IF(OR(UPPER(E329)="SPRZEDAŻ",UPPER(E329)="ZUŻYCIE"),-AF329,0)))))</f>
        <v/>
      </c>
      <c r="AJ329" s="21">
        <f>IF(UPPER(AD329)="SKORYGOWANY",0,IF(UPPER(E329)="ZAKUP",IF(L329&lt;&gt;"",L329,I329*K329),0))</f>
        <v/>
      </c>
      <c r="AK329" s="21">
        <f>IF(UPPER(AD329)="SKORYGOWANY",0,IF(UPPER(E329)="SPRZEDAŻ",IF(L329&lt;&gt;"",L329,I329*M329),0))</f>
        <v/>
      </c>
      <c r="AL329" s="21">
        <f>AE329*Q329</f>
        <v/>
      </c>
      <c r="AM329">
        <f>IF(R329="","",IF(LOWER(R329)="brak","Brak",IF(OR(ISNUMBER(SEARCH("własn",LOWER(R329))),ISNUMBER(SEARCH("wlasn",LOWER(R329))),ISNUMBER(SEARCH("wojciechowski",LOWER(R329)))),"Własny","Zewnętrzny")))</f>
        <v/>
      </c>
      <c r="AN329" s="24">
        <f>IF(C329="","",YEAR(C329))</f>
        <v/>
      </c>
      <c r="AO329" s="24">
        <f>IF(C329="","",MONTH(C329))</f>
        <v/>
      </c>
      <c r="AP329">
        <f>IF(C329="","",UPPER(TEXT(C329,"mmmm")))</f>
        <v/>
      </c>
      <c r="AQ329">
        <f>IF(C329="","","Q"&amp;ROUNDUP(MONTH(C329)/3,0))</f>
        <v/>
      </c>
    </row>
    <row r="330">
      <c r="A330" s="19" t="n">
        <v>46244</v>
      </c>
      <c r="B330" t="inlineStr">
        <is>
          <t>Magazyn Pyskowice</t>
        </is>
      </c>
      <c r="C330" s="19" t="n">
        <v>46244</v>
      </c>
      <c r="D330" t="inlineStr">
        <is>
          <t>Magazyn Pyskowice</t>
        </is>
      </c>
      <c r="E330" t="inlineStr">
        <is>
          <t>SPRZEDAŻ</t>
        </is>
      </c>
      <c r="F330" t="inlineStr">
        <is>
          <t>WZ-17</t>
        </is>
      </c>
      <c r="G330" t="inlineStr">
        <is>
          <t>TAK</t>
        </is>
      </c>
      <c r="H330" t="inlineStr">
        <is>
          <t>KZR</t>
        </is>
      </c>
      <c r="I330" s="20" t="n">
        <v>90</v>
      </c>
      <c r="J330" t="inlineStr">
        <is>
          <t>MP</t>
        </is>
      </c>
      <c r="K330" s="21" t="n">
        <v>0</v>
      </c>
      <c r="L330" s="21" t="n">
        <v>0</v>
      </c>
      <c r="M330" s="21" t="n">
        <v>0</v>
      </c>
      <c r="N330" t="inlineStr">
        <is>
          <t>Zrębka Produkcyjna Leśna</t>
        </is>
      </c>
      <c r="O330" t="inlineStr">
        <is>
          <t>B</t>
        </is>
      </c>
      <c r="Q330" s="21" t="n">
        <v>0</v>
      </c>
      <c r="R330" t="inlineStr">
        <is>
          <t>własny (Kretek)</t>
        </is>
      </c>
      <c r="S330" t="inlineStr">
        <is>
          <t>SK 7J885</t>
        </is>
      </c>
      <c r="T330" s="22" t="n">
        <v>107</v>
      </c>
      <c r="U330" s="21" t="n">
        <v>5</v>
      </c>
      <c r="V330" s="21" t="n">
        <v>535</v>
      </c>
      <c r="W330" t="inlineStr">
        <is>
          <t>Re Alloys, Łaziska</t>
        </is>
      </c>
      <c r="Z330" t="inlineStr">
        <is>
          <t>Marcin Kwiatkowski</t>
        </is>
      </c>
      <c r="AA330" s="23" t="n">
        <v>46246.97474537037</v>
      </c>
      <c r="AB330" t="inlineStr">
        <is>
          <t>OP-MIGR-00329</t>
        </is>
      </c>
      <c r="AD330" t="inlineStr">
        <is>
          <t>AKTYWNY</t>
        </is>
      </c>
      <c r="AE330" s="20">
        <f>IF(I330="",0,IF(ISNUMBER(SEARCH("MP",UPPER(J330))),I330,IF(ISNUMBER(SEARCH("TON",UPPER(J330))),I330/Przelicznik_MP_tona,IF(ISNUMBER(SEARCH("M3",UPPER(J330))),I330*Przelicznik_M3_MP,IF(ISNUMBER(SEARCH("GJ",UPPER(J330))),I330/Przelicznik_GJ_tona/Przelicznik_MP_tona,I330)))))</f>
        <v/>
      </c>
      <c r="AF330" s="20">
        <f>IF(I330="",0,IF(ISNUMBER(SEARCH("TON",UPPER(J330))),I330,IF(ISNUMBER(SEARCH("GJ",UPPER(J330))),I330/Przelicznik_GJ_tona,AE330*Przelicznik_MP_tona)))</f>
        <v/>
      </c>
      <c r="AG330" s="20">
        <f>AF330*Przelicznik_GJ_tona</f>
        <v/>
      </c>
      <c r="AH330" s="20">
        <f>IF(UPPER(AD330)="SKORYGOWANY",0,IF(OR(UPPER(E330)="TRANSPORT",UPPER(E330)="MM"),0,IF(UPPER(G330)&lt;&gt;"TAK",0,IF(OR(UPPER(E330)="ZAKUP",UPPER(E330)="PRODUKCJA"),AE330,IF(OR(UPPER(E330)="SPRZEDAŻ",UPPER(E330)="ZUŻYCIE"),-AE330,0)))))</f>
        <v/>
      </c>
      <c r="AI330" s="20">
        <f>IF(UPPER(AD330)="SKORYGOWANY",0,IF(OR(UPPER(E330)="TRANSPORT",UPPER(E330)="MM"),0,IF(UPPER(G330)&lt;&gt;"TAK",0,IF(OR(UPPER(E330)="ZAKUP",UPPER(E330)="PRODUKCJA"),AF330,IF(OR(UPPER(E330)="SPRZEDAŻ",UPPER(E330)="ZUŻYCIE"),-AF330,0)))))</f>
        <v/>
      </c>
      <c r="AJ330" s="21">
        <f>IF(UPPER(AD330)="SKORYGOWANY",0,IF(UPPER(E330)="ZAKUP",IF(L330&lt;&gt;"",L330,I330*K330),0))</f>
        <v/>
      </c>
      <c r="AK330" s="21">
        <f>IF(UPPER(AD330)="SKORYGOWANY",0,IF(UPPER(E330)="SPRZEDAŻ",IF(L330&lt;&gt;"",L330,I330*M330),0))</f>
        <v/>
      </c>
      <c r="AL330" s="21">
        <f>AE330*Q330</f>
        <v/>
      </c>
      <c r="AM330">
        <f>IF(R330="","",IF(LOWER(R330)="brak","Brak",IF(OR(ISNUMBER(SEARCH("własn",LOWER(R330))),ISNUMBER(SEARCH("wlasn",LOWER(R330))),ISNUMBER(SEARCH("wojciechowski",LOWER(R330)))),"Własny","Zewnętrzny")))</f>
        <v/>
      </c>
      <c r="AN330" s="24">
        <f>IF(C330="","",YEAR(C330))</f>
        <v/>
      </c>
      <c r="AO330" s="24">
        <f>IF(C330="","",MONTH(C330))</f>
        <v/>
      </c>
      <c r="AP330">
        <f>IF(C330="","",UPPER(TEXT(C330,"mmmm")))</f>
        <v/>
      </c>
      <c r="AQ330">
        <f>IF(C330="","","Q"&amp;ROUNDUP(MONTH(C330)/3,0))</f>
        <v/>
      </c>
    </row>
    <row r="331">
      <c r="A331" s="19" t="n">
        <v>46244</v>
      </c>
      <c r="B331" t="inlineStr">
        <is>
          <t>Magazyn Zabrze</t>
        </is>
      </c>
      <c r="C331" s="19" t="n">
        <v>46244</v>
      </c>
      <c r="D331" t="inlineStr">
        <is>
          <t>Magazyn Zabrze</t>
        </is>
      </c>
      <c r="E331" t="inlineStr">
        <is>
          <t>MM</t>
        </is>
      </c>
      <c r="F331" t="inlineStr">
        <is>
          <t>MM-72</t>
        </is>
      </c>
      <c r="G331" t="inlineStr">
        <is>
          <t>TAK</t>
        </is>
      </c>
      <c r="I331" s="20" t="n">
        <v>90</v>
      </c>
      <c r="J331" t="inlineStr">
        <is>
          <t>MP</t>
        </is>
      </c>
      <c r="K331" s="21" t="n">
        <v>0</v>
      </c>
      <c r="L331" s="21" t="n">
        <v>0</v>
      </c>
      <c r="M331" s="21" t="n">
        <v>0</v>
      </c>
      <c r="N331" t="inlineStr">
        <is>
          <t>Zrębka Produkcyjna Leśna</t>
        </is>
      </c>
      <c r="O331" t="inlineStr">
        <is>
          <t>B</t>
        </is>
      </c>
      <c r="Q331" s="21" t="n">
        <v>0</v>
      </c>
      <c r="R331" t="inlineStr">
        <is>
          <t>własny (Wilczak)</t>
        </is>
      </c>
      <c r="S331" t="inlineStr">
        <is>
          <t>SK 7J884</t>
        </is>
      </c>
      <c r="T331" s="22" t="n">
        <v>40</v>
      </c>
      <c r="U331" s="21" t="n">
        <v>5</v>
      </c>
      <c r="V331" s="21" t="n">
        <v>200</v>
      </c>
      <c r="W331" t="inlineStr">
        <is>
          <t>Magazyn Pyskowice</t>
        </is>
      </c>
      <c r="X331" t="inlineStr">
        <is>
          <t>Magazyn Zabrze</t>
        </is>
      </c>
      <c r="Z331" t="inlineStr">
        <is>
          <t>Marcin Kwiatkowski</t>
        </is>
      </c>
      <c r="AA331" s="23" t="n">
        <v>46246.97668981482</v>
      </c>
      <c r="AB331" t="inlineStr">
        <is>
          <t>OP-MIGR-00330</t>
        </is>
      </c>
      <c r="AD331" t="inlineStr">
        <is>
          <t>AKTYWNY</t>
        </is>
      </c>
      <c r="AE331" s="20">
        <f>IF(I331="",0,IF(ISNUMBER(SEARCH("MP",UPPER(J331))),I331,IF(ISNUMBER(SEARCH("TON",UPPER(J331))),I331/Przelicznik_MP_tona,IF(ISNUMBER(SEARCH("M3",UPPER(J331))),I331*Przelicznik_M3_MP,IF(ISNUMBER(SEARCH("GJ",UPPER(J331))),I331/Przelicznik_GJ_tona/Przelicznik_MP_tona,I331)))))</f>
        <v/>
      </c>
      <c r="AF331" s="20">
        <f>IF(I331="",0,IF(ISNUMBER(SEARCH("TON",UPPER(J331))),I331,IF(ISNUMBER(SEARCH("GJ",UPPER(J331))),I331/Przelicznik_GJ_tona,AE331*Przelicznik_MP_tona)))</f>
        <v/>
      </c>
      <c r="AG331" s="20">
        <f>AF331*Przelicznik_GJ_tona</f>
        <v/>
      </c>
      <c r="AH331" s="20">
        <f>IF(UPPER(AD331)="SKORYGOWANY",0,IF(OR(UPPER(E331)="TRANSPORT",UPPER(E331)="MM"),0,IF(UPPER(G331)&lt;&gt;"TAK",0,IF(OR(UPPER(E331)="ZAKUP",UPPER(E331)="PRODUKCJA"),AE331,IF(OR(UPPER(E331)="SPRZEDAŻ",UPPER(E331)="ZUŻYCIE"),-AE331,0)))))</f>
        <v/>
      </c>
      <c r="AI331" s="20">
        <f>IF(UPPER(AD331)="SKORYGOWANY",0,IF(OR(UPPER(E331)="TRANSPORT",UPPER(E331)="MM"),0,IF(UPPER(G331)&lt;&gt;"TAK",0,IF(OR(UPPER(E331)="ZAKUP",UPPER(E331)="PRODUKCJA"),AF331,IF(OR(UPPER(E331)="SPRZEDAŻ",UPPER(E331)="ZUŻYCIE"),-AF331,0)))))</f>
        <v/>
      </c>
      <c r="AJ331" s="21">
        <f>IF(UPPER(AD331)="SKORYGOWANY",0,IF(UPPER(E331)="ZAKUP",IF(L331&lt;&gt;"",L331,I331*K331),0))</f>
        <v/>
      </c>
      <c r="AK331" s="21">
        <f>IF(UPPER(AD331)="SKORYGOWANY",0,IF(UPPER(E331)="SPRZEDAŻ",IF(L331&lt;&gt;"",L331,I331*M331),0))</f>
        <v/>
      </c>
      <c r="AL331" s="21">
        <f>AE331*Q331</f>
        <v/>
      </c>
      <c r="AM331">
        <f>IF(R331="","",IF(LOWER(R331)="brak","Brak",IF(OR(ISNUMBER(SEARCH("własn",LOWER(R331))),ISNUMBER(SEARCH("wlasn",LOWER(R331))),ISNUMBER(SEARCH("wojciechowski",LOWER(R331)))),"Własny","Zewnętrzny")))</f>
        <v/>
      </c>
      <c r="AN331" s="24">
        <f>IF(C331="","",YEAR(C331))</f>
        <v/>
      </c>
      <c r="AO331" s="24">
        <f>IF(C331="","",MONTH(C331))</f>
        <v/>
      </c>
      <c r="AP331">
        <f>IF(C331="","",UPPER(TEXT(C331,"mmmm")))</f>
        <v/>
      </c>
      <c r="AQ331">
        <f>IF(C331="","","Q"&amp;ROUNDUP(MONTH(C331)/3,0))</f>
        <v/>
      </c>
    </row>
    <row r="332">
      <c r="A332" s="19" t="n">
        <v>46244</v>
      </c>
      <c r="B332" t="inlineStr">
        <is>
          <t>Magazyn Pyskowice</t>
        </is>
      </c>
      <c r="C332" s="19" t="n">
        <v>46244</v>
      </c>
      <c r="D332" t="inlineStr">
        <is>
          <t>Magazyn Pyskowice</t>
        </is>
      </c>
      <c r="E332" t="inlineStr">
        <is>
          <t>SPRZEDAŻ</t>
        </is>
      </c>
      <c r="F332" t="inlineStr">
        <is>
          <t>WZ-18</t>
        </is>
      </c>
      <c r="G332" t="inlineStr">
        <is>
          <t>TAK</t>
        </is>
      </c>
      <c r="H332" t="inlineStr">
        <is>
          <t>KZR</t>
        </is>
      </c>
      <c r="I332" s="20" t="n">
        <v>90</v>
      </c>
      <c r="J332" t="inlineStr">
        <is>
          <t>MP</t>
        </is>
      </c>
      <c r="K332" s="21" t="n">
        <v>0</v>
      </c>
      <c r="L332" s="21" t="n">
        <v>0</v>
      </c>
      <c r="M332" s="21" t="n">
        <v>0</v>
      </c>
      <c r="N332" t="inlineStr">
        <is>
          <t>Zrębka Produkcyjna Leśna</t>
        </is>
      </c>
      <c r="O332" t="inlineStr">
        <is>
          <t>B</t>
        </is>
      </c>
      <c r="Q332" s="21" t="n">
        <v>0</v>
      </c>
      <c r="R332" t="inlineStr">
        <is>
          <t>własny (Wilczak)</t>
        </is>
      </c>
      <c r="S332" t="inlineStr">
        <is>
          <t>SK 7J884</t>
        </is>
      </c>
      <c r="T332" s="22" t="n">
        <v>107</v>
      </c>
      <c r="U332" s="21" t="n">
        <v>5</v>
      </c>
      <c r="V332" s="21" t="n">
        <v>535</v>
      </c>
      <c r="W332" t="inlineStr">
        <is>
          <t>Re Alloys, Łaziska</t>
        </is>
      </c>
      <c r="Z332" t="inlineStr">
        <is>
          <t>Marcin Kwiatkowski</t>
        </is>
      </c>
      <c r="AA332" s="23" t="n">
        <v>46246.97890046296</v>
      </c>
      <c r="AB332" t="inlineStr">
        <is>
          <t>OP-MIGR-00331</t>
        </is>
      </c>
      <c r="AD332" t="inlineStr">
        <is>
          <t>AKTYWNY</t>
        </is>
      </c>
      <c r="AE332" s="20">
        <f>IF(I332="",0,IF(ISNUMBER(SEARCH("MP",UPPER(J332))),I332,IF(ISNUMBER(SEARCH("TON",UPPER(J332))),I332/Przelicznik_MP_tona,IF(ISNUMBER(SEARCH("M3",UPPER(J332))),I332*Przelicznik_M3_MP,IF(ISNUMBER(SEARCH("GJ",UPPER(J332))),I332/Przelicznik_GJ_tona/Przelicznik_MP_tona,I332)))))</f>
        <v/>
      </c>
      <c r="AF332" s="20">
        <f>IF(I332="",0,IF(ISNUMBER(SEARCH("TON",UPPER(J332))),I332,IF(ISNUMBER(SEARCH("GJ",UPPER(J332))),I332/Przelicznik_GJ_tona,AE332*Przelicznik_MP_tona)))</f>
        <v/>
      </c>
      <c r="AG332" s="20">
        <f>AF332*Przelicznik_GJ_tona</f>
        <v/>
      </c>
      <c r="AH332" s="20">
        <f>IF(UPPER(AD332)="SKORYGOWANY",0,IF(OR(UPPER(E332)="TRANSPORT",UPPER(E332)="MM"),0,IF(UPPER(G332)&lt;&gt;"TAK",0,IF(OR(UPPER(E332)="ZAKUP",UPPER(E332)="PRODUKCJA"),AE332,IF(OR(UPPER(E332)="SPRZEDAŻ",UPPER(E332)="ZUŻYCIE"),-AE332,0)))))</f>
        <v/>
      </c>
      <c r="AI332" s="20">
        <f>IF(UPPER(AD332)="SKORYGOWANY",0,IF(OR(UPPER(E332)="TRANSPORT",UPPER(E332)="MM"),0,IF(UPPER(G332)&lt;&gt;"TAK",0,IF(OR(UPPER(E332)="ZAKUP",UPPER(E332)="PRODUKCJA"),AF332,IF(OR(UPPER(E332)="SPRZEDAŻ",UPPER(E332)="ZUŻYCIE"),-AF332,0)))))</f>
        <v/>
      </c>
      <c r="AJ332" s="21">
        <f>IF(UPPER(AD332)="SKORYGOWANY",0,IF(UPPER(E332)="ZAKUP",IF(L332&lt;&gt;"",L332,I332*K332),0))</f>
        <v/>
      </c>
      <c r="AK332" s="21">
        <f>IF(UPPER(AD332)="SKORYGOWANY",0,IF(UPPER(E332)="SPRZEDAŻ",IF(L332&lt;&gt;"",L332,I332*M332),0))</f>
        <v/>
      </c>
      <c r="AL332" s="21">
        <f>AE332*Q332</f>
        <v/>
      </c>
      <c r="AM332">
        <f>IF(R332="","",IF(LOWER(R332)="brak","Brak",IF(OR(ISNUMBER(SEARCH("własn",LOWER(R332))),ISNUMBER(SEARCH("wlasn",LOWER(R332))),ISNUMBER(SEARCH("wojciechowski",LOWER(R332)))),"Własny","Zewnętrzny")))</f>
        <v/>
      </c>
      <c r="AN332" s="24">
        <f>IF(C332="","",YEAR(C332))</f>
        <v/>
      </c>
      <c r="AO332" s="24">
        <f>IF(C332="","",MONTH(C332))</f>
        <v/>
      </c>
      <c r="AP332">
        <f>IF(C332="","",UPPER(TEXT(C332,"mmmm")))</f>
        <v/>
      </c>
      <c r="AQ332">
        <f>IF(C332="","","Q"&amp;ROUNDUP(MONTH(C332)/3,0))</f>
        <v/>
      </c>
    </row>
    <row r="333">
      <c r="A333" s="19" t="n">
        <v>46244</v>
      </c>
      <c r="B333" t="inlineStr">
        <is>
          <t>Magazyn Zabrze</t>
        </is>
      </c>
      <c r="C333" s="19" t="n">
        <v>46244</v>
      </c>
      <c r="D333" t="inlineStr">
        <is>
          <t>Magazyn Zabrze</t>
        </is>
      </c>
      <c r="E333" t="inlineStr">
        <is>
          <t>MM</t>
        </is>
      </c>
      <c r="F333" t="inlineStr">
        <is>
          <t>MM-73</t>
        </is>
      </c>
      <c r="G333" t="inlineStr">
        <is>
          <t>TAK</t>
        </is>
      </c>
      <c r="I333" s="20" t="n">
        <v>90</v>
      </c>
      <c r="J333" t="inlineStr">
        <is>
          <t>MP</t>
        </is>
      </c>
      <c r="K333" s="21" t="n">
        <v>0</v>
      </c>
      <c r="L333" s="21" t="n">
        <v>0</v>
      </c>
      <c r="M333" s="21" t="n">
        <v>0</v>
      </c>
      <c r="N333" t="inlineStr">
        <is>
          <t>Zrębka Produkcyjna Leśna</t>
        </is>
      </c>
      <c r="O333" t="inlineStr">
        <is>
          <t>B</t>
        </is>
      </c>
      <c r="Q333" s="21" t="n">
        <v>0</v>
      </c>
      <c r="R333" t="inlineStr">
        <is>
          <t>własny (Wilczak)</t>
        </is>
      </c>
      <c r="S333" t="inlineStr">
        <is>
          <t>SK 7J884</t>
        </is>
      </c>
      <c r="T333" s="22" t="n">
        <v>40</v>
      </c>
      <c r="U333" s="21" t="n">
        <v>5</v>
      </c>
      <c r="V333" s="21" t="n">
        <v>200</v>
      </c>
      <c r="W333" t="inlineStr">
        <is>
          <t>Magazyn Pyskowice</t>
        </is>
      </c>
      <c r="X333" t="inlineStr">
        <is>
          <t>Magazyn Zabrze</t>
        </is>
      </c>
      <c r="Z333" t="inlineStr">
        <is>
          <t>Marcin Kwiatkowski</t>
        </is>
      </c>
      <c r="AA333" s="23" t="n">
        <v>46246.98082175926</v>
      </c>
      <c r="AB333" t="inlineStr">
        <is>
          <t>OP-MIGR-00332</t>
        </is>
      </c>
      <c r="AD333" t="inlineStr">
        <is>
          <t>AKTYWNY</t>
        </is>
      </c>
      <c r="AE333" s="20">
        <f>IF(I333="",0,IF(ISNUMBER(SEARCH("MP",UPPER(J333))),I333,IF(ISNUMBER(SEARCH("TON",UPPER(J333))),I333/Przelicznik_MP_tona,IF(ISNUMBER(SEARCH("M3",UPPER(J333))),I333*Przelicznik_M3_MP,IF(ISNUMBER(SEARCH("GJ",UPPER(J333))),I333/Przelicznik_GJ_tona/Przelicznik_MP_tona,I333)))))</f>
        <v/>
      </c>
      <c r="AF333" s="20">
        <f>IF(I333="",0,IF(ISNUMBER(SEARCH("TON",UPPER(J333))),I333,IF(ISNUMBER(SEARCH("GJ",UPPER(J333))),I333/Przelicznik_GJ_tona,AE333*Przelicznik_MP_tona)))</f>
        <v/>
      </c>
      <c r="AG333" s="20">
        <f>AF333*Przelicznik_GJ_tona</f>
        <v/>
      </c>
      <c r="AH333" s="20">
        <f>IF(UPPER(AD333)="SKORYGOWANY",0,IF(OR(UPPER(E333)="TRANSPORT",UPPER(E333)="MM"),0,IF(UPPER(G333)&lt;&gt;"TAK",0,IF(OR(UPPER(E333)="ZAKUP",UPPER(E333)="PRODUKCJA"),AE333,IF(OR(UPPER(E333)="SPRZEDAŻ",UPPER(E333)="ZUŻYCIE"),-AE333,0)))))</f>
        <v/>
      </c>
      <c r="AI333" s="20">
        <f>IF(UPPER(AD333)="SKORYGOWANY",0,IF(OR(UPPER(E333)="TRANSPORT",UPPER(E333)="MM"),0,IF(UPPER(G333)&lt;&gt;"TAK",0,IF(OR(UPPER(E333)="ZAKUP",UPPER(E333)="PRODUKCJA"),AF333,IF(OR(UPPER(E333)="SPRZEDAŻ",UPPER(E333)="ZUŻYCIE"),-AF333,0)))))</f>
        <v/>
      </c>
      <c r="AJ333" s="21">
        <f>IF(UPPER(AD333)="SKORYGOWANY",0,IF(UPPER(E333)="ZAKUP",IF(L333&lt;&gt;"",L333,I333*K333),0))</f>
        <v/>
      </c>
      <c r="AK333" s="21">
        <f>IF(UPPER(AD333)="SKORYGOWANY",0,IF(UPPER(E333)="SPRZEDAŻ",IF(L333&lt;&gt;"",L333,I333*M333),0))</f>
        <v/>
      </c>
      <c r="AL333" s="21">
        <f>AE333*Q333</f>
        <v/>
      </c>
      <c r="AM333">
        <f>IF(R333="","",IF(LOWER(R333)="brak","Brak",IF(OR(ISNUMBER(SEARCH("własn",LOWER(R333))),ISNUMBER(SEARCH("wlasn",LOWER(R333))),ISNUMBER(SEARCH("wojciechowski",LOWER(R333)))),"Własny","Zewnętrzny")))</f>
        <v/>
      </c>
      <c r="AN333" s="24">
        <f>IF(C333="","",YEAR(C333))</f>
        <v/>
      </c>
      <c r="AO333" s="24">
        <f>IF(C333="","",MONTH(C333))</f>
        <v/>
      </c>
      <c r="AP333">
        <f>IF(C333="","",UPPER(TEXT(C333,"mmmm")))</f>
        <v/>
      </c>
      <c r="AQ333">
        <f>IF(C333="","","Q"&amp;ROUNDUP(MONTH(C333)/3,0))</f>
        <v/>
      </c>
    </row>
    <row r="334">
      <c r="A334" s="19" t="n">
        <v>46244</v>
      </c>
      <c r="B334" t="inlineStr">
        <is>
          <t>Magazyn Pyskowice</t>
        </is>
      </c>
      <c r="C334" s="19" t="n">
        <v>46244</v>
      </c>
      <c r="D334" t="inlineStr">
        <is>
          <t>Magazyn Pyskowice</t>
        </is>
      </c>
      <c r="E334" t="inlineStr">
        <is>
          <t>SPRZEDAŻ</t>
        </is>
      </c>
      <c r="F334" t="inlineStr">
        <is>
          <t>WZ-19</t>
        </is>
      </c>
      <c r="G334" t="inlineStr">
        <is>
          <t>TAK</t>
        </is>
      </c>
      <c r="H334" t="inlineStr">
        <is>
          <t>KZR</t>
        </is>
      </c>
      <c r="I334" s="20" t="n">
        <v>90</v>
      </c>
      <c r="J334" t="inlineStr">
        <is>
          <t>MP</t>
        </is>
      </c>
      <c r="K334" s="21" t="n">
        <v>0</v>
      </c>
      <c r="L334" s="21" t="n">
        <v>0</v>
      </c>
      <c r="M334" s="21" t="n">
        <v>0</v>
      </c>
      <c r="N334" t="inlineStr">
        <is>
          <t>Zrębka Produkcyjna Leśna</t>
        </is>
      </c>
      <c r="O334" t="inlineStr">
        <is>
          <t>B</t>
        </is>
      </c>
      <c r="Q334" s="21" t="n">
        <v>0</v>
      </c>
      <c r="R334" t="inlineStr">
        <is>
          <t>własny (Wilczak)</t>
        </is>
      </c>
      <c r="S334" t="inlineStr">
        <is>
          <t>SK 7J884</t>
        </is>
      </c>
      <c r="T334" s="22" t="n">
        <v>107</v>
      </c>
      <c r="U334" s="21" t="n">
        <v>5</v>
      </c>
      <c r="V334" s="21" t="n">
        <v>535</v>
      </c>
      <c r="W334" t="inlineStr">
        <is>
          <t>Re Alloys, Łaziska</t>
        </is>
      </c>
      <c r="Z334" t="inlineStr">
        <is>
          <t>Marcin Kwiatkowski</t>
        </is>
      </c>
      <c r="AA334" s="23" t="n">
        <v>46246.98241898148</v>
      </c>
      <c r="AB334" t="inlineStr">
        <is>
          <t>OP-MIGR-00333</t>
        </is>
      </c>
      <c r="AD334" t="inlineStr">
        <is>
          <t>AKTYWNY</t>
        </is>
      </c>
      <c r="AE334" s="20">
        <f>IF(I334="",0,IF(ISNUMBER(SEARCH("MP",UPPER(J334))),I334,IF(ISNUMBER(SEARCH("TON",UPPER(J334))),I334/Przelicznik_MP_tona,IF(ISNUMBER(SEARCH("M3",UPPER(J334))),I334*Przelicznik_M3_MP,IF(ISNUMBER(SEARCH("GJ",UPPER(J334))),I334/Przelicznik_GJ_tona/Przelicznik_MP_tona,I334)))))</f>
        <v/>
      </c>
      <c r="AF334" s="20">
        <f>IF(I334="",0,IF(ISNUMBER(SEARCH("TON",UPPER(J334))),I334,IF(ISNUMBER(SEARCH("GJ",UPPER(J334))),I334/Przelicznik_GJ_tona,AE334*Przelicznik_MP_tona)))</f>
        <v/>
      </c>
      <c r="AG334" s="20">
        <f>AF334*Przelicznik_GJ_tona</f>
        <v/>
      </c>
      <c r="AH334" s="20">
        <f>IF(UPPER(AD334)="SKORYGOWANY",0,IF(OR(UPPER(E334)="TRANSPORT",UPPER(E334)="MM"),0,IF(UPPER(G334)&lt;&gt;"TAK",0,IF(OR(UPPER(E334)="ZAKUP",UPPER(E334)="PRODUKCJA"),AE334,IF(OR(UPPER(E334)="SPRZEDAŻ",UPPER(E334)="ZUŻYCIE"),-AE334,0)))))</f>
        <v/>
      </c>
      <c r="AI334" s="20">
        <f>IF(UPPER(AD334)="SKORYGOWANY",0,IF(OR(UPPER(E334)="TRANSPORT",UPPER(E334)="MM"),0,IF(UPPER(G334)&lt;&gt;"TAK",0,IF(OR(UPPER(E334)="ZAKUP",UPPER(E334)="PRODUKCJA"),AF334,IF(OR(UPPER(E334)="SPRZEDAŻ",UPPER(E334)="ZUŻYCIE"),-AF334,0)))))</f>
        <v/>
      </c>
      <c r="AJ334" s="21">
        <f>IF(UPPER(AD334)="SKORYGOWANY",0,IF(UPPER(E334)="ZAKUP",IF(L334&lt;&gt;"",L334,I334*K334),0))</f>
        <v/>
      </c>
      <c r="AK334" s="21">
        <f>IF(UPPER(AD334)="SKORYGOWANY",0,IF(UPPER(E334)="SPRZEDAŻ",IF(L334&lt;&gt;"",L334,I334*M334),0))</f>
        <v/>
      </c>
      <c r="AL334" s="21">
        <f>AE334*Q334</f>
        <v/>
      </c>
      <c r="AM334">
        <f>IF(R334="","",IF(LOWER(R334)="brak","Brak",IF(OR(ISNUMBER(SEARCH("własn",LOWER(R334))),ISNUMBER(SEARCH("wlasn",LOWER(R334))),ISNUMBER(SEARCH("wojciechowski",LOWER(R334)))),"Własny","Zewnętrzny")))</f>
        <v/>
      </c>
      <c r="AN334" s="24">
        <f>IF(C334="","",YEAR(C334))</f>
        <v/>
      </c>
      <c r="AO334" s="24">
        <f>IF(C334="","",MONTH(C334))</f>
        <v/>
      </c>
      <c r="AP334">
        <f>IF(C334="","",UPPER(TEXT(C334,"mmmm")))</f>
        <v/>
      </c>
      <c r="AQ334">
        <f>IF(C334="","","Q"&amp;ROUNDUP(MONTH(C334)/3,0))</f>
        <v/>
      </c>
    </row>
    <row r="335">
      <c r="A335" s="19" t="n">
        <v>46244</v>
      </c>
      <c r="B335" t="inlineStr">
        <is>
          <t>Magazyn Brąszewice</t>
        </is>
      </c>
      <c r="C335" s="19" t="n">
        <v>46244</v>
      </c>
      <c r="D335" t="inlineStr">
        <is>
          <t>Magazyn Brąszewice</t>
        </is>
      </c>
      <c r="E335" t="inlineStr">
        <is>
          <t>MM</t>
        </is>
      </c>
      <c r="F335" t="inlineStr">
        <is>
          <t>MM-74</t>
        </is>
      </c>
      <c r="G335" t="inlineStr">
        <is>
          <t>TAK</t>
        </is>
      </c>
      <c r="I335" s="20" t="n">
        <v>80</v>
      </c>
      <c r="J335" t="inlineStr">
        <is>
          <t>MP</t>
        </is>
      </c>
      <c r="K335" s="21" t="n">
        <v>0</v>
      </c>
      <c r="L335" s="21" t="n">
        <v>0</v>
      </c>
      <c r="M335" s="21" t="n">
        <v>0</v>
      </c>
      <c r="N335" t="inlineStr">
        <is>
          <t>Zrębka Produkcyjna Drzewna</t>
        </is>
      </c>
      <c r="O335" t="inlineStr">
        <is>
          <t>B</t>
        </is>
      </c>
      <c r="Q335" s="21" t="n">
        <v>0</v>
      </c>
      <c r="R335" t="inlineStr">
        <is>
          <t>własny (Chrzan)</t>
        </is>
      </c>
      <c r="S335" t="inlineStr">
        <is>
          <t>SK 5L809</t>
        </is>
      </c>
      <c r="T335" s="22" t="n">
        <v>340</v>
      </c>
      <c r="U335" s="21" t="n">
        <v>5</v>
      </c>
      <c r="V335" s="21" t="n">
        <v>1700</v>
      </c>
      <c r="W335" t="inlineStr">
        <is>
          <t>Magazyn Zabrze</t>
        </is>
      </c>
      <c r="X335" t="inlineStr">
        <is>
          <t>Magazyn Brąszewice</t>
        </is>
      </c>
      <c r="Z335" t="inlineStr">
        <is>
          <t>Marcin Kwiatkowski</t>
        </is>
      </c>
      <c r="AA335" s="23" t="n">
        <v>46246.99046296296</v>
      </c>
      <c r="AB335" t="inlineStr">
        <is>
          <t>OP-MIGR-00334</t>
        </is>
      </c>
      <c r="AD335" t="inlineStr">
        <is>
          <t>AKTYWNY</t>
        </is>
      </c>
      <c r="AE335" s="20">
        <f>IF(I335="",0,IF(ISNUMBER(SEARCH("MP",UPPER(J335))),I335,IF(ISNUMBER(SEARCH("TON",UPPER(J335))),I335/Przelicznik_MP_tona,IF(ISNUMBER(SEARCH("M3",UPPER(J335))),I335*Przelicznik_M3_MP,IF(ISNUMBER(SEARCH("GJ",UPPER(J335))),I335/Przelicznik_GJ_tona/Przelicznik_MP_tona,I335)))))</f>
        <v/>
      </c>
      <c r="AF335" s="20">
        <f>IF(I335="",0,IF(ISNUMBER(SEARCH("TON",UPPER(J335))),I335,IF(ISNUMBER(SEARCH("GJ",UPPER(J335))),I335/Przelicznik_GJ_tona,AE335*Przelicznik_MP_tona)))</f>
        <v/>
      </c>
      <c r="AG335" s="20">
        <f>AF335*Przelicznik_GJ_tona</f>
        <v/>
      </c>
      <c r="AH335" s="20">
        <f>IF(UPPER(AD335)="SKORYGOWANY",0,IF(OR(UPPER(E335)="TRANSPORT",UPPER(E335)="MM"),0,IF(UPPER(G335)&lt;&gt;"TAK",0,IF(OR(UPPER(E335)="ZAKUP",UPPER(E335)="PRODUKCJA"),AE335,IF(OR(UPPER(E335)="SPRZEDAŻ",UPPER(E335)="ZUŻYCIE"),-AE335,0)))))</f>
        <v/>
      </c>
      <c r="AI335" s="20">
        <f>IF(UPPER(AD335)="SKORYGOWANY",0,IF(OR(UPPER(E335)="TRANSPORT",UPPER(E335)="MM"),0,IF(UPPER(G335)&lt;&gt;"TAK",0,IF(OR(UPPER(E335)="ZAKUP",UPPER(E335)="PRODUKCJA"),AF335,IF(OR(UPPER(E335)="SPRZEDAŻ",UPPER(E335)="ZUŻYCIE"),-AF335,0)))))</f>
        <v/>
      </c>
      <c r="AJ335" s="21">
        <f>IF(UPPER(AD335)="SKORYGOWANY",0,IF(UPPER(E335)="ZAKUP",IF(L335&lt;&gt;"",L335,I335*K335),0))</f>
        <v/>
      </c>
      <c r="AK335" s="21">
        <f>IF(UPPER(AD335)="SKORYGOWANY",0,IF(UPPER(E335)="SPRZEDAŻ",IF(L335&lt;&gt;"",L335,I335*M335),0))</f>
        <v/>
      </c>
      <c r="AL335" s="21">
        <f>AE335*Q335</f>
        <v/>
      </c>
      <c r="AM335">
        <f>IF(R335="","",IF(LOWER(R335)="brak","Brak",IF(OR(ISNUMBER(SEARCH("własn",LOWER(R335))),ISNUMBER(SEARCH("wlasn",LOWER(R335))),ISNUMBER(SEARCH("wojciechowski",LOWER(R335)))),"Własny","Zewnętrzny")))</f>
        <v/>
      </c>
      <c r="AN335" s="24">
        <f>IF(C335="","",YEAR(C335))</f>
        <v/>
      </c>
      <c r="AO335" s="24">
        <f>IF(C335="","",MONTH(C335))</f>
        <v/>
      </c>
      <c r="AP335">
        <f>IF(C335="","",UPPER(TEXT(C335,"mmmm")))</f>
        <v/>
      </c>
      <c r="AQ335">
        <f>IF(C335="","","Q"&amp;ROUNDUP(MONTH(C335)/3,0))</f>
        <v/>
      </c>
    </row>
    <row r="336">
      <c r="A336" s="19" t="n">
        <v>46244</v>
      </c>
      <c r="C336" s="19" t="n">
        <v>46244</v>
      </c>
      <c r="D336" t="inlineStr">
        <is>
          <t>Lander Agro</t>
        </is>
      </c>
      <c r="E336" t="inlineStr">
        <is>
          <t>ZAKUP</t>
        </is>
      </c>
      <c r="F336" t="inlineStr">
        <is>
          <t>PZ/31/D</t>
        </is>
      </c>
      <c r="G336" t="inlineStr">
        <is>
          <t>TAK</t>
        </is>
      </c>
      <c r="H336" t="inlineStr">
        <is>
          <t>KZR</t>
        </is>
      </c>
      <c r="I336" s="20" t="n">
        <v>29.96</v>
      </c>
      <c r="J336" t="inlineStr">
        <is>
          <t>M3</t>
        </is>
      </c>
      <c r="K336" s="21" t="n">
        <v>230</v>
      </c>
      <c r="L336" s="21" t="n">
        <v>6890.8</v>
      </c>
      <c r="M336" s="21" t="n">
        <v>0</v>
      </c>
      <c r="N336" t="inlineStr">
        <is>
          <t>Drewno opałowe z lasu</t>
        </is>
      </c>
      <c r="Q336" s="21" t="n">
        <v>0</v>
      </c>
      <c r="T336" s="22" t="n">
        <v>0</v>
      </c>
      <c r="U336" s="21" t="n">
        <v>0</v>
      </c>
      <c r="V336" s="21" t="n">
        <v>0</v>
      </c>
      <c r="W336" t="inlineStr">
        <is>
          <t>Magazyn Zabrze</t>
        </is>
      </c>
      <c r="Y336" t="inlineStr">
        <is>
          <t>Waga b/d</t>
        </is>
      </c>
      <c r="Z336" t="inlineStr">
        <is>
          <t>Roesner Mateusz</t>
        </is>
      </c>
      <c r="AA336" s="23" t="n">
        <v>46249.86672453704</v>
      </c>
      <c r="AB336" t="inlineStr">
        <is>
          <t>OP-MIGR-00335</t>
        </is>
      </c>
      <c r="AD336" t="inlineStr">
        <is>
          <t>AKTYWNY</t>
        </is>
      </c>
      <c r="AE336" s="20">
        <f>IF(I336="",0,IF(ISNUMBER(SEARCH("MP",UPPER(J336))),I336,IF(ISNUMBER(SEARCH("TON",UPPER(J336))),I336/Przelicznik_MP_tona,IF(ISNUMBER(SEARCH("M3",UPPER(J336))),I336*Przelicznik_M3_MP,IF(ISNUMBER(SEARCH("GJ",UPPER(J336))),I336/Przelicznik_GJ_tona/Przelicznik_MP_tona,I336)))))</f>
        <v/>
      </c>
      <c r="AF336" s="20">
        <f>IF(I336="",0,IF(ISNUMBER(SEARCH("TON",UPPER(J336))),I336,IF(ISNUMBER(SEARCH("GJ",UPPER(J336))),I336/Przelicznik_GJ_tona,AE336*Przelicznik_MP_tona)))</f>
        <v/>
      </c>
      <c r="AG336" s="20">
        <f>AF336*Przelicznik_GJ_tona</f>
        <v/>
      </c>
      <c r="AH336" s="20">
        <f>IF(UPPER(AD336)="SKORYGOWANY",0,IF(OR(UPPER(E336)="TRANSPORT",UPPER(E336)="MM"),0,IF(UPPER(G336)&lt;&gt;"TAK",0,IF(OR(UPPER(E336)="ZAKUP",UPPER(E336)="PRODUKCJA"),AE336,IF(OR(UPPER(E336)="SPRZEDAŻ",UPPER(E336)="ZUŻYCIE"),-AE336,0)))))</f>
        <v/>
      </c>
      <c r="AI336" s="20">
        <f>IF(UPPER(AD336)="SKORYGOWANY",0,IF(OR(UPPER(E336)="TRANSPORT",UPPER(E336)="MM"),0,IF(UPPER(G336)&lt;&gt;"TAK",0,IF(OR(UPPER(E336)="ZAKUP",UPPER(E336)="PRODUKCJA"),AF336,IF(OR(UPPER(E336)="SPRZEDAŻ",UPPER(E336)="ZUŻYCIE"),-AF336,0)))))</f>
        <v/>
      </c>
      <c r="AJ336" s="21">
        <f>IF(UPPER(AD336)="SKORYGOWANY",0,IF(UPPER(E336)="ZAKUP",IF(L336&lt;&gt;"",L336,I336*K336),0))</f>
        <v/>
      </c>
      <c r="AK336" s="21">
        <f>IF(UPPER(AD336)="SKORYGOWANY",0,IF(UPPER(E336)="SPRZEDAŻ",IF(L336&lt;&gt;"",L336,I336*M336),0))</f>
        <v/>
      </c>
      <c r="AL336" s="21">
        <f>AE336*Q336</f>
        <v/>
      </c>
      <c r="AM336">
        <f>IF(R336="","",IF(LOWER(R336)="brak","Brak",IF(OR(ISNUMBER(SEARCH("własn",LOWER(R336))),ISNUMBER(SEARCH("wlasn",LOWER(R336))),ISNUMBER(SEARCH("wojciechowski",LOWER(R336)))),"Własny","Zewnętrzny")))</f>
        <v/>
      </c>
      <c r="AN336" s="24">
        <f>IF(C336="","",YEAR(C336))</f>
        <v/>
      </c>
      <c r="AO336" s="24">
        <f>IF(C336="","",MONTH(C336))</f>
        <v/>
      </c>
      <c r="AP336">
        <f>IF(C336="","",UPPER(TEXT(C336,"mmmm")))</f>
        <v/>
      </c>
      <c r="AQ336">
        <f>IF(C336="","","Q"&amp;ROUNDUP(MONTH(C336)/3,0))</f>
        <v/>
      </c>
    </row>
    <row r="337">
      <c r="A337" s="19" t="n">
        <v>46244</v>
      </c>
      <c r="C337" s="19" t="n">
        <v>46244</v>
      </c>
      <c r="D337" t="inlineStr">
        <is>
          <t>Lander Agro</t>
        </is>
      </c>
      <c r="E337" t="inlineStr">
        <is>
          <t>ZAKUP</t>
        </is>
      </c>
      <c r="F337" t="inlineStr">
        <is>
          <t>PZ/32/D</t>
        </is>
      </c>
      <c r="G337" t="inlineStr">
        <is>
          <t>TAK</t>
        </is>
      </c>
      <c r="H337" t="inlineStr">
        <is>
          <t>KZR</t>
        </is>
      </c>
      <c r="I337" s="20" t="n">
        <v>28.16</v>
      </c>
      <c r="J337" t="inlineStr">
        <is>
          <t>M3</t>
        </is>
      </c>
      <c r="K337" s="21" t="n">
        <v>230</v>
      </c>
      <c r="L337" s="21" t="n">
        <v>6476.8</v>
      </c>
      <c r="M337" s="21" t="n">
        <v>0</v>
      </c>
      <c r="N337" t="inlineStr">
        <is>
          <t>Drewno opałowe z lasu</t>
        </is>
      </c>
      <c r="Q337" s="21" t="n">
        <v>0</v>
      </c>
      <c r="T337" s="22" t="n">
        <v>0</v>
      </c>
      <c r="U337" s="21" t="n">
        <v>0</v>
      </c>
      <c r="V337" s="21" t="n">
        <v>0</v>
      </c>
      <c r="W337" t="inlineStr">
        <is>
          <t>Magazyn Zabrze</t>
        </is>
      </c>
      <c r="Y337" t="inlineStr">
        <is>
          <t>Waga: 21 940 kg</t>
        </is>
      </c>
      <c r="Z337" t="inlineStr">
        <is>
          <t>Marcin Kwiatkowski</t>
        </is>
      </c>
      <c r="AA337" s="23" t="n">
        <v>46257.8318287037</v>
      </c>
      <c r="AB337" t="inlineStr">
        <is>
          <t>OP-MIGR-00336</t>
        </is>
      </c>
      <c r="AD337" t="inlineStr">
        <is>
          <t>AKTYWNY</t>
        </is>
      </c>
      <c r="AE337" s="20">
        <f>IF(I337="",0,IF(ISNUMBER(SEARCH("MP",UPPER(J337))),I337,IF(ISNUMBER(SEARCH("TON",UPPER(J337))),I337/Przelicznik_MP_tona,IF(ISNUMBER(SEARCH("M3",UPPER(J337))),I337*Przelicznik_M3_MP,IF(ISNUMBER(SEARCH("GJ",UPPER(J337))),I337/Przelicznik_GJ_tona/Przelicznik_MP_tona,I337)))))</f>
        <v/>
      </c>
      <c r="AF337" s="20">
        <f>IF(I337="",0,IF(ISNUMBER(SEARCH("TON",UPPER(J337))),I337,IF(ISNUMBER(SEARCH("GJ",UPPER(J337))),I337/Przelicznik_GJ_tona,AE337*Przelicznik_MP_tona)))</f>
        <v/>
      </c>
      <c r="AG337" s="20">
        <f>AF337*Przelicznik_GJ_tona</f>
        <v/>
      </c>
      <c r="AH337" s="20">
        <f>IF(UPPER(AD337)="SKORYGOWANY",0,IF(OR(UPPER(E337)="TRANSPORT",UPPER(E337)="MM"),0,IF(UPPER(G337)&lt;&gt;"TAK",0,IF(OR(UPPER(E337)="ZAKUP",UPPER(E337)="PRODUKCJA"),AE337,IF(OR(UPPER(E337)="SPRZEDAŻ",UPPER(E337)="ZUŻYCIE"),-AE337,0)))))</f>
        <v/>
      </c>
      <c r="AI337" s="20">
        <f>IF(UPPER(AD337)="SKORYGOWANY",0,IF(OR(UPPER(E337)="TRANSPORT",UPPER(E337)="MM"),0,IF(UPPER(G337)&lt;&gt;"TAK",0,IF(OR(UPPER(E337)="ZAKUP",UPPER(E337)="PRODUKCJA"),AF337,IF(OR(UPPER(E337)="SPRZEDAŻ",UPPER(E337)="ZUŻYCIE"),-AF337,0)))))</f>
        <v/>
      </c>
      <c r="AJ337" s="21">
        <f>IF(UPPER(AD337)="SKORYGOWANY",0,IF(UPPER(E337)="ZAKUP",IF(L337&lt;&gt;"",L337,I337*K337),0))</f>
        <v/>
      </c>
      <c r="AK337" s="21">
        <f>IF(UPPER(AD337)="SKORYGOWANY",0,IF(UPPER(E337)="SPRZEDAŻ",IF(L337&lt;&gt;"",L337,I337*M337),0))</f>
        <v/>
      </c>
      <c r="AL337" s="21">
        <f>AE337*Q337</f>
        <v/>
      </c>
      <c r="AM337">
        <f>IF(R337="","",IF(LOWER(R337)="brak","Brak",IF(OR(ISNUMBER(SEARCH("własn",LOWER(R337))),ISNUMBER(SEARCH("wlasn",LOWER(R337))),ISNUMBER(SEARCH("wojciechowski",LOWER(R337)))),"Własny","Zewnętrzny")))</f>
        <v/>
      </c>
      <c r="AN337" s="24">
        <f>IF(C337="","",YEAR(C337))</f>
        <v/>
      </c>
      <c r="AO337" s="24">
        <f>IF(C337="","",MONTH(C337))</f>
        <v/>
      </c>
      <c r="AP337">
        <f>IF(C337="","",UPPER(TEXT(C337,"mmmm")))</f>
        <v/>
      </c>
      <c r="AQ337">
        <f>IF(C337="","","Q"&amp;ROUNDUP(MONTH(C337)/3,0))</f>
        <v/>
      </c>
    </row>
    <row r="338">
      <c r="A338" s="19" t="n">
        <v>46245</v>
      </c>
      <c r="C338" s="19" t="n">
        <v>46245</v>
      </c>
      <c r="D338" t="inlineStr">
        <is>
          <t>NDL Chrzanów, Leśnictwo Mętków</t>
        </is>
      </c>
      <c r="E338" t="inlineStr">
        <is>
          <t>ZAKUP</t>
        </is>
      </c>
      <c r="F338" t="inlineStr">
        <is>
          <t>PZ/63  3/202624967/6162</t>
        </is>
      </c>
      <c r="G338" t="inlineStr">
        <is>
          <t>TAK</t>
        </is>
      </c>
      <c r="H338" t="inlineStr">
        <is>
          <t>Deklaracja</t>
        </is>
      </c>
      <c r="I338" s="20" t="n">
        <v>18</v>
      </c>
      <c r="J338" t="inlineStr">
        <is>
          <t>M3</t>
        </is>
      </c>
      <c r="K338" s="21" t="n">
        <v>141</v>
      </c>
      <c r="L338" s="21" t="n">
        <v>2538</v>
      </c>
      <c r="M338" s="21" t="n">
        <v>0</v>
      </c>
      <c r="N338" t="inlineStr">
        <is>
          <t>Drewno opałowe z lasu</t>
        </is>
      </c>
      <c r="O338" t="inlineStr">
        <is>
          <t>B</t>
        </is>
      </c>
      <c r="Q338" s="21" t="n">
        <v>0</v>
      </c>
      <c r="T338" s="22" t="n">
        <v>0</v>
      </c>
      <c r="U338" s="21" t="n">
        <v>0</v>
      </c>
      <c r="V338" s="21" t="n">
        <v>0</v>
      </c>
      <c r="W338" t="inlineStr">
        <is>
          <t>Magazyn Zabrze</t>
        </is>
      </c>
      <c r="X338" t="inlineStr">
        <is>
          <t>Magazyn Zabrze</t>
        </is>
      </c>
      <c r="Y338" t="inlineStr">
        <is>
          <t>Waga: 23 180 kg</t>
        </is>
      </c>
      <c r="Z338" t="inlineStr">
        <is>
          <t>Marcin Kwiatkowski</t>
        </is>
      </c>
      <c r="AA338" s="23" t="n">
        <v>46253.79008101852</v>
      </c>
      <c r="AB338" t="inlineStr">
        <is>
          <t>OP-MIGR-00337</t>
        </is>
      </c>
      <c r="AD338" t="inlineStr">
        <is>
          <t>AKTYWNY</t>
        </is>
      </c>
      <c r="AE338" s="20">
        <f>IF(I338="",0,IF(ISNUMBER(SEARCH("MP",UPPER(J338))),I338,IF(ISNUMBER(SEARCH("TON",UPPER(J338))),I338/Przelicznik_MP_tona,IF(ISNUMBER(SEARCH("M3",UPPER(J338))),I338*Przelicznik_M3_MP,IF(ISNUMBER(SEARCH("GJ",UPPER(J338))),I338/Przelicznik_GJ_tona/Przelicznik_MP_tona,I338)))))</f>
        <v/>
      </c>
      <c r="AF338" s="20">
        <f>IF(I338="",0,IF(ISNUMBER(SEARCH("TON",UPPER(J338))),I338,IF(ISNUMBER(SEARCH("GJ",UPPER(J338))),I338/Przelicznik_GJ_tona,AE338*Przelicznik_MP_tona)))</f>
        <v/>
      </c>
      <c r="AG338" s="20">
        <f>AF338*Przelicznik_GJ_tona</f>
        <v/>
      </c>
      <c r="AH338" s="20">
        <f>IF(UPPER(AD338)="SKORYGOWANY",0,IF(OR(UPPER(E338)="TRANSPORT",UPPER(E338)="MM"),0,IF(UPPER(G338)&lt;&gt;"TAK",0,IF(OR(UPPER(E338)="ZAKUP",UPPER(E338)="PRODUKCJA"),AE338,IF(OR(UPPER(E338)="SPRZEDAŻ",UPPER(E338)="ZUŻYCIE"),-AE338,0)))))</f>
        <v/>
      </c>
      <c r="AI338" s="20">
        <f>IF(UPPER(AD338)="SKORYGOWANY",0,IF(OR(UPPER(E338)="TRANSPORT",UPPER(E338)="MM"),0,IF(UPPER(G338)&lt;&gt;"TAK",0,IF(OR(UPPER(E338)="ZAKUP",UPPER(E338)="PRODUKCJA"),AF338,IF(OR(UPPER(E338)="SPRZEDAŻ",UPPER(E338)="ZUŻYCIE"),-AF338,0)))))</f>
        <v/>
      </c>
      <c r="AJ338" s="21">
        <f>IF(UPPER(AD338)="SKORYGOWANY",0,IF(UPPER(E338)="ZAKUP",IF(L338&lt;&gt;"",L338,I338*K338),0))</f>
        <v/>
      </c>
      <c r="AK338" s="21">
        <f>IF(UPPER(AD338)="SKORYGOWANY",0,IF(UPPER(E338)="SPRZEDAŻ",IF(L338&lt;&gt;"",L338,I338*M338),0))</f>
        <v/>
      </c>
      <c r="AL338" s="21">
        <f>AE338*Q338</f>
        <v/>
      </c>
      <c r="AM338">
        <f>IF(R338="","",IF(LOWER(R338)="brak","Brak",IF(OR(ISNUMBER(SEARCH("własn",LOWER(R338))),ISNUMBER(SEARCH("wlasn",LOWER(R338))),ISNUMBER(SEARCH("wojciechowski",LOWER(R338)))),"Własny","Zewnętrzny")))</f>
        <v/>
      </c>
      <c r="AN338" s="24">
        <f>IF(C338="","",YEAR(C338))</f>
        <v/>
      </c>
      <c r="AO338" s="24">
        <f>IF(C338="","",MONTH(C338))</f>
        <v/>
      </c>
      <c r="AP338">
        <f>IF(C338="","",UPPER(TEXT(C338,"mmmm")))</f>
        <v/>
      </c>
      <c r="AQ338">
        <f>IF(C338="","","Q"&amp;ROUNDUP(MONTH(C338)/3,0))</f>
        <v/>
      </c>
    </row>
    <row r="339">
      <c r="A339" s="19" t="n">
        <v>46245</v>
      </c>
      <c r="C339" s="19" t="n">
        <v>46245</v>
      </c>
      <c r="D339" t="inlineStr">
        <is>
          <t>Magazyn Zabrze</t>
        </is>
      </c>
      <c r="E339" t="inlineStr">
        <is>
          <t>PRODUKCJA</t>
        </is>
      </c>
      <c r="F339" t="inlineStr">
        <is>
          <t>PZ/63</t>
        </is>
      </c>
      <c r="G339" t="inlineStr">
        <is>
          <t>TAK</t>
        </is>
      </c>
      <c r="H339" t="inlineStr">
        <is>
          <t>Deklaracja</t>
        </is>
      </c>
      <c r="I339" s="20" t="n">
        <v>72</v>
      </c>
      <c r="J339" t="inlineStr">
        <is>
          <t>MP</t>
        </is>
      </c>
      <c r="K339" s="21" t="n">
        <v>0</v>
      </c>
      <c r="L339" s="21" t="n">
        <v>0</v>
      </c>
      <c r="M339" s="21" t="n">
        <v>0</v>
      </c>
      <c r="N339" t="inlineStr">
        <is>
          <t>Zrębka Produkcyjna Leśna</t>
        </is>
      </c>
      <c r="O339" t="inlineStr">
        <is>
          <t>B</t>
        </is>
      </c>
      <c r="P339" t="inlineStr">
        <is>
          <t>własne</t>
        </is>
      </c>
      <c r="Q339" s="21" t="n">
        <v>10</v>
      </c>
      <c r="T339" s="22" t="n">
        <v>0</v>
      </c>
      <c r="U339" s="21" t="n">
        <v>0</v>
      </c>
      <c r="V339" s="21" t="n">
        <v>0</v>
      </c>
      <c r="W339" t="inlineStr">
        <is>
          <t>Magazyn Zabrze</t>
        </is>
      </c>
      <c r="X339" t="inlineStr">
        <is>
          <t>Magazyn Zabrze</t>
        </is>
      </c>
      <c r="Y339" t="inlineStr">
        <is>
          <t>Rębak z Brąszewic, rębakowy Łukasz Kempski</t>
        </is>
      </c>
      <c r="Z339" t="inlineStr">
        <is>
          <t>Marcin Kwiatkowski</t>
        </is>
      </c>
      <c r="AA339" s="23" t="n">
        <v>46253.79289351852</v>
      </c>
      <c r="AB339" t="inlineStr">
        <is>
          <t>OP-MIGR-00338</t>
        </is>
      </c>
      <c r="AD339" t="inlineStr">
        <is>
          <t>AKTYWNY</t>
        </is>
      </c>
      <c r="AE339" s="20">
        <f>IF(I339="",0,IF(ISNUMBER(SEARCH("MP",UPPER(J339))),I339,IF(ISNUMBER(SEARCH("TON",UPPER(J339))),I339/Przelicznik_MP_tona,IF(ISNUMBER(SEARCH("M3",UPPER(J339))),I339*Przelicznik_M3_MP,IF(ISNUMBER(SEARCH("GJ",UPPER(J339))),I339/Przelicznik_GJ_tona/Przelicznik_MP_tona,I339)))))</f>
        <v/>
      </c>
      <c r="AF339" s="20">
        <f>IF(I339="",0,IF(ISNUMBER(SEARCH("TON",UPPER(J339))),I339,IF(ISNUMBER(SEARCH("GJ",UPPER(J339))),I339/Przelicznik_GJ_tona,AE339*Przelicznik_MP_tona)))</f>
        <v/>
      </c>
      <c r="AG339" s="20">
        <f>AF339*Przelicznik_GJ_tona</f>
        <v/>
      </c>
      <c r="AH339" s="20">
        <f>IF(UPPER(AD339)="SKORYGOWANY",0,IF(OR(UPPER(E339)="TRANSPORT",UPPER(E339)="MM"),0,IF(UPPER(G339)&lt;&gt;"TAK",0,IF(OR(UPPER(E339)="ZAKUP",UPPER(E339)="PRODUKCJA"),AE339,IF(OR(UPPER(E339)="SPRZEDAŻ",UPPER(E339)="ZUŻYCIE"),-AE339,0)))))</f>
        <v/>
      </c>
      <c r="AI339" s="20">
        <f>IF(UPPER(AD339)="SKORYGOWANY",0,IF(OR(UPPER(E339)="TRANSPORT",UPPER(E339)="MM"),0,IF(UPPER(G339)&lt;&gt;"TAK",0,IF(OR(UPPER(E339)="ZAKUP",UPPER(E339)="PRODUKCJA"),AF339,IF(OR(UPPER(E339)="SPRZEDAŻ",UPPER(E339)="ZUŻYCIE"),-AF339,0)))))</f>
        <v/>
      </c>
      <c r="AJ339" s="21">
        <f>IF(UPPER(AD339)="SKORYGOWANY",0,IF(UPPER(E339)="ZAKUP",IF(L339&lt;&gt;"",L339,I339*K339),0))</f>
        <v/>
      </c>
      <c r="AK339" s="21">
        <f>IF(UPPER(AD339)="SKORYGOWANY",0,IF(UPPER(E339)="SPRZEDAŻ",IF(L339&lt;&gt;"",L339,I339*M339),0))</f>
        <v/>
      </c>
      <c r="AL339" s="21">
        <f>AE339*Q339</f>
        <v/>
      </c>
      <c r="AM339">
        <f>IF(R339="","",IF(LOWER(R339)="brak","Brak",IF(OR(ISNUMBER(SEARCH("własn",LOWER(R339))),ISNUMBER(SEARCH("wlasn",LOWER(R339))),ISNUMBER(SEARCH("wojciechowski",LOWER(R339)))),"Własny","Zewnętrzny")))</f>
        <v/>
      </c>
      <c r="AN339" s="24">
        <f>IF(C339="","",YEAR(C339))</f>
        <v/>
      </c>
      <c r="AO339" s="24">
        <f>IF(C339="","",MONTH(C339))</f>
        <v/>
      </c>
      <c r="AP339">
        <f>IF(C339="","",UPPER(TEXT(C339,"mmmm")))</f>
        <v/>
      </c>
      <c r="AQ339">
        <f>IF(C339="","","Q"&amp;ROUNDUP(MONTH(C339)/3,0))</f>
        <v/>
      </c>
    </row>
    <row r="340">
      <c r="A340" s="19" t="n">
        <v>46245</v>
      </c>
      <c r="C340" s="19" t="n">
        <v>46245</v>
      </c>
      <c r="D340" t="inlineStr">
        <is>
          <t>Magazyn Zabrze</t>
        </is>
      </c>
      <c r="E340" t="inlineStr">
        <is>
          <t>ZUŻYCIE</t>
        </is>
      </c>
      <c r="F340" t="inlineStr">
        <is>
          <t>PZ/63</t>
        </is>
      </c>
      <c r="G340" t="inlineStr">
        <is>
          <t>TAK</t>
        </is>
      </c>
      <c r="H340" t="inlineStr">
        <is>
          <t>Deklaracja</t>
        </is>
      </c>
      <c r="I340" s="20" t="n">
        <v>72</v>
      </c>
      <c r="J340" t="inlineStr">
        <is>
          <t>MP</t>
        </is>
      </c>
      <c r="K340" s="21" t="n">
        <v>0</v>
      </c>
      <c r="L340" s="21" t="n">
        <v>0</v>
      </c>
      <c r="M340" s="21" t="n">
        <v>0</v>
      </c>
      <c r="N340" t="inlineStr">
        <is>
          <t>Zrębka Produkcyjna Leśna</t>
        </is>
      </c>
      <c r="O340" t="inlineStr">
        <is>
          <t>B</t>
        </is>
      </c>
      <c r="P340" t="inlineStr">
        <is>
          <t>własne</t>
        </is>
      </c>
      <c r="Q340" s="21" t="n">
        <v>10</v>
      </c>
      <c r="T340" s="22" t="n">
        <v>0</v>
      </c>
      <c r="U340" s="21" t="n">
        <v>0</v>
      </c>
      <c r="V340" s="21" t="n">
        <v>0</v>
      </c>
      <c r="W340" t="inlineStr">
        <is>
          <t>Magazyn Zabrze</t>
        </is>
      </c>
      <c r="X340" t="inlineStr">
        <is>
          <t>Magazyn Zabrze</t>
        </is>
      </c>
      <c r="Y340" t="inlineStr">
        <is>
          <t>Automatyczne zużycie surowca do produkcji</t>
        </is>
      </c>
      <c r="AA340" s="23" t="n">
        <v>46253.7929050926</v>
      </c>
      <c r="AB340" t="inlineStr">
        <is>
          <t>OP-MIGR-00339</t>
        </is>
      </c>
      <c r="AD340" t="inlineStr">
        <is>
          <t>AKTYWNY</t>
        </is>
      </c>
      <c r="AE340" s="20">
        <f>IF(I340="",0,IF(ISNUMBER(SEARCH("MP",UPPER(J340))),I340,IF(ISNUMBER(SEARCH("TON",UPPER(J340))),I340/Przelicznik_MP_tona,IF(ISNUMBER(SEARCH("M3",UPPER(J340))),I340*Przelicznik_M3_MP,IF(ISNUMBER(SEARCH("GJ",UPPER(J340))),I340/Przelicznik_GJ_tona/Przelicznik_MP_tona,I340)))))</f>
        <v/>
      </c>
      <c r="AF340" s="20">
        <f>IF(I340="",0,IF(ISNUMBER(SEARCH("TON",UPPER(J340))),I340,IF(ISNUMBER(SEARCH("GJ",UPPER(J340))),I340/Przelicznik_GJ_tona,AE340*Przelicznik_MP_tona)))</f>
        <v/>
      </c>
      <c r="AG340" s="20">
        <f>AF340*Przelicznik_GJ_tona</f>
        <v/>
      </c>
      <c r="AH340" s="20">
        <f>IF(UPPER(AD340)="SKORYGOWANY",0,IF(OR(UPPER(E340)="TRANSPORT",UPPER(E340)="MM"),0,IF(UPPER(G340)&lt;&gt;"TAK",0,IF(OR(UPPER(E340)="ZAKUP",UPPER(E340)="PRODUKCJA"),AE340,IF(OR(UPPER(E340)="SPRZEDAŻ",UPPER(E340)="ZUŻYCIE"),-AE340,0)))))</f>
        <v/>
      </c>
      <c r="AI340" s="20">
        <f>IF(UPPER(AD340)="SKORYGOWANY",0,IF(OR(UPPER(E340)="TRANSPORT",UPPER(E340)="MM"),0,IF(UPPER(G340)&lt;&gt;"TAK",0,IF(OR(UPPER(E340)="ZAKUP",UPPER(E340)="PRODUKCJA"),AF340,IF(OR(UPPER(E340)="SPRZEDAŻ",UPPER(E340)="ZUŻYCIE"),-AF340,0)))))</f>
        <v/>
      </c>
      <c r="AJ340" s="21">
        <f>IF(UPPER(AD340)="SKORYGOWANY",0,IF(UPPER(E340)="ZAKUP",IF(L340&lt;&gt;"",L340,I340*K340),0))</f>
        <v/>
      </c>
      <c r="AK340" s="21">
        <f>IF(UPPER(AD340)="SKORYGOWANY",0,IF(UPPER(E340)="SPRZEDAŻ",IF(L340&lt;&gt;"",L340,I340*M340),0))</f>
        <v/>
      </c>
      <c r="AL340" s="21">
        <f>AE340*Q340</f>
        <v/>
      </c>
      <c r="AM340">
        <f>IF(R340="","",IF(LOWER(R340)="brak","Brak",IF(OR(ISNUMBER(SEARCH("własn",LOWER(R340))),ISNUMBER(SEARCH("wlasn",LOWER(R340))),ISNUMBER(SEARCH("wojciechowski",LOWER(R340)))),"Własny","Zewnętrzny")))</f>
        <v/>
      </c>
      <c r="AN340" s="24">
        <f>IF(C340="","",YEAR(C340))</f>
        <v/>
      </c>
      <c r="AO340" s="24">
        <f>IF(C340="","",MONTH(C340))</f>
        <v/>
      </c>
      <c r="AP340">
        <f>IF(C340="","",UPPER(TEXT(C340,"mmmm")))</f>
        <v/>
      </c>
      <c r="AQ340">
        <f>IF(C340="","","Q"&amp;ROUNDUP(MONTH(C340)/3,0))</f>
        <v/>
      </c>
    </row>
    <row r="341">
      <c r="A341" s="19" t="n">
        <v>46245</v>
      </c>
      <c r="B341" t="inlineStr">
        <is>
          <t>Mętków</t>
        </is>
      </c>
      <c r="C341" s="19" t="n">
        <v>46245</v>
      </c>
      <c r="D341" t="inlineStr">
        <is>
          <t>Magazyn Zabrze</t>
        </is>
      </c>
      <c r="E341" t="inlineStr">
        <is>
          <t>ZAKUP</t>
        </is>
      </c>
      <c r="F341" t="inlineStr">
        <is>
          <t>PZ/63</t>
        </is>
      </c>
      <c r="G341" t="inlineStr">
        <is>
          <t>TAK</t>
        </is>
      </c>
      <c r="H341" t="inlineStr">
        <is>
          <t>Deklaracja</t>
        </is>
      </c>
      <c r="I341" s="20" t="n">
        <v>72</v>
      </c>
      <c r="J341" t="inlineStr">
        <is>
          <t>MP</t>
        </is>
      </c>
      <c r="K341" s="21" t="n">
        <v>0</v>
      </c>
      <c r="L341" s="21" t="n">
        <v>0</v>
      </c>
      <c r="M341" s="21" t="n">
        <v>0</v>
      </c>
      <c r="N341" t="inlineStr">
        <is>
          <t>Zrębka Produkcyjna Leśna</t>
        </is>
      </c>
      <c r="O341" t="inlineStr">
        <is>
          <t>B</t>
        </is>
      </c>
      <c r="Q341" s="21" t="n">
        <v>0</v>
      </c>
      <c r="R341" t="inlineStr">
        <is>
          <t>własny (Wilczak)</t>
        </is>
      </c>
      <c r="S341" t="inlineStr">
        <is>
          <t>SK 7J884</t>
        </is>
      </c>
      <c r="T341" s="22" t="n">
        <v>134</v>
      </c>
      <c r="U341" s="21" t="n">
        <v>5</v>
      </c>
      <c r="V341" s="21" t="n">
        <v>670</v>
      </c>
      <c r="W341" t="inlineStr">
        <is>
          <t>Magazyn Zabrze</t>
        </is>
      </c>
      <c r="X341" t="inlineStr">
        <is>
          <t>Magazyn Zabrze</t>
        </is>
      </c>
      <c r="Y341" t="inlineStr">
        <is>
          <t>Urworzył: Marcin Kwiatkowski</t>
        </is>
      </c>
      <c r="AA341" s="23" t="n">
        <v>46253.79702546296</v>
      </c>
      <c r="AB341" t="inlineStr">
        <is>
          <t>OP-MIGR-00340</t>
        </is>
      </c>
      <c r="AD341" t="inlineStr">
        <is>
          <t>AKTYWNY</t>
        </is>
      </c>
      <c r="AE341" s="20">
        <f>IF(I341="",0,IF(ISNUMBER(SEARCH("MP",UPPER(J341))),I341,IF(ISNUMBER(SEARCH("TON",UPPER(J341))),I341/Przelicznik_MP_tona,IF(ISNUMBER(SEARCH("M3",UPPER(J341))),I341*Przelicznik_M3_MP,IF(ISNUMBER(SEARCH("GJ",UPPER(J341))),I341/Przelicznik_GJ_tona/Przelicznik_MP_tona,I341)))))</f>
        <v/>
      </c>
      <c r="AF341" s="20">
        <f>IF(I341="",0,IF(ISNUMBER(SEARCH("TON",UPPER(J341))),I341,IF(ISNUMBER(SEARCH("GJ",UPPER(J341))),I341/Przelicznik_GJ_tona,AE341*Przelicznik_MP_tona)))</f>
        <v/>
      </c>
      <c r="AG341" s="20">
        <f>AF341*Przelicznik_GJ_tona</f>
        <v/>
      </c>
      <c r="AH341" s="20">
        <f>IF(UPPER(AD341)="SKORYGOWANY",0,IF(OR(UPPER(E341)="TRANSPORT",UPPER(E341)="MM"),0,IF(UPPER(G341)&lt;&gt;"TAK",0,IF(OR(UPPER(E341)="ZAKUP",UPPER(E341)="PRODUKCJA"),AE341,IF(OR(UPPER(E341)="SPRZEDAŻ",UPPER(E341)="ZUŻYCIE"),-AE341,0)))))</f>
        <v/>
      </c>
      <c r="AI341" s="20">
        <f>IF(UPPER(AD341)="SKORYGOWANY",0,IF(OR(UPPER(E341)="TRANSPORT",UPPER(E341)="MM"),0,IF(UPPER(G341)&lt;&gt;"TAK",0,IF(OR(UPPER(E341)="ZAKUP",UPPER(E341)="PRODUKCJA"),AF341,IF(OR(UPPER(E341)="SPRZEDAŻ",UPPER(E341)="ZUŻYCIE"),-AF341,0)))))</f>
        <v/>
      </c>
      <c r="AJ341" s="21">
        <f>IF(UPPER(AD341)="SKORYGOWANY",0,IF(UPPER(E341)="ZAKUP",IF(L341&lt;&gt;"",L341,I341*K341),0))</f>
        <v/>
      </c>
      <c r="AK341" s="21">
        <f>IF(UPPER(AD341)="SKORYGOWANY",0,IF(UPPER(E341)="SPRZEDAŻ",IF(L341&lt;&gt;"",L341,I341*M341),0))</f>
        <v/>
      </c>
      <c r="AL341" s="21">
        <f>AE341*Q341</f>
        <v/>
      </c>
      <c r="AM341">
        <f>IF(R341="","",IF(LOWER(R341)="brak","Brak",IF(OR(ISNUMBER(SEARCH("własn",LOWER(R341))),ISNUMBER(SEARCH("wlasn",LOWER(R341))),ISNUMBER(SEARCH("wojciechowski",LOWER(R341)))),"Własny","Zewnętrzny")))</f>
        <v/>
      </c>
      <c r="AN341" s="24">
        <f>IF(C341="","",YEAR(C341))</f>
        <v/>
      </c>
      <c r="AO341" s="24">
        <f>IF(C341="","",MONTH(C341))</f>
        <v/>
      </c>
      <c r="AP341">
        <f>IF(C341="","",UPPER(TEXT(C341,"mmmm")))</f>
        <v/>
      </c>
      <c r="AQ341">
        <f>IF(C341="","","Q"&amp;ROUNDUP(MONTH(C341)/3,0))</f>
        <v/>
      </c>
    </row>
    <row r="342">
      <c r="A342" s="19" t="n">
        <v>46245</v>
      </c>
      <c r="C342" s="19" t="n">
        <v>46245</v>
      </c>
      <c r="D342" t="inlineStr">
        <is>
          <t>NDL Chrzanów, Leśnictwo Mętków</t>
        </is>
      </c>
      <c r="E342" t="inlineStr">
        <is>
          <t>ZAKUP</t>
        </is>
      </c>
      <c r="F342" t="inlineStr">
        <is>
          <t>PZ/64   3/202624967/6166</t>
        </is>
      </c>
      <c r="G342" t="inlineStr">
        <is>
          <t>TAK</t>
        </is>
      </c>
      <c r="H342" t="inlineStr">
        <is>
          <t>Deklaracja</t>
        </is>
      </c>
      <c r="I342" s="20" t="n">
        <v>18</v>
      </c>
      <c r="J342" t="inlineStr">
        <is>
          <t>M3</t>
        </is>
      </c>
      <c r="K342" s="21" t="n">
        <v>141</v>
      </c>
      <c r="L342" s="21" t="n">
        <v>2538</v>
      </c>
      <c r="M342" s="21" t="n">
        <v>0</v>
      </c>
      <c r="N342" t="inlineStr">
        <is>
          <t>Drewno opałowe z lasu</t>
        </is>
      </c>
      <c r="O342" t="inlineStr">
        <is>
          <t>B</t>
        </is>
      </c>
      <c r="Q342" s="21" t="n">
        <v>0</v>
      </c>
      <c r="T342" s="22" t="n">
        <v>0</v>
      </c>
      <c r="U342" s="21" t="n">
        <v>0</v>
      </c>
      <c r="V342" s="21" t="n">
        <v>0</v>
      </c>
      <c r="W342" t="inlineStr">
        <is>
          <t>Magazyn Zabrze</t>
        </is>
      </c>
      <c r="X342" t="inlineStr">
        <is>
          <t>Magazyn Zabrze</t>
        </is>
      </c>
      <c r="Y342" t="inlineStr">
        <is>
          <t>Waga: 22 020 kg</t>
        </is>
      </c>
      <c r="Z342" t="inlineStr">
        <is>
          <t>Marcin Kwiatkowski</t>
        </is>
      </c>
      <c r="AA342" s="23" t="n">
        <v>46254.35630787037</v>
      </c>
      <c r="AB342" t="inlineStr">
        <is>
          <t>OP-MIGR-00341</t>
        </is>
      </c>
      <c r="AD342" t="inlineStr">
        <is>
          <t>AKTYWNY</t>
        </is>
      </c>
      <c r="AE342" s="20">
        <f>IF(I342="",0,IF(ISNUMBER(SEARCH("MP",UPPER(J342))),I342,IF(ISNUMBER(SEARCH("TON",UPPER(J342))),I342/Przelicznik_MP_tona,IF(ISNUMBER(SEARCH("M3",UPPER(J342))),I342*Przelicznik_M3_MP,IF(ISNUMBER(SEARCH("GJ",UPPER(J342))),I342/Przelicznik_GJ_tona/Przelicznik_MP_tona,I342)))))</f>
        <v/>
      </c>
      <c r="AF342" s="20">
        <f>IF(I342="",0,IF(ISNUMBER(SEARCH("TON",UPPER(J342))),I342,IF(ISNUMBER(SEARCH("GJ",UPPER(J342))),I342/Przelicznik_GJ_tona,AE342*Przelicznik_MP_tona)))</f>
        <v/>
      </c>
      <c r="AG342" s="20">
        <f>AF342*Przelicznik_GJ_tona</f>
        <v/>
      </c>
      <c r="AH342" s="20">
        <f>IF(UPPER(AD342)="SKORYGOWANY",0,IF(OR(UPPER(E342)="TRANSPORT",UPPER(E342)="MM"),0,IF(UPPER(G342)&lt;&gt;"TAK",0,IF(OR(UPPER(E342)="ZAKUP",UPPER(E342)="PRODUKCJA"),AE342,IF(OR(UPPER(E342)="SPRZEDAŻ",UPPER(E342)="ZUŻYCIE"),-AE342,0)))))</f>
        <v/>
      </c>
      <c r="AI342" s="20">
        <f>IF(UPPER(AD342)="SKORYGOWANY",0,IF(OR(UPPER(E342)="TRANSPORT",UPPER(E342)="MM"),0,IF(UPPER(G342)&lt;&gt;"TAK",0,IF(OR(UPPER(E342)="ZAKUP",UPPER(E342)="PRODUKCJA"),AF342,IF(OR(UPPER(E342)="SPRZEDAŻ",UPPER(E342)="ZUŻYCIE"),-AF342,0)))))</f>
        <v/>
      </c>
      <c r="AJ342" s="21">
        <f>IF(UPPER(AD342)="SKORYGOWANY",0,IF(UPPER(E342)="ZAKUP",IF(L342&lt;&gt;"",L342,I342*K342),0))</f>
        <v/>
      </c>
      <c r="AK342" s="21">
        <f>IF(UPPER(AD342)="SKORYGOWANY",0,IF(UPPER(E342)="SPRZEDAŻ",IF(L342&lt;&gt;"",L342,I342*M342),0))</f>
        <v/>
      </c>
      <c r="AL342" s="21">
        <f>AE342*Q342</f>
        <v/>
      </c>
      <c r="AM342">
        <f>IF(R342="","",IF(LOWER(R342)="brak","Brak",IF(OR(ISNUMBER(SEARCH("własn",LOWER(R342))),ISNUMBER(SEARCH("wlasn",LOWER(R342))),ISNUMBER(SEARCH("wojciechowski",LOWER(R342)))),"Własny","Zewnętrzny")))</f>
        <v/>
      </c>
      <c r="AN342" s="24">
        <f>IF(C342="","",YEAR(C342))</f>
        <v/>
      </c>
      <c r="AO342" s="24">
        <f>IF(C342="","",MONTH(C342))</f>
        <v/>
      </c>
      <c r="AP342">
        <f>IF(C342="","",UPPER(TEXT(C342,"mmmm")))</f>
        <v/>
      </c>
      <c r="AQ342">
        <f>IF(C342="","","Q"&amp;ROUNDUP(MONTH(C342)/3,0))</f>
        <v/>
      </c>
    </row>
    <row r="343">
      <c r="A343" s="19" t="n">
        <v>46245</v>
      </c>
      <c r="C343" s="19" t="n">
        <v>46245</v>
      </c>
      <c r="D343" t="inlineStr">
        <is>
          <t>Magazyn Zabrze</t>
        </is>
      </c>
      <c r="E343" t="inlineStr">
        <is>
          <t>PRODUKCJA</t>
        </is>
      </c>
      <c r="F343" t="inlineStr">
        <is>
          <t>PZ/64</t>
        </is>
      </c>
      <c r="G343" t="inlineStr">
        <is>
          <t>TAK</t>
        </is>
      </c>
      <c r="H343" t="inlineStr">
        <is>
          <t>Deklaracja</t>
        </is>
      </c>
      <c r="I343" s="20" t="n">
        <v>72</v>
      </c>
      <c r="J343" t="inlineStr">
        <is>
          <t>MP</t>
        </is>
      </c>
      <c r="K343" s="21" t="n">
        <v>0</v>
      </c>
      <c r="L343" s="21" t="n">
        <v>0</v>
      </c>
      <c r="M343" s="21" t="n">
        <v>0</v>
      </c>
      <c r="N343" t="inlineStr">
        <is>
          <t>Zrębka Produkcyjna Leśna</t>
        </is>
      </c>
      <c r="O343" t="inlineStr">
        <is>
          <t>B</t>
        </is>
      </c>
      <c r="P343" t="inlineStr">
        <is>
          <t>własne</t>
        </is>
      </c>
      <c r="Q343" s="21" t="n">
        <v>10</v>
      </c>
      <c r="T343" s="22" t="n">
        <v>0</v>
      </c>
      <c r="U343" s="21" t="n">
        <v>0</v>
      </c>
      <c r="V343" s="21" t="n">
        <v>0</v>
      </c>
      <c r="W343" t="inlineStr">
        <is>
          <t>Magazyn Zabrze</t>
        </is>
      </c>
      <c r="X343" t="inlineStr">
        <is>
          <t>Magazyn Zabrze</t>
        </is>
      </c>
      <c r="Y343" t="inlineStr">
        <is>
          <t>Rębak z Brąszewic, rębakowy Łukasz Kempski</t>
        </is>
      </c>
      <c r="Z343" t="inlineStr">
        <is>
          <t>Marcin Kwiatkowski</t>
        </is>
      </c>
      <c r="AA343" s="23" t="n">
        <v>46254.36604166667</v>
      </c>
      <c r="AB343" t="inlineStr">
        <is>
          <t>OP-MIGR-00342</t>
        </is>
      </c>
      <c r="AD343" t="inlineStr">
        <is>
          <t>AKTYWNY</t>
        </is>
      </c>
      <c r="AE343" s="20">
        <f>IF(I343="",0,IF(ISNUMBER(SEARCH("MP",UPPER(J343))),I343,IF(ISNUMBER(SEARCH("TON",UPPER(J343))),I343/Przelicznik_MP_tona,IF(ISNUMBER(SEARCH("M3",UPPER(J343))),I343*Przelicznik_M3_MP,IF(ISNUMBER(SEARCH("GJ",UPPER(J343))),I343/Przelicznik_GJ_tona/Przelicznik_MP_tona,I343)))))</f>
        <v/>
      </c>
      <c r="AF343" s="20">
        <f>IF(I343="",0,IF(ISNUMBER(SEARCH("TON",UPPER(J343))),I343,IF(ISNUMBER(SEARCH("GJ",UPPER(J343))),I343/Przelicznik_GJ_tona,AE343*Przelicznik_MP_tona)))</f>
        <v/>
      </c>
      <c r="AG343" s="20">
        <f>AF343*Przelicznik_GJ_tona</f>
        <v/>
      </c>
      <c r="AH343" s="20">
        <f>IF(UPPER(AD343)="SKORYGOWANY",0,IF(OR(UPPER(E343)="TRANSPORT",UPPER(E343)="MM"),0,IF(UPPER(G343)&lt;&gt;"TAK",0,IF(OR(UPPER(E343)="ZAKUP",UPPER(E343)="PRODUKCJA"),AE343,IF(OR(UPPER(E343)="SPRZEDAŻ",UPPER(E343)="ZUŻYCIE"),-AE343,0)))))</f>
        <v/>
      </c>
      <c r="AI343" s="20">
        <f>IF(UPPER(AD343)="SKORYGOWANY",0,IF(OR(UPPER(E343)="TRANSPORT",UPPER(E343)="MM"),0,IF(UPPER(G343)&lt;&gt;"TAK",0,IF(OR(UPPER(E343)="ZAKUP",UPPER(E343)="PRODUKCJA"),AF343,IF(OR(UPPER(E343)="SPRZEDAŻ",UPPER(E343)="ZUŻYCIE"),-AF343,0)))))</f>
        <v/>
      </c>
      <c r="AJ343" s="21">
        <f>IF(UPPER(AD343)="SKORYGOWANY",0,IF(UPPER(E343)="ZAKUP",IF(L343&lt;&gt;"",L343,I343*K343),0))</f>
        <v/>
      </c>
      <c r="AK343" s="21">
        <f>IF(UPPER(AD343)="SKORYGOWANY",0,IF(UPPER(E343)="SPRZEDAŻ",IF(L343&lt;&gt;"",L343,I343*M343),0))</f>
        <v/>
      </c>
      <c r="AL343" s="21">
        <f>AE343*Q343</f>
        <v/>
      </c>
      <c r="AM343">
        <f>IF(R343="","",IF(LOWER(R343)="brak","Brak",IF(OR(ISNUMBER(SEARCH("własn",LOWER(R343))),ISNUMBER(SEARCH("wlasn",LOWER(R343))),ISNUMBER(SEARCH("wojciechowski",LOWER(R343)))),"Własny","Zewnętrzny")))</f>
        <v/>
      </c>
      <c r="AN343" s="24">
        <f>IF(C343="","",YEAR(C343))</f>
        <v/>
      </c>
      <c r="AO343" s="24">
        <f>IF(C343="","",MONTH(C343))</f>
        <v/>
      </c>
      <c r="AP343">
        <f>IF(C343="","",UPPER(TEXT(C343,"mmmm")))</f>
        <v/>
      </c>
      <c r="AQ343">
        <f>IF(C343="","","Q"&amp;ROUNDUP(MONTH(C343)/3,0))</f>
        <v/>
      </c>
    </row>
    <row r="344">
      <c r="A344" s="19" t="n">
        <v>46245</v>
      </c>
      <c r="C344" s="19" t="n">
        <v>46245</v>
      </c>
      <c r="D344" t="inlineStr">
        <is>
          <t>Magazyn Zabrze</t>
        </is>
      </c>
      <c r="E344" t="inlineStr">
        <is>
          <t>ZUŻYCIE</t>
        </is>
      </c>
      <c r="F344" t="inlineStr">
        <is>
          <t>PZ/64</t>
        </is>
      </c>
      <c r="G344" t="inlineStr">
        <is>
          <t>TAK</t>
        </is>
      </c>
      <c r="H344" t="inlineStr">
        <is>
          <t>Deklaracja</t>
        </is>
      </c>
      <c r="I344" s="20" t="n">
        <v>72</v>
      </c>
      <c r="J344" t="inlineStr">
        <is>
          <t>MP</t>
        </is>
      </c>
      <c r="K344" s="21" t="n">
        <v>0</v>
      </c>
      <c r="L344" s="21" t="n">
        <v>0</v>
      </c>
      <c r="M344" s="21" t="n">
        <v>0</v>
      </c>
      <c r="N344" t="inlineStr">
        <is>
          <t>Zrębka Produkcyjna Leśna</t>
        </is>
      </c>
      <c r="O344" t="inlineStr">
        <is>
          <t>B</t>
        </is>
      </c>
      <c r="P344" t="inlineStr">
        <is>
          <t>własne</t>
        </is>
      </c>
      <c r="Q344" s="21" t="n">
        <v>10</v>
      </c>
      <c r="T344" s="22" t="n">
        <v>0</v>
      </c>
      <c r="U344" s="21" t="n">
        <v>0</v>
      </c>
      <c r="V344" s="21" t="n">
        <v>0</v>
      </c>
      <c r="W344" t="inlineStr">
        <is>
          <t>Magazyn Zabrze</t>
        </is>
      </c>
      <c r="X344" t="inlineStr">
        <is>
          <t>Magazyn Zabrze</t>
        </is>
      </c>
      <c r="Y344" t="inlineStr">
        <is>
          <t>Automatyczne zużycie surowca do produkcji</t>
        </is>
      </c>
      <c r="AA344" s="23" t="n">
        <v>46254.36604166667</v>
      </c>
      <c r="AB344" t="inlineStr">
        <is>
          <t>OP-MIGR-00343</t>
        </is>
      </c>
      <c r="AD344" t="inlineStr">
        <is>
          <t>AKTYWNY</t>
        </is>
      </c>
      <c r="AE344" s="20">
        <f>IF(I344="",0,IF(ISNUMBER(SEARCH("MP",UPPER(J344))),I344,IF(ISNUMBER(SEARCH("TON",UPPER(J344))),I344/Przelicznik_MP_tona,IF(ISNUMBER(SEARCH("M3",UPPER(J344))),I344*Przelicznik_M3_MP,IF(ISNUMBER(SEARCH("GJ",UPPER(J344))),I344/Przelicznik_GJ_tona/Przelicznik_MP_tona,I344)))))</f>
        <v/>
      </c>
      <c r="AF344" s="20">
        <f>IF(I344="",0,IF(ISNUMBER(SEARCH("TON",UPPER(J344))),I344,IF(ISNUMBER(SEARCH("GJ",UPPER(J344))),I344/Przelicznik_GJ_tona,AE344*Przelicznik_MP_tona)))</f>
        <v/>
      </c>
      <c r="AG344" s="20">
        <f>AF344*Przelicznik_GJ_tona</f>
        <v/>
      </c>
      <c r="AH344" s="20">
        <f>IF(UPPER(AD344)="SKORYGOWANY",0,IF(OR(UPPER(E344)="TRANSPORT",UPPER(E344)="MM"),0,IF(UPPER(G344)&lt;&gt;"TAK",0,IF(OR(UPPER(E344)="ZAKUP",UPPER(E344)="PRODUKCJA"),AE344,IF(OR(UPPER(E344)="SPRZEDAŻ",UPPER(E344)="ZUŻYCIE"),-AE344,0)))))</f>
        <v/>
      </c>
      <c r="AI344" s="20">
        <f>IF(UPPER(AD344)="SKORYGOWANY",0,IF(OR(UPPER(E344)="TRANSPORT",UPPER(E344)="MM"),0,IF(UPPER(G344)&lt;&gt;"TAK",0,IF(OR(UPPER(E344)="ZAKUP",UPPER(E344)="PRODUKCJA"),AF344,IF(OR(UPPER(E344)="SPRZEDAŻ",UPPER(E344)="ZUŻYCIE"),-AF344,0)))))</f>
        <v/>
      </c>
      <c r="AJ344" s="21">
        <f>IF(UPPER(AD344)="SKORYGOWANY",0,IF(UPPER(E344)="ZAKUP",IF(L344&lt;&gt;"",L344,I344*K344),0))</f>
        <v/>
      </c>
      <c r="AK344" s="21">
        <f>IF(UPPER(AD344)="SKORYGOWANY",0,IF(UPPER(E344)="SPRZEDAŻ",IF(L344&lt;&gt;"",L344,I344*M344),0))</f>
        <v/>
      </c>
      <c r="AL344" s="21">
        <f>AE344*Q344</f>
        <v/>
      </c>
      <c r="AM344">
        <f>IF(R344="","",IF(LOWER(R344)="brak","Brak",IF(OR(ISNUMBER(SEARCH("własn",LOWER(R344))),ISNUMBER(SEARCH("wlasn",LOWER(R344))),ISNUMBER(SEARCH("wojciechowski",LOWER(R344)))),"Własny","Zewnętrzny")))</f>
        <v/>
      </c>
      <c r="AN344" s="24">
        <f>IF(C344="","",YEAR(C344))</f>
        <v/>
      </c>
      <c r="AO344" s="24">
        <f>IF(C344="","",MONTH(C344))</f>
        <v/>
      </c>
      <c r="AP344">
        <f>IF(C344="","",UPPER(TEXT(C344,"mmmm")))</f>
        <v/>
      </c>
      <c r="AQ344">
        <f>IF(C344="","","Q"&amp;ROUNDUP(MONTH(C344)/3,0))</f>
        <v/>
      </c>
    </row>
    <row r="345">
      <c r="A345" s="19" t="n">
        <v>46245</v>
      </c>
      <c r="B345" t="inlineStr">
        <is>
          <t>Mętków</t>
        </is>
      </c>
      <c r="C345" s="19" t="n">
        <v>46245</v>
      </c>
      <c r="D345" t="inlineStr">
        <is>
          <t>Magazyn Zabrze</t>
        </is>
      </c>
      <c r="E345" t="inlineStr">
        <is>
          <t>ZAKUP</t>
        </is>
      </c>
      <c r="F345" t="inlineStr">
        <is>
          <t>PZ/64</t>
        </is>
      </c>
      <c r="G345" t="inlineStr">
        <is>
          <t>TAK</t>
        </is>
      </c>
      <c r="H345" t="inlineStr">
        <is>
          <t>Deklaracja</t>
        </is>
      </c>
      <c r="I345" s="20" t="n">
        <v>72</v>
      </c>
      <c r="J345" t="inlineStr">
        <is>
          <t>MP</t>
        </is>
      </c>
      <c r="K345" s="21" t="n">
        <v>0</v>
      </c>
      <c r="L345" s="21" t="n">
        <v>0</v>
      </c>
      <c r="M345" s="21" t="n">
        <v>0</v>
      </c>
      <c r="N345" t="inlineStr">
        <is>
          <t>Zrębka Produkcyjna Leśna</t>
        </is>
      </c>
      <c r="O345" t="inlineStr">
        <is>
          <t>B</t>
        </is>
      </c>
      <c r="Q345" s="21" t="n">
        <v>0</v>
      </c>
      <c r="R345" t="inlineStr">
        <is>
          <t>własny (Wilczak)</t>
        </is>
      </c>
      <c r="S345" t="inlineStr">
        <is>
          <t>SK 7J884</t>
        </is>
      </c>
      <c r="T345" s="22" t="n">
        <v>134</v>
      </c>
      <c r="U345" s="21" t="n">
        <v>5</v>
      </c>
      <c r="V345" s="21" t="n">
        <v>670</v>
      </c>
      <c r="W345" t="inlineStr">
        <is>
          <t>Magazyn Zabrze</t>
        </is>
      </c>
      <c r="X345" t="inlineStr">
        <is>
          <t>Magazyn Zabrze</t>
        </is>
      </c>
      <c r="Z345" t="inlineStr">
        <is>
          <t>Marcin Kwiatkowski</t>
        </is>
      </c>
      <c r="AA345" s="23" t="n">
        <v>46254.36858796296</v>
      </c>
      <c r="AB345" t="inlineStr">
        <is>
          <t>OP-MIGR-00344</t>
        </is>
      </c>
      <c r="AD345" t="inlineStr">
        <is>
          <t>AKTYWNY</t>
        </is>
      </c>
      <c r="AE345" s="20">
        <f>IF(I345="",0,IF(ISNUMBER(SEARCH("MP",UPPER(J345))),I345,IF(ISNUMBER(SEARCH("TON",UPPER(J345))),I345/Przelicznik_MP_tona,IF(ISNUMBER(SEARCH("M3",UPPER(J345))),I345*Przelicznik_M3_MP,IF(ISNUMBER(SEARCH("GJ",UPPER(J345))),I345/Przelicznik_GJ_tona/Przelicznik_MP_tona,I345)))))</f>
        <v/>
      </c>
      <c r="AF345" s="20">
        <f>IF(I345="",0,IF(ISNUMBER(SEARCH("TON",UPPER(J345))),I345,IF(ISNUMBER(SEARCH("GJ",UPPER(J345))),I345/Przelicznik_GJ_tona,AE345*Przelicznik_MP_tona)))</f>
        <v/>
      </c>
      <c r="AG345" s="20">
        <f>AF345*Przelicznik_GJ_tona</f>
        <v/>
      </c>
      <c r="AH345" s="20">
        <f>IF(UPPER(AD345)="SKORYGOWANY",0,IF(OR(UPPER(E345)="TRANSPORT",UPPER(E345)="MM"),0,IF(UPPER(G345)&lt;&gt;"TAK",0,IF(OR(UPPER(E345)="ZAKUP",UPPER(E345)="PRODUKCJA"),AE345,IF(OR(UPPER(E345)="SPRZEDAŻ",UPPER(E345)="ZUŻYCIE"),-AE345,0)))))</f>
        <v/>
      </c>
      <c r="AI345" s="20">
        <f>IF(UPPER(AD345)="SKORYGOWANY",0,IF(OR(UPPER(E345)="TRANSPORT",UPPER(E345)="MM"),0,IF(UPPER(G345)&lt;&gt;"TAK",0,IF(OR(UPPER(E345)="ZAKUP",UPPER(E345)="PRODUKCJA"),AF345,IF(OR(UPPER(E345)="SPRZEDAŻ",UPPER(E345)="ZUŻYCIE"),-AF345,0)))))</f>
        <v/>
      </c>
      <c r="AJ345" s="21">
        <f>IF(UPPER(AD345)="SKORYGOWANY",0,IF(UPPER(E345)="ZAKUP",IF(L345&lt;&gt;"",L345,I345*K345),0))</f>
        <v/>
      </c>
      <c r="AK345" s="21">
        <f>IF(UPPER(AD345)="SKORYGOWANY",0,IF(UPPER(E345)="SPRZEDAŻ",IF(L345&lt;&gt;"",L345,I345*M345),0))</f>
        <v/>
      </c>
      <c r="AL345" s="21">
        <f>AE345*Q345</f>
        <v/>
      </c>
      <c r="AM345">
        <f>IF(R345="","",IF(LOWER(R345)="brak","Brak",IF(OR(ISNUMBER(SEARCH("własn",LOWER(R345))),ISNUMBER(SEARCH("wlasn",LOWER(R345))),ISNUMBER(SEARCH("wojciechowski",LOWER(R345)))),"Własny","Zewnętrzny")))</f>
        <v/>
      </c>
      <c r="AN345" s="24">
        <f>IF(C345="","",YEAR(C345))</f>
        <v/>
      </c>
      <c r="AO345" s="24">
        <f>IF(C345="","",MONTH(C345))</f>
        <v/>
      </c>
      <c r="AP345">
        <f>IF(C345="","",UPPER(TEXT(C345,"mmmm")))</f>
        <v/>
      </c>
      <c r="AQ345">
        <f>IF(C345="","","Q"&amp;ROUNDUP(MONTH(C345)/3,0))</f>
        <v/>
      </c>
    </row>
    <row r="346">
      <c r="A346" s="19" t="n">
        <v>46245</v>
      </c>
      <c r="C346" s="19" t="n">
        <v>46245</v>
      </c>
      <c r="D346" t="inlineStr">
        <is>
          <t>NDL Chrzanów, Leśnictwo Mętków</t>
        </is>
      </c>
      <c r="E346" t="inlineStr">
        <is>
          <t>ZAKUP</t>
        </is>
      </c>
      <c r="F346" t="inlineStr">
        <is>
          <t>PZ/65   3/202624967/6163</t>
        </is>
      </c>
      <c r="G346" t="inlineStr">
        <is>
          <t>TAK</t>
        </is>
      </c>
      <c r="H346" t="inlineStr">
        <is>
          <t>Deklaracja</t>
        </is>
      </c>
      <c r="I346" s="20" t="n">
        <v>18</v>
      </c>
      <c r="J346" t="inlineStr">
        <is>
          <t>M3</t>
        </is>
      </c>
      <c r="K346" s="21" t="n">
        <v>141</v>
      </c>
      <c r="L346" s="21" t="n">
        <v>2538</v>
      </c>
      <c r="M346" s="21" t="n">
        <v>0</v>
      </c>
      <c r="N346" t="inlineStr">
        <is>
          <t>Drewno opałowe z lasu</t>
        </is>
      </c>
      <c r="Q346" s="21" t="n">
        <v>0</v>
      </c>
      <c r="T346" s="22" t="n">
        <v>0</v>
      </c>
      <c r="U346" s="21" t="n">
        <v>0</v>
      </c>
      <c r="V346" s="21" t="n">
        <v>0</v>
      </c>
      <c r="W346" t="inlineStr">
        <is>
          <t>Magazyn Zabrze</t>
        </is>
      </c>
      <c r="X346" t="inlineStr">
        <is>
          <t>Magazyn Zabrze</t>
        </is>
      </c>
      <c r="Y346" t="inlineStr">
        <is>
          <t>Waga: 26280</t>
        </is>
      </c>
      <c r="Z346" t="inlineStr">
        <is>
          <t>Marcin Kwiatkowski</t>
        </is>
      </c>
      <c r="AA346" s="23" t="n">
        <v>46254.37236111111</v>
      </c>
      <c r="AB346" t="inlineStr">
        <is>
          <t>OP-MIGR-00345</t>
        </is>
      </c>
      <c r="AD346" t="inlineStr">
        <is>
          <t>AKTYWNY</t>
        </is>
      </c>
      <c r="AE346" s="20">
        <f>IF(I346="",0,IF(ISNUMBER(SEARCH("MP",UPPER(J346))),I346,IF(ISNUMBER(SEARCH("TON",UPPER(J346))),I346/Przelicznik_MP_tona,IF(ISNUMBER(SEARCH("M3",UPPER(J346))),I346*Przelicznik_M3_MP,IF(ISNUMBER(SEARCH("GJ",UPPER(J346))),I346/Przelicznik_GJ_tona/Przelicznik_MP_tona,I346)))))</f>
        <v/>
      </c>
      <c r="AF346" s="20">
        <f>IF(I346="",0,IF(ISNUMBER(SEARCH("TON",UPPER(J346))),I346,IF(ISNUMBER(SEARCH("GJ",UPPER(J346))),I346/Przelicznik_GJ_tona,AE346*Przelicznik_MP_tona)))</f>
        <v/>
      </c>
      <c r="AG346" s="20">
        <f>AF346*Przelicznik_GJ_tona</f>
        <v/>
      </c>
      <c r="AH346" s="20">
        <f>IF(UPPER(AD346)="SKORYGOWANY",0,IF(OR(UPPER(E346)="TRANSPORT",UPPER(E346)="MM"),0,IF(UPPER(G346)&lt;&gt;"TAK",0,IF(OR(UPPER(E346)="ZAKUP",UPPER(E346)="PRODUKCJA"),AE346,IF(OR(UPPER(E346)="SPRZEDAŻ",UPPER(E346)="ZUŻYCIE"),-AE346,0)))))</f>
        <v/>
      </c>
      <c r="AI346" s="20">
        <f>IF(UPPER(AD346)="SKORYGOWANY",0,IF(OR(UPPER(E346)="TRANSPORT",UPPER(E346)="MM"),0,IF(UPPER(G346)&lt;&gt;"TAK",0,IF(OR(UPPER(E346)="ZAKUP",UPPER(E346)="PRODUKCJA"),AF346,IF(OR(UPPER(E346)="SPRZEDAŻ",UPPER(E346)="ZUŻYCIE"),-AF346,0)))))</f>
        <v/>
      </c>
      <c r="AJ346" s="21">
        <f>IF(UPPER(AD346)="SKORYGOWANY",0,IF(UPPER(E346)="ZAKUP",IF(L346&lt;&gt;"",L346,I346*K346),0))</f>
        <v/>
      </c>
      <c r="AK346" s="21">
        <f>IF(UPPER(AD346)="SKORYGOWANY",0,IF(UPPER(E346)="SPRZEDAŻ",IF(L346&lt;&gt;"",L346,I346*M346),0))</f>
        <v/>
      </c>
      <c r="AL346" s="21">
        <f>AE346*Q346</f>
        <v/>
      </c>
      <c r="AM346">
        <f>IF(R346="","",IF(LOWER(R346)="brak","Brak",IF(OR(ISNUMBER(SEARCH("własn",LOWER(R346))),ISNUMBER(SEARCH("wlasn",LOWER(R346))),ISNUMBER(SEARCH("wojciechowski",LOWER(R346)))),"Własny","Zewnętrzny")))</f>
        <v/>
      </c>
      <c r="AN346" s="24">
        <f>IF(C346="","",YEAR(C346))</f>
        <v/>
      </c>
      <c r="AO346" s="24">
        <f>IF(C346="","",MONTH(C346))</f>
        <v/>
      </c>
      <c r="AP346">
        <f>IF(C346="","",UPPER(TEXT(C346,"mmmm")))</f>
        <v/>
      </c>
      <c r="AQ346">
        <f>IF(C346="","","Q"&amp;ROUNDUP(MONTH(C346)/3,0))</f>
        <v/>
      </c>
    </row>
    <row r="347">
      <c r="A347" s="19" t="n">
        <v>46245</v>
      </c>
      <c r="C347" s="19" t="n">
        <v>46245</v>
      </c>
      <c r="D347" t="inlineStr">
        <is>
          <t>Magazyn Zabrze</t>
        </is>
      </c>
      <c r="E347" t="inlineStr">
        <is>
          <t>PRODUKCJA</t>
        </is>
      </c>
      <c r="F347" t="inlineStr">
        <is>
          <t>PZ/65</t>
        </is>
      </c>
      <c r="G347" t="inlineStr">
        <is>
          <t>TAK</t>
        </is>
      </c>
      <c r="H347" t="inlineStr">
        <is>
          <t>Deklaracja</t>
        </is>
      </c>
      <c r="I347" s="20" t="n">
        <v>72</v>
      </c>
      <c r="J347" t="inlineStr">
        <is>
          <t>MP</t>
        </is>
      </c>
      <c r="K347" s="21" t="n">
        <v>0</v>
      </c>
      <c r="L347" s="21" t="n">
        <v>0</v>
      </c>
      <c r="M347" s="21" t="n">
        <v>0</v>
      </c>
      <c r="N347" t="inlineStr">
        <is>
          <t>Zrębka Produkcyjna Leśna</t>
        </is>
      </c>
      <c r="O347" t="inlineStr">
        <is>
          <t>B</t>
        </is>
      </c>
      <c r="P347" t="inlineStr">
        <is>
          <t>własne</t>
        </is>
      </c>
      <c r="Q347" s="21" t="n">
        <v>10</v>
      </c>
      <c r="T347" s="22" t="n">
        <v>0</v>
      </c>
      <c r="U347" s="21" t="n">
        <v>0</v>
      </c>
      <c r="V347" s="21" t="n">
        <v>0</v>
      </c>
      <c r="W347" t="inlineStr">
        <is>
          <t>Magazyn Zabrze</t>
        </is>
      </c>
      <c r="X347" t="inlineStr">
        <is>
          <t>Magazyn Zabrze</t>
        </is>
      </c>
      <c r="Y347" t="inlineStr">
        <is>
          <t>Rębak z Brąszewic, rębakowy Łukasz Kempski</t>
        </is>
      </c>
      <c r="Z347" t="inlineStr">
        <is>
          <t>Marcin Kwiatkowski</t>
        </is>
      </c>
      <c r="AA347" s="23" t="n">
        <v>46254.37509259259</v>
      </c>
      <c r="AB347" t="inlineStr">
        <is>
          <t>OP-MIGR-00346</t>
        </is>
      </c>
      <c r="AD347" t="inlineStr">
        <is>
          <t>AKTYWNY</t>
        </is>
      </c>
      <c r="AE347" s="20">
        <f>IF(I347="",0,IF(ISNUMBER(SEARCH("MP",UPPER(J347))),I347,IF(ISNUMBER(SEARCH("TON",UPPER(J347))),I347/Przelicznik_MP_tona,IF(ISNUMBER(SEARCH("M3",UPPER(J347))),I347*Przelicznik_M3_MP,IF(ISNUMBER(SEARCH("GJ",UPPER(J347))),I347/Przelicznik_GJ_tona/Przelicznik_MP_tona,I347)))))</f>
        <v/>
      </c>
      <c r="AF347" s="20">
        <f>IF(I347="",0,IF(ISNUMBER(SEARCH("TON",UPPER(J347))),I347,IF(ISNUMBER(SEARCH("GJ",UPPER(J347))),I347/Przelicznik_GJ_tona,AE347*Przelicznik_MP_tona)))</f>
        <v/>
      </c>
      <c r="AG347" s="20">
        <f>AF347*Przelicznik_GJ_tona</f>
        <v/>
      </c>
      <c r="AH347" s="20">
        <f>IF(UPPER(AD347)="SKORYGOWANY",0,IF(OR(UPPER(E347)="TRANSPORT",UPPER(E347)="MM"),0,IF(UPPER(G347)&lt;&gt;"TAK",0,IF(OR(UPPER(E347)="ZAKUP",UPPER(E347)="PRODUKCJA"),AE347,IF(OR(UPPER(E347)="SPRZEDAŻ",UPPER(E347)="ZUŻYCIE"),-AE347,0)))))</f>
        <v/>
      </c>
      <c r="AI347" s="20">
        <f>IF(UPPER(AD347)="SKORYGOWANY",0,IF(OR(UPPER(E347)="TRANSPORT",UPPER(E347)="MM"),0,IF(UPPER(G347)&lt;&gt;"TAK",0,IF(OR(UPPER(E347)="ZAKUP",UPPER(E347)="PRODUKCJA"),AF347,IF(OR(UPPER(E347)="SPRZEDAŻ",UPPER(E347)="ZUŻYCIE"),-AF347,0)))))</f>
        <v/>
      </c>
      <c r="AJ347" s="21">
        <f>IF(UPPER(AD347)="SKORYGOWANY",0,IF(UPPER(E347)="ZAKUP",IF(L347&lt;&gt;"",L347,I347*K347),0))</f>
        <v/>
      </c>
      <c r="AK347" s="21">
        <f>IF(UPPER(AD347)="SKORYGOWANY",0,IF(UPPER(E347)="SPRZEDAŻ",IF(L347&lt;&gt;"",L347,I347*M347),0))</f>
        <v/>
      </c>
      <c r="AL347" s="21">
        <f>AE347*Q347</f>
        <v/>
      </c>
      <c r="AM347">
        <f>IF(R347="","",IF(LOWER(R347)="brak","Brak",IF(OR(ISNUMBER(SEARCH("własn",LOWER(R347))),ISNUMBER(SEARCH("wlasn",LOWER(R347))),ISNUMBER(SEARCH("wojciechowski",LOWER(R347)))),"Własny","Zewnętrzny")))</f>
        <v/>
      </c>
      <c r="AN347" s="24">
        <f>IF(C347="","",YEAR(C347))</f>
        <v/>
      </c>
      <c r="AO347" s="24">
        <f>IF(C347="","",MONTH(C347))</f>
        <v/>
      </c>
      <c r="AP347">
        <f>IF(C347="","",UPPER(TEXT(C347,"mmmm")))</f>
        <v/>
      </c>
      <c r="AQ347">
        <f>IF(C347="","","Q"&amp;ROUNDUP(MONTH(C347)/3,0))</f>
        <v/>
      </c>
    </row>
    <row r="348">
      <c r="A348" s="19" t="n">
        <v>46245</v>
      </c>
      <c r="C348" s="19" t="n">
        <v>46245</v>
      </c>
      <c r="D348" t="inlineStr">
        <is>
          <t>Magazyn Zabrze</t>
        </is>
      </c>
      <c r="E348" t="inlineStr">
        <is>
          <t>ZUŻYCIE</t>
        </is>
      </c>
      <c r="F348" t="inlineStr">
        <is>
          <t>PZ/65</t>
        </is>
      </c>
      <c r="G348" t="inlineStr">
        <is>
          <t>TAK</t>
        </is>
      </c>
      <c r="H348" t="inlineStr">
        <is>
          <t>Deklaracja</t>
        </is>
      </c>
      <c r="I348" s="20" t="n">
        <v>72</v>
      </c>
      <c r="J348" t="inlineStr">
        <is>
          <t>MP</t>
        </is>
      </c>
      <c r="K348" s="21" t="n">
        <v>0</v>
      </c>
      <c r="L348" s="21" t="n">
        <v>0</v>
      </c>
      <c r="M348" s="21" t="n">
        <v>0</v>
      </c>
      <c r="N348" t="inlineStr">
        <is>
          <t>Zrębka Produkcyjna Leśna</t>
        </is>
      </c>
      <c r="O348" t="inlineStr">
        <is>
          <t>B</t>
        </is>
      </c>
      <c r="P348" t="inlineStr">
        <is>
          <t>własne</t>
        </is>
      </c>
      <c r="Q348" s="21" t="n">
        <v>10</v>
      </c>
      <c r="T348" s="22" t="n">
        <v>0</v>
      </c>
      <c r="U348" s="21" t="n">
        <v>0</v>
      </c>
      <c r="V348" s="21" t="n">
        <v>0</v>
      </c>
      <c r="W348" t="inlineStr">
        <is>
          <t>Magazyn Zabrze</t>
        </is>
      </c>
      <c r="X348" t="inlineStr">
        <is>
          <t>Magazyn Zabrze</t>
        </is>
      </c>
      <c r="Y348" t="inlineStr">
        <is>
          <t>Automatyczne zużycie surowca do produkcji</t>
        </is>
      </c>
      <c r="AA348" s="23" t="n">
        <v>46254.37509259259</v>
      </c>
      <c r="AB348" t="inlineStr">
        <is>
          <t>OP-MIGR-00347</t>
        </is>
      </c>
      <c r="AD348" t="inlineStr">
        <is>
          <t>AKTYWNY</t>
        </is>
      </c>
      <c r="AE348" s="20">
        <f>IF(I348="",0,IF(ISNUMBER(SEARCH("MP",UPPER(J348))),I348,IF(ISNUMBER(SEARCH("TON",UPPER(J348))),I348/Przelicznik_MP_tona,IF(ISNUMBER(SEARCH("M3",UPPER(J348))),I348*Przelicznik_M3_MP,IF(ISNUMBER(SEARCH("GJ",UPPER(J348))),I348/Przelicznik_GJ_tona/Przelicznik_MP_tona,I348)))))</f>
        <v/>
      </c>
      <c r="AF348" s="20">
        <f>IF(I348="",0,IF(ISNUMBER(SEARCH("TON",UPPER(J348))),I348,IF(ISNUMBER(SEARCH("GJ",UPPER(J348))),I348/Przelicznik_GJ_tona,AE348*Przelicznik_MP_tona)))</f>
        <v/>
      </c>
      <c r="AG348" s="20">
        <f>AF348*Przelicznik_GJ_tona</f>
        <v/>
      </c>
      <c r="AH348" s="20">
        <f>IF(UPPER(AD348)="SKORYGOWANY",0,IF(OR(UPPER(E348)="TRANSPORT",UPPER(E348)="MM"),0,IF(UPPER(G348)&lt;&gt;"TAK",0,IF(OR(UPPER(E348)="ZAKUP",UPPER(E348)="PRODUKCJA"),AE348,IF(OR(UPPER(E348)="SPRZEDAŻ",UPPER(E348)="ZUŻYCIE"),-AE348,0)))))</f>
        <v/>
      </c>
      <c r="AI348" s="20">
        <f>IF(UPPER(AD348)="SKORYGOWANY",0,IF(OR(UPPER(E348)="TRANSPORT",UPPER(E348)="MM"),0,IF(UPPER(G348)&lt;&gt;"TAK",0,IF(OR(UPPER(E348)="ZAKUP",UPPER(E348)="PRODUKCJA"),AF348,IF(OR(UPPER(E348)="SPRZEDAŻ",UPPER(E348)="ZUŻYCIE"),-AF348,0)))))</f>
        <v/>
      </c>
      <c r="AJ348" s="21">
        <f>IF(UPPER(AD348)="SKORYGOWANY",0,IF(UPPER(E348)="ZAKUP",IF(L348&lt;&gt;"",L348,I348*K348),0))</f>
        <v/>
      </c>
      <c r="AK348" s="21">
        <f>IF(UPPER(AD348)="SKORYGOWANY",0,IF(UPPER(E348)="SPRZEDAŻ",IF(L348&lt;&gt;"",L348,I348*M348),0))</f>
        <v/>
      </c>
      <c r="AL348" s="21">
        <f>AE348*Q348</f>
        <v/>
      </c>
      <c r="AM348">
        <f>IF(R348="","",IF(LOWER(R348)="brak","Brak",IF(OR(ISNUMBER(SEARCH("własn",LOWER(R348))),ISNUMBER(SEARCH("wlasn",LOWER(R348))),ISNUMBER(SEARCH("wojciechowski",LOWER(R348)))),"Własny","Zewnętrzny")))</f>
        <v/>
      </c>
      <c r="AN348" s="24">
        <f>IF(C348="","",YEAR(C348))</f>
        <v/>
      </c>
      <c r="AO348" s="24">
        <f>IF(C348="","",MONTH(C348))</f>
        <v/>
      </c>
      <c r="AP348">
        <f>IF(C348="","",UPPER(TEXT(C348,"mmmm")))</f>
        <v/>
      </c>
      <c r="AQ348">
        <f>IF(C348="","","Q"&amp;ROUNDUP(MONTH(C348)/3,0))</f>
        <v/>
      </c>
    </row>
    <row r="349">
      <c r="A349" s="19" t="n">
        <v>46245</v>
      </c>
      <c r="B349" t="inlineStr">
        <is>
          <t>Mętków</t>
        </is>
      </c>
      <c r="C349" s="19" t="n">
        <v>46245</v>
      </c>
      <c r="D349" t="inlineStr">
        <is>
          <t>Magazyn Zabrze</t>
        </is>
      </c>
      <c r="E349" t="inlineStr">
        <is>
          <t>ZAKUP</t>
        </is>
      </c>
      <c r="F349" t="inlineStr">
        <is>
          <t>PZ/65</t>
        </is>
      </c>
      <c r="G349" t="inlineStr">
        <is>
          <t>TAK</t>
        </is>
      </c>
      <c r="H349" t="inlineStr">
        <is>
          <t>Deklaracja</t>
        </is>
      </c>
      <c r="I349" s="20" t="n">
        <v>72</v>
      </c>
      <c r="J349" t="inlineStr">
        <is>
          <t>MP</t>
        </is>
      </c>
      <c r="K349" s="21" t="n">
        <v>0</v>
      </c>
      <c r="L349" s="21" t="n">
        <v>0</v>
      </c>
      <c r="M349" s="21" t="n">
        <v>0</v>
      </c>
      <c r="N349" t="inlineStr">
        <is>
          <t>Zrębka Produkcyjna Leśna</t>
        </is>
      </c>
      <c r="O349" t="inlineStr">
        <is>
          <t>B</t>
        </is>
      </c>
      <c r="Q349" s="21" t="n">
        <v>0</v>
      </c>
      <c r="R349" t="inlineStr">
        <is>
          <t>własny (Chrzan)</t>
        </is>
      </c>
      <c r="S349" t="inlineStr">
        <is>
          <t>SK 5L809</t>
        </is>
      </c>
      <c r="T349" s="22" t="n">
        <v>134</v>
      </c>
      <c r="U349" s="21" t="n">
        <v>5</v>
      </c>
      <c r="V349" s="21" t="n">
        <v>670</v>
      </c>
      <c r="W349" t="inlineStr">
        <is>
          <t>Magazyn Zabrze</t>
        </is>
      </c>
      <c r="X349" t="inlineStr">
        <is>
          <t>Magazyn Zabrze</t>
        </is>
      </c>
      <c r="Z349" t="inlineStr">
        <is>
          <t>Marcin Kwiatkowski</t>
        </is>
      </c>
      <c r="AA349" s="23" t="n">
        <v>46254.38075231481</v>
      </c>
      <c r="AB349" t="inlineStr">
        <is>
          <t>OP-MIGR-00348</t>
        </is>
      </c>
      <c r="AD349" t="inlineStr">
        <is>
          <t>AKTYWNY</t>
        </is>
      </c>
      <c r="AE349" s="20">
        <f>IF(I349="",0,IF(ISNUMBER(SEARCH("MP",UPPER(J349))),I349,IF(ISNUMBER(SEARCH("TON",UPPER(J349))),I349/Przelicznik_MP_tona,IF(ISNUMBER(SEARCH("M3",UPPER(J349))),I349*Przelicznik_M3_MP,IF(ISNUMBER(SEARCH("GJ",UPPER(J349))),I349/Przelicznik_GJ_tona/Przelicznik_MP_tona,I349)))))</f>
        <v/>
      </c>
      <c r="AF349" s="20">
        <f>IF(I349="",0,IF(ISNUMBER(SEARCH("TON",UPPER(J349))),I349,IF(ISNUMBER(SEARCH("GJ",UPPER(J349))),I349/Przelicznik_GJ_tona,AE349*Przelicznik_MP_tona)))</f>
        <v/>
      </c>
      <c r="AG349" s="20">
        <f>AF349*Przelicznik_GJ_tona</f>
        <v/>
      </c>
      <c r="AH349" s="20">
        <f>IF(UPPER(AD349)="SKORYGOWANY",0,IF(OR(UPPER(E349)="TRANSPORT",UPPER(E349)="MM"),0,IF(UPPER(G349)&lt;&gt;"TAK",0,IF(OR(UPPER(E349)="ZAKUP",UPPER(E349)="PRODUKCJA"),AE349,IF(OR(UPPER(E349)="SPRZEDAŻ",UPPER(E349)="ZUŻYCIE"),-AE349,0)))))</f>
        <v/>
      </c>
      <c r="AI349" s="20">
        <f>IF(UPPER(AD349)="SKORYGOWANY",0,IF(OR(UPPER(E349)="TRANSPORT",UPPER(E349)="MM"),0,IF(UPPER(G349)&lt;&gt;"TAK",0,IF(OR(UPPER(E349)="ZAKUP",UPPER(E349)="PRODUKCJA"),AF349,IF(OR(UPPER(E349)="SPRZEDAŻ",UPPER(E349)="ZUŻYCIE"),-AF349,0)))))</f>
        <v/>
      </c>
      <c r="AJ349" s="21">
        <f>IF(UPPER(AD349)="SKORYGOWANY",0,IF(UPPER(E349)="ZAKUP",IF(L349&lt;&gt;"",L349,I349*K349),0))</f>
        <v/>
      </c>
      <c r="AK349" s="21">
        <f>IF(UPPER(AD349)="SKORYGOWANY",0,IF(UPPER(E349)="SPRZEDAŻ",IF(L349&lt;&gt;"",L349,I349*M349),0))</f>
        <v/>
      </c>
      <c r="AL349" s="21">
        <f>AE349*Q349</f>
        <v/>
      </c>
      <c r="AM349">
        <f>IF(R349="","",IF(LOWER(R349)="brak","Brak",IF(OR(ISNUMBER(SEARCH("własn",LOWER(R349))),ISNUMBER(SEARCH("wlasn",LOWER(R349))),ISNUMBER(SEARCH("wojciechowski",LOWER(R349)))),"Własny","Zewnętrzny")))</f>
        <v/>
      </c>
      <c r="AN349" s="24">
        <f>IF(C349="","",YEAR(C349))</f>
        <v/>
      </c>
      <c r="AO349" s="24">
        <f>IF(C349="","",MONTH(C349))</f>
        <v/>
      </c>
      <c r="AP349">
        <f>IF(C349="","",UPPER(TEXT(C349,"mmmm")))</f>
        <v/>
      </c>
      <c r="AQ349">
        <f>IF(C349="","","Q"&amp;ROUNDUP(MONTH(C349)/3,0))</f>
        <v/>
      </c>
    </row>
    <row r="350">
      <c r="A350" s="19" t="n">
        <v>46245</v>
      </c>
      <c r="C350" s="19" t="n">
        <v>46245</v>
      </c>
      <c r="D350" t="inlineStr">
        <is>
          <t>NDL Chrzanów, Leśnictwo Mętków</t>
        </is>
      </c>
      <c r="E350" t="inlineStr">
        <is>
          <t>ZAKUP</t>
        </is>
      </c>
      <c r="F350" t="inlineStr">
        <is>
          <t>PZ/66   3/202624967/6168</t>
        </is>
      </c>
      <c r="G350" t="inlineStr">
        <is>
          <t>TAK</t>
        </is>
      </c>
      <c r="H350" t="inlineStr">
        <is>
          <t>Deklaracja</t>
        </is>
      </c>
      <c r="I350" s="20" t="n">
        <v>18</v>
      </c>
      <c r="J350" t="inlineStr">
        <is>
          <t>M3</t>
        </is>
      </c>
      <c r="K350" s="21" t="n">
        <v>141</v>
      </c>
      <c r="L350" s="21" t="n">
        <v>2538</v>
      </c>
      <c r="M350" s="21" t="n">
        <v>0</v>
      </c>
      <c r="N350" t="inlineStr">
        <is>
          <t>Drewno opałowe z lasu</t>
        </is>
      </c>
      <c r="Q350" s="21" t="n">
        <v>0</v>
      </c>
      <c r="T350" s="22" t="n">
        <v>0</v>
      </c>
      <c r="U350" s="21" t="n">
        <v>0</v>
      </c>
      <c r="V350" s="21" t="n">
        <v>0</v>
      </c>
      <c r="W350" t="inlineStr">
        <is>
          <t>Magazyn Zabrze</t>
        </is>
      </c>
      <c r="X350" t="inlineStr">
        <is>
          <t>Magazyn Zabrze</t>
        </is>
      </c>
      <c r="Y350" t="inlineStr">
        <is>
          <t>Waga: 24 240 kg</t>
        </is>
      </c>
      <c r="Z350" t="inlineStr">
        <is>
          <t>Marcin Kwiatkowski</t>
        </is>
      </c>
      <c r="AA350" s="23" t="n">
        <v>46254.42421296296</v>
      </c>
      <c r="AB350" t="inlineStr">
        <is>
          <t>OP-MIGR-00349</t>
        </is>
      </c>
      <c r="AD350" t="inlineStr">
        <is>
          <t>AKTYWNY</t>
        </is>
      </c>
      <c r="AE350" s="20">
        <f>IF(I350="",0,IF(ISNUMBER(SEARCH("MP",UPPER(J350))),I350,IF(ISNUMBER(SEARCH("TON",UPPER(J350))),I350/Przelicznik_MP_tona,IF(ISNUMBER(SEARCH("M3",UPPER(J350))),I350*Przelicznik_M3_MP,IF(ISNUMBER(SEARCH("GJ",UPPER(J350))),I350/Przelicznik_GJ_tona/Przelicznik_MP_tona,I350)))))</f>
        <v/>
      </c>
      <c r="AF350" s="20">
        <f>IF(I350="",0,IF(ISNUMBER(SEARCH("TON",UPPER(J350))),I350,IF(ISNUMBER(SEARCH("GJ",UPPER(J350))),I350/Przelicznik_GJ_tona,AE350*Przelicznik_MP_tona)))</f>
        <v/>
      </c>
      <c r="AG350" s="20">
        <f>AF350*Przelicznik_GJ_tona</f>
        <v/>
      </c>
      <c r="AH350" s="20">
        <f>IF(UPPER(AD350)="SKORYGOWANY",0,IF(OR(UPPER(E350)="TRANSPORT",UPPER(E350)="MM"),0,IF(UPPER(G350)&lt;&gt;"TAK",0,IF(OR(UPPER(E350)="ZAKUP",UPPER(E350)="PRODUKCJA"),AE350,IF(OR(UPPER(E350)="SPRZEDAŻ",UPPER(E350)="ZUŻYCIE"),-AE350,0)))))</f>
        <v/>
      </c>
      <c r="AI350" s="20">
        <f>IF(UPPER(AD350)="SKORYGOWANY",0,IF(OR(UPPER(E350)="TRANSPORT",UPPER(E350)="MM"),0,IF(UPPER(G350)&lt;&gt;"TAK",0,IF(OR(UPPER(E350)="ZAKUP",UPPER(E350)="PRODUKCJA"),AF350,IF(OR(UPPER(E350)="SPRZEDAŻ",UPPER(E350)="ZUŻYCIE"),-AF350,0)))))</f>
        <v/>
      </c>
      <c r="AJ350" s="21">
        <f>IF(UPPER(AD350)="SKORYGOWANY",0,IF(UPPER(E350)="ZAKUP",IF(L350&lt;&gt;"",L350,I350*K350),0))</f>
        <v/>
      </c>
      <c r="AK350" s="21">
        <f>IF(UPPER(AD350)="SKORYGOWANY",0,IF(UPPER(E350)="SPRZEDAŻ",IF(L350&lt;&gt;"",L350,I350*M350),0))</f>
        <v/>
      </c>
      <c r="AL350" s="21">
        <f>AE350*Q350</f>
        <v/>
      </c>
      <c r="AM350">
        <f>IF(R350="","",IF(LOWER(R350)="brak","Brak",IF(OR(ISNUMBER(SEARCH("własn",LOWER(R350))),ISNUMBER(SEARCH("wlasn",LOWER(R350))),ISNUMBER(SEARCH("wojciechowski",LOWER(R350)))),"Własny","Zewnętrzny")))</f>
        <v/>
      </c>
      <c r="AN350" s="24">
        <f>IF(C350="","",YEAR(C350))</f>
        <v/>
      </c>
      <c r="AO350" s="24">
        <f>IF(C350="","",MONTH(C350))</f>
        <v/>
      </c>
      <c r="AP350">
        <f>IF(C350="","",UPPER(TEXT(C350,"mmmm")))</f>
        <v/>
      </c>
      <c r="AQ350">
        <f>IF(C350="","","Q"&amp;ROUNDUP(MONTH(C350)/3,0))</f>
        <v/>
      </c>
    </row>
    <row r="351">
      <c r="A351" s="19" t="n">
        <v>46245</v>
      </c>
      <c r="C351" s="19" t="n">
        <v>46245</v>
      </c>
      <c r="D351" t="inlineStr">
        <is>
          <t>Magazyn Zabrze</t>
        </is>
      </c>
      <c r="E351" t="inlineStr">
        <is>
          <t>PRODUKCJA</t>
        </is>
      </c>
      <c r="F351" t="inlineStr">
        <is>
          <t>PZ/66</t>
        </is>
      </c>
      <c r="G351" t="inlineStr">
        <is>
          <t>TAK</t>
        </is>
      </c>
      <c r="H351" t="inlineStr">
        <is>
          <t>Deklaracja</t>
        </is>
      </c>
      <c r="I351" s="20" t="n">
        <v>72</v>
      </c>
      <c r="J351" t="inlineStr">
        <is>
          <t>MP</t>
        </is>
      </c>
      <c r="K351" s="21" t="n">
        <v>0</v>
      </c>
      <c r="L351" s="21" t="n">
        <v>0</v>
      </c>
      <c r="M351" s="21" t="n">
        <v>0</v>
      </c>
      <c r="N351" t="inlineStr">
        <is>
          <t>Zrębka Produkcyjna Leśna</t>
        </is>
      </c>
      <c r="O351" t="inlineStr">
        <is>
          <t>B</t>
        </is>
      </c>
      <c r="P351" t="inlineStr">
        <is>
          <t>własne</t>
        </is>
      </c>
      <c r="Q351" s="21" t="n">
        <v>10</v>
      </c>
      <c r="T351" s="22" t="n">
        <v>0</v>
      </c>
      <c r="U351" s="21" t="n">
        <v>0</v>
      </c>
      <c r="V351" s="21" t="n">
        <v>0</v>
      </c>
      <c r="W351" t="inlineStr">
        <is>
          <t>Magazyn Zabrze</t>
        </is>
      </c>
      <c r="X351" t="inlineStr">
        <is>
          <t>Magazyn Zabrze</t>
        </is>
      </c>
      <c r="Y351" t="inlineStr">
        <is>
          <t>Rębak z Brąszewic, rębakowy Łukasz Kempski</t>
        </is>
      </c>
      <c r="Z351" t="inlineStr">
        <is>
          <t>Marcin Kwiatkowski</t>
        </is>
      </c>
      <c r="AA351" s="23" t="n">
        <v>46254.42574074074</v>
      </c>
      <c r="AB351" t="inlineStr">
        <is>
          <t>OP-MIGR-00350</t>
        </is>
      </c>
      <c r="AD351" t="inlineStr">
        <is>
          <t>AKTYWNY</t>
        </is>
      </c>
      <c r="AE351" s="20">
        <f>IF(I351="",0,IF(ISNUMBER(SEARCH("MP",UPPER(J351))),I351,IF(ISNUMBER(SEARCH("TON",UPPER(J351))),I351/Przelicznik_MP_tona,IF(ISNUMBER(SEARCH("M3",UPPER(J351))),I351*Przelicznik_M3_MP,IF(ISNUMBER(SEARCH("GJ",UPPER(J351))),I351/Przelicznik_GJ_tona/Przelicznik_MP_tona,I351)))))</f>
        <v/>
      </c>
      <c r="AF351" s="20">
        <f>IF(I351="",0,IF(ISNUMBER(SEARCH("TON",UPPER(J351))),I351,IF(ISNUMBER(SEARCH("GJ",UPPER(J351))),I351/Przelicznik_GJ_tona,AE351*Przelicznik_MP_tona)))</f>
        <v/>
      </c>
      <c r="AG351" s="20">
        <f>AF351*Przelicznik_GJ_tona</f>
        <v/>
      </c>
      <c r="AH351" s="20">
        <f>IF(UPPER(AD351)="SKORYGOWANY",0,IF(OR(UPPER(E351)="TRANSPORT",UPPER(E351)="MM"),0,IF(UPPER(G351)&lt;&gt;"TAK",0,IF(OR(UPPER(E351)="ZAKUP",UPPER(E351)="PRODUKCJA"),AE351,IF(OR(UPPER(E351)="SPRZEDAŻ",UPPER(E351)="ZUŻYCIE"),-AE351,0)))))</f>
        <v/>
      </c>
      <c r="AI351" s="20">
        <f>IF(UPPER(AD351)="SKORYGOWANY",0,IF(OR(UPPER(E351)="TRANSPORT",UPPER(E351)="MM"),0,IF(UPPER(G351)&lt;&gt;"TAK",0,IF(OR(UPPER(E351)="ZAKUP",UPPER(E351)="PRODUKCJA"),AF351,IF(OR(UPPER(E351)="SPRZEDAŻ",UPPER(E351)="ZUŻYCIE"),-AF351,0)))))</f>
        <v/>
      </c>
      <c r="AJ351" s="21">
        <f>IF(UPPER(AD351)="SKORYGOWANY",0,IF(UPPER(E351)="ZAKUP",IF(L351&lt;&gt;"",L351,I351*K351),0))</f>
        <v/>
      </c>
      <c r="AK351" s="21">
        <f>IF(UPPER(AD351)="SKORYGOWANY",0,IF(UPPER(E351)="SPRZEDAŻ",IF(L351&lt;&gt;"",L351,I351*M351),0))</f>
        <v/>
      </c>
      <c r="AL351" s="21">
        <f>AE351*Q351</f>
        <v/>
      </c>
      <c r="AM351">
        <f>IF(R351="","",IF(LOWER(R351)="brak","Brak",IF(OR(ISNUMBER(SEARCH("własn",LOWER(R351))),ISNUMBER(SEARCH("wlasn",LOWER(R351))),ISNUMBER(SEARCH("wojciechowski",LOWER(R351)))),"Własny","Zewnętrzny")))</f>
        <v/>
      </c>
      <c r="AN351" s="24">
        <f>IF(C351="","",YEAR(C351))</f>
        <v/>
      </c>
      <c r="AO351" s="24">
        <f>IF(C351="","",MONTH(C351))</f>
        <v/>
      </c>
      <c r="AP351">
        <f>IF(C351="","",UPPER(TEXT(C351,"mmmm")))</f>
        <v/>
      </c>
      <c r="AQ351">
        <f>IF(C351="","","Q"&amp;ROUNDUP(MONTH(C351)/3,0))</f>
        <v/>
      </c>
    </row>
    <row r="352">
      <c r="A352" s="19" t="n">
        <v>46245</v>
      </c>
      <c r="C352" s="19" t="n">
        <v>46245</v>
      </c>
      <c r="D352" t="inlineStr">
        <is>
          <t>Magazyn Zabrze</t>
        </is>
      </c>
      <c r="E352" t="inlineStr">
        <is>
          <t>ZUŻYCIE</t>
        </is>
      </c>
      <c r="F352" t="inlineStr">
        <is>
          <t>PZ/66</t>
        </is>
      </c>
      <c r="G352" t="inlineStr">
        <is>
          <t>TAK</t>
        </is>
      </c>
      <c r="H352" t="inlineStr">
        <is>
          <t>Deklaracja</t>
        </is>
      </c>
      <c r="I352" s="20" t="n">
        <v>72</v>
      </c>
      <c r="J352" t="inlineStr">
        <is>
          <t>MP</t>
        </is>
      </c>
      <c r="K352" s="21" t="n">
        <v>0</v>
      </c>
      <c r="L352" s="21" t="n">
        <v>0</v>
      </c>
      <c r="M352" s="21" t="n">
        <v>0</v>
      </c>
      <c r="N352" t="inlineStr">
        <is>
          <t>Zrębka Produkcyjna Leśna</t>
        </is>
      </c>
      <c r="O352" t="inlineStr">
        <is>
          <t>B</t>
        </is>
      </c>
      <c r="P352" t="inlineStr">
        <is>
          <t>własne</t>
        </is>
      </c>
      <c r="Q352" s="21" t="n">
        <v>10</v>
      </c>
      <c r="T352" s="22" t="n">
        <v>0</v>
      </c>
      <c r="U352" s="21" t="n">
        <v>0</v>
      </c>
      <c r="V352" s="21" t="n">
        <v>0</v>
      </c>
      <c r="W352" t="inlineStr">
        <is>
          <t>Magazyn Zabrze</t>
        </is>
      </c>
      <c r="X352" t="inlineStr">
        <is>
          <t>Magazyn Zabrze</t>
        </is>
      </c>
      <c r="Y352" t="inlineStr">
        <is>
          <t>Automatyczne zużycie surowca do produkcji</t>
        </is>
      </c>
      <c r="AA352" s="23" t="n">
        <v>46254.42574074074</v>
      </c>
      <c r="AB352" t="inlineStr">
        <is>
          <t>OP-MIGR-00351</t>
        </is>
      </c>
      <c r="AD352" t="inlineStr">
        <is>
          <t>AKTYWNY</t>
        </is>
      </c>
      <c r="AE352" s="20">
        <f>IF(I352="",0,IF(ISNUMBER(SEARCH("MP",UPPER(J352))),I352,IF(ISNUMBER(SEARCH("TON",UPPER(J352))),I352/Przelicznik_MP_tona,IF(ISNUMBER(SEARCH("M3",UPPER(J352))),I352*Przelicznik_M3_MP,IF(ISNUMBER(SEARCH("GJ",UPPER(J352))),I352/Przelicznik_GJ_tona/Przelicznik_MP_tona,I352)))))</f>
        <v/>
      </c>
      <c r="AF352" s="20">
        <f>IF(I352="",0,IF(ISNUMBER(SEARCH("TON",UPPER(J352))),I352,IF(ISNUMBER(SEARCH("GJ",UPPER(J352))),I352/Przelicznik_GJ_tona,AE352*Przelicznik_MP_tona)))</f>
        <v/>
      </c>
      <c r="AG352" s="20">
        <f>AF352*Przelicznik_GJ_tona</f>
        <v/>
      </c>
      <c r="AH352" s="20">
        <f>IF(UPPER(AD352)="SKORYGOWANY",0,IF(OR(UPPER(E352)="TRANSPORT",UPPER(E352)="MM"),0,IF(UPPER(G352)&lt;&gt;"TAK",0,IF(OR(UPPER(E352)="ZAKUP",UPPER(E352)="PRODUKCJA"),AE352,IF(OR(UPPER(E352)="SPRZEDAŻ",UPPER(E352)="ZUŻYCIE"),-AE352,0)))))</f>
        <v/>
      </c>
      <c r="AI352" s="20">
        <f>IF(UPPER(AD352)="SKORYGOWANY",0,IF(OR(UPPER(E352)="TRANSPORT",UPPER(E352)="MM"),0,IF(UPPER(G352)&lt;&gt;"TAK",0,IF(OR(UPPER(E352)="ZAKUP",UPPER(E352)="PRODUKCJA"),AF352,IF(OR(UPPER(E352)="SPRZEDAŻ",UPPER(E352)="ZUŻYCIE"),-AF352,0)))))</f>
        <v/>
      </c>
      <c r="AJ352" s="21">
        <f>IF(UPPER(AD352)="SKORYGOWANY",0,IF(UPPER(E352)="ZAKUP",IF(L352&lt;&gt;"",L352,I352*K352),0))</f>
        <v/>
      </c>
      <c r="AK352" s="21">
        <f>IF(UPPER(AD352)="SKORYGOWANY",0,IF(UPPER(E352)="SPRZEDAŻ",IF(L352&lt;&gt;"",L352,I352*M352),0))</f>
        <v/>
      </c>
      <c r="AL352" s="21">
        <f>AE352*Q352</f>
        <v/>
      </c>
      <c r="AM352">
        <f>IF(R352="","",IF(LOWER(R352)="brak","Brak",IF(OR(ISNUMBER(SEARCH("własn",LOWER(R352))),ISNUMBER(SEARCH("wlasn",LOWER(R352))),ISNUMBER(SEARCH("wojciechowski",LOWER(R352)))),"Własny","Zewnętrzny")))</f>
        <v/>
      </c>
      <c r="AN352" s="24">
        <f>IF(C352="","",YEAR(C352))</f>
        <v/>
      </c>
      <c r="AO352" s="24">
        <f>IF(C352="","",MONTH(C352))</f>
        <v/>
      </c>
      <c r="AP352">
        <f>IF(C352="","",UPPER(TEXT(C352,"mmmm")))</f>
        <v/>
      </c>
      <c r="AQ352">
        <f>IF(C352="","","Q"&amp;ROUNDUP(MONTH(C352)/3,0))</f>
        <v/>
      </c>
    </row>
    <row r="353">
      <c r="A353" s="19" t="n">
        <v>46245</v>
      </c>
      <c r="B353" t="inlineStr">
        <is>
          <t>Mętków</t>
        </is>
      </c>
      <c r="C353" s="19" t="n">
        <v>46245</v>
      </c>
      <c r="D353" t="inlineStr">
        <is>
          <t>Magazyn Zabrze</t>
        </is>
      </c>
      <c r="E353" t="inlineStr">
        <is>
          <t>ZAKUP</t>
        </is>
      </c>
      <c r="F353" t="inlineStr">
        <is>
          <t>PZ/66</t>
        </is>
      </c>
      <c r="G353" t="inlineStr">
        <is>
          <t>TAK</t>
        </is>
      </c>
      <c r="H353" t="inlineStr">
        <is>
          <t>Deklaracja</t>
        </is>
      </c>
      <c r="I353" s="20" t="n">
        <v>72</v>
      </c>
      <c r="J353" t="inlineStr">
        <is>
          <t>MP</t>
        </is>
      </c>
      <c r="K353" s="21" t="n">
        <v>0</v>
      </c>
      <c r="L353" s="21" t="n">
        <v>0</v>
      </c>
      <c r="M353" s="21" t="n">
        <v>0</v>
      </c>
      <c r="N353" t="inlineStr">
        <is>
          <t>Zrębka Produkcyjna Leśna</t>
        </is>
      </c>
      <c r="O353" t="inlineStr">
        <is>
          <t>B</t>
        </is>
      </c>
      <c r="Q353" s="21" t="n">
        <v>0</v>
      </c>
      <c r="R353" t="inlineStr">
        <is>
          <t>własny (Chrzan)</t>
        </is>
      </c>
      <c r="S353" t="inlineStr">
        <is>
          <t>SK 5L809</t>
        </is>
      </c>
      <c r="T353" s="22" t="n">
        <v>134</v>
      </c>
      <c r="U353" s="21" t="n">
        <v>5</v>
      </c>
      <c r="V353" s="21" t="n">
        <v>670</v>
      </c>
      <c r="W353" t="inlineStr">
        <is>
          <t>Magazyn Zabrze</t>
        </is>
      </c>
      <c r="X353" t="inlineStr">
        <is>
          <t>Magazyn Zabrze</t>
        </is>
      </c>
      <c r="Z353" t="inlineStr">
        <is>
          <t>Marcin Kwiatkowski</t>
        </is>
      </c>
      <c r="AA353" s="23" t="n">
        <v>46254.4271875</v>
      </c>
      <c r="AB353" t="inlineStr">
        <is>
          <t>OP-MIGR-00352</t>
        </is>
      </c>
      <c r="AD353" t="inlineStr">
        <is>
          <t>AKTYWNY</t>
        </is>
      </c>
      <c r="AE353" s="20">
        <f>IF(I353="",0,IF(ISNUMBER(SEARCH("MP",UPPER(J353))),I353,IF(ISNUMBER(SEARCH("TON",UPPER(J353))),I353/Przelicznik_MP_tona,IF(ISNUMBER(SEARCH("M3",UPPER(J353))),I353*Przelicznik_M3_MP,IF(ISNUMBER(SEARCH("GJ",UPPER(J353))),I353/Przelicznik_GJ_tona/Przelicznik_MP_tona,I353)))))</f>
        <v/>
      </c>
      <c r="AF353" s="20">
        <f>IF(I353="",0,IF(ISNUMBER(SEARCH("TON",UPPER(J353))),I353,IF(ISNUMBER(SEARCH("GJ",UPPER(J353))),I353/Przelicznik_GJ_tona,AE353*Przelicznik_MP_tona)))</f>
        <v/>
      </c>
      <c r="AG353" s="20">
        <f>AF353*Przelicznik_GJ_tona</f>
        <v/>
      </c>
      <c r="AH353" s="20">
        <f>IF(UPPER(AD353)="SKORYGOWANY",0,IF(OR(UPPER(E353)="TRANSPORT",UPPER(E353)="MM"),0,IF(UPPER(G353)&lt;&gt;"TAK",0,IF(OR(UPPER(E353)="ZAKUP",UPPER(E353)="PRODUKCJA"),AE353,IF(OR(UPPER(E353)="SPRZEDAŻ",UPPER(E353)="ZUŻYCIE"),-AE353,0)))))</f>
        <v/>
      </c>
      <c r="AI353" s="20">
        <f>IF(UPPER(AD353)="SKORYGOWANY",0,IF(OR(UPPER(E353)="TRANSPORT",UPPER(E353)="MM"),0,IF(UPPER(G353)&lt;&gt;"TAK",0,IF(OR(UPPER(E353)="ZAKUP",UPPER(E353)="PRODUKCJA"),AF353,IF(OR(UPPER(E353)="SPRZEDAŻ",UPPER(E353)="ZUŻYCIE"),-AF353,0)))))</f>
        <v/>
      </c>
      <c r="AJ353" s="21">
        <f>IF(UPPER(AD353)="SKORYGOWANY",0,IF(UPPER(E353)="ZAKUP",IF(L353&lt;&gt;"",L353,I353*K353),0))</f>
        <v/>
      </c>
      <c r="AK353" s="21">
        <f>IF(UPPER(AD353)="SKORYGOWANY",0,IF(UPPER(E353)="SPRZEDAŻ",IF(L353&lt;&gt;"",L353,I353*M353),0))</f>
        <v/>
      </c>
      <c r="AL353" s="21">
        <f>AE353*Q353</f>
        <v/>
      </c>
      <c r="AM353">
        <f>IF(R353="","",IF(LOWER(R353)="brak","Brak",IF(OR(ISNUMBER(SEARCH("własn",LOWER(R353))),ISNUMBER(SEARCH("wlasn",LOWER(R353))),ISNUMBER(SEARCH("wojciechowski",LOWER(R353)))),"Własny","Zewnętrzny")))</f>
        <v/>
      </c>
      <c r="AN353" s="24">
        <f>IF(C353="","",YEAR(C353))</f>
        <v/>
      </c>
      <c r="AO353" s="24">
        <f>IF(C353="","",MONTH(C353))</f>
        <v/>
      </c>
      <c r="AP353">
        <f>IF(C353="","",UPPER(TEXT(C353,"mmmm")))</f>
        <v/>
      </c>
      <c r="AQ353">
        <f>IF(C353="","","Q"&amp;ROUNDUP(MONTH(C353)/3,0))</f>
        <v/>
      </c>
    </row>
    <row r="354">
      <c r="A354" s="19" t="n">
        <v>46245</v>
      </c>
      <c r="C354" s="19" t="n">
        <v>46245</v>
      </c>
      <c r="D354" t="inlineStr">
        <is>
          <t>NDL Chrzanów, Leśnictwo Mętków</t>
        </is>
      </c>
      <c r="E354" t="inlineStr">
        <is>
          <t>ZAKUP</t>
        </is>
      </c>
      <c r="F354" t="inlineStr">
        <is>
          <t>PZ/67   3/202624967/6165</t>
        </is>
      </c>
      <c r="G354" t="inlineStr">
        <is>
          <t>TAK</t>
        </is>
      </c>
      <c r="H354" t="inlineStr">
        <is>
          <t>Deklaracja</t>
        </is>
      </c>
      <c r="I354" s="20" t="n">
        <v>18</v>
      </c>
      <c r="J354" t="inlineStr">
        <is>
          <t>M3</t>
        </is>
      </c>
      <c r="K354" s="21" t="n">
        <v>141</v>
      </c>
      <c r="L354" s="21" t="n">
        <v>2538</v>
      </c>
      <c r="M354" s="21" t="n">
        <v>0</v>
      </c>
      <c r="N354" t="inlineStr">
        <is>
          <t>Drewno opałowe z lasu</t>
        </is>
      </c>
      <c r="Q354" s="21" t="n">
        <v>0</v>
      </c>
      <c r="T354" s="22" t="n">
        <v>0</v>
      </c>
      <c r="U354" s="21" t="n">
        <v>0</v>
      </c>
      <c r="V354" s="21" t="n">
        <v>0</v>
      </c>
      <c r="W354" t="inlineStr">
        <is>
          <t>Magazyn Zabrze</t>
        </is>
      </c>
      <c r="X354" t="inlineStr">
        <is>
          <t>Magazyn Zabrze</t>
        </is>
      </c>
      <c r="Y354" t="inlineStr">
        <is>
          <t>Waga: 23 880 kg</t>
        </is>
      </c>
      <c r="Z354" t="inlineStr">
        <is>
          <t>Marcin Kwiatkowski</t>
        </is>
      </c>
      <c r="AA354" s="23" t="n">
        <v>46254.6033912037</v>
      </c>
      <c r="AB354" t="inlineStr">
        <is>
          <t>OP-MIGR-00353</t>
        </is>
      </c>
      <c r="AD354" t="inlineStr">
        <is>
          <t>AKTYWNY</t>
        </is>
      </c>
      <c r="AE354" s="20">
        <f>IF(I354="",0,IF(ISNUMBER(SEARCH("MP",UPPER(J354))),I354,IF(ISNUMBER(SEARCH("TON",UPPER(J354))),I354/Przelicznik_MP_tona,IF(ISNUMBER(SEARCH("M3",UPPER(J354))),I354*Przelicznik_M3_MP,IF(ISNUMBER(SEARCH("GJ",UPPER(J354))),I354/Przelicznik_GJ_tona/Przelicznik_MP_tona,I354)))))</f>
        <v/>
      </c>
      <c r="AF354" s="20">
        <f>IF(I354="",0,IF(ISNUMBER(SEARCH("TON",UPPER(J354))),I354,IF(ISNUMBER(SEARCH("GJ",UPPER(J354))),I354/Przelicznik_GJ_tona,AE354*Przelicznik_MP_tona)))</f>
        <v/>
      </c>
      <c r="AG354" s="20">
        <f>AF354*Przelicznik_GJ_tona</f>
        <v/>
      </c>
      <c r="AH354" s="20">
        <f>IF(UPPER(AD354)="SKORYGOWANY",0,IF(OR(UPPER(E354)="TRANSPORT",UPPER(E354)="MM"),0,IF(UPPER(G354)&lt;&gt;"TAK",0,IF(OR(UPPER(E354)="ZAKUP",UPPER(E354)="PRODUKCJA"),AE354,IF(OR(UPPER(E354)="SPRZEDAŻ",UPPER(E354)="ZUŻYCIE"),-AE354,0)))))</f>
        <v/>
      </c>
      <c r="AI354" s="20">
        <f>IF(UPPER(AD354)="SKORYGOWANY",0,IF(OR(UPPER(E354)="TRANSPORT",UPPER(E354)="MM"),0,IF(UPPER(G354)&lt;&gt;"TAK",0,IF(OR(UPPER(E354)="ZAKUP",UPPER(E354)="PRODUKCJA"),AF354,IF(OR(UPPER(E354)="SPRZEDAŻ",UPPER(E354)="ZUŻYCIE"),-AF354,0)))))</f>
        <v/>
      </c>
      <c r="AJ354" s="21">
        <f>IF(UPPER(AD354)="SKORYGOWANY",0,IF(UPPER(E354)="ZAKUP",IF(L354&lt;&gt;"",L354,I354*K354),0))</f>
        <v/>
      </c>
      <c r="AK354" s="21">
        <f>IF(UPPER(AD354)="SKORYGOWANY",0,IF(UPPER(E354)="SPRZEDAŻ",IF(L354&lt;&gt;"",L354,I354*M354),0))</f>
        <v/>
      </c>
      <c r="AL354" s="21">
        <f>AE354*Q354</f>
        <v/>
      </c>
      <c r="AM354">
        <f>IF(R354="","",IF(LOWER(R354)="brak","Brak",IF(OR(ISNUMBER(SEARCH("własn",LOWER(R354))),ISNUMBER(SEARCH("wlasn",LOWER(R354))),ISNUMBER(SEARCH("wojciechowski",LOWER(R354)))),"Własny","Zewnętrzny")))</f>
        <v/>
      </c>
      <c r="AN354" s="24">
        <f>IF(C354="","",YEAR(C354))</f>
        <v/>
      </c>
      <c r="AO354" s="24">
        <f>IF(C354="","",MONTH(C354))</f>
        <v/>
      </c>
      <c r="AP354">
        <f>IF(C354="","",UPPER(TEXT(C354,"mmmm")))</f>
        <v/>
      </c>
      <c r="AQ354">
        <f>IF(C354="","","Q"&amp;ROUNDUP(MONTH(C354)/3,0))</f>
        <v/>
      </c>
    </row>
    <row r="355">
      <c r="A355" s="19" t="n">
        <v>46245</v>
      </c>
      <c r="C355" s="19" t="n">
        <v>46245</v>
      </c>
      <c r="D355" t="inlineStr">
        <is>
          <t>Magazyn Zabrze</t>
        </is>
      </c>
      <c r="E355" t="inlineStr">
        <is>
          <t>PRODUKCJA</t>
        </is>
      </c>
      <c r="F355" t="inlineStr">
        <is>
          <t>PZ/67</t>
        </is>
      </c>
      <c r="G355" t="inlineStr">
        <is>
          <t>TAK</t>
        </is>
      </c>
      <c r="H355" t="inlineStr">
        <is>
          <t>Deklaracja</t>
        </is>
      </c>
      <c r="I355" s="20" t="n">
        <v>72</v>
      </c>
      <c r="J355" t="inlineStr">
        <is>
          <t>MP</t>
        </is>
      </c>
      <c r="K355" s="21" t="n">
        <v>0</v>
      </c>
      <c r="L355" s="21" t="n">
        <v>0</v>
      </c>
      <c r="M355" s="21" t="n">
        <v>0</v>
      </c>
      <c r="N355" t="inlineStr">
        <is>
          <t>Zrębka Produkcyjna Leśna</t>
        </is>
      </c>
      <c r="O355" t="inlineStr">
        <is>
          <t>B</t>
        </is>
      </c>
      <c r="P355" t="inlineStr">
        <is>
          <t>własne</t>
        </is>
      </c>
      <c r="Q355" s="21" t="n">
        <v>10</v>
      </c>
      <c r="T355" s="22" t="n">
        <v>0</v>
      </c>
      <c r="U355" s="21" t="n">
        <v>0</v>
      </c>
      <c r="V355" s="21" t="n">
        <v>0</v>
      </c>
      <c r="W355" t="inlineStr">
        <is>
          <t>Magazyn Zabrze</t>
        </is>
      </c>
      <c r="X355" t="inlineStr">
        <is>
          <t>Magazyn Zabrze</t>
        </is>
      </c>
      <c r="Y355" t="inlineStr">
        <is>
          <t>Rębak z Brąszewic, rębakowy Łukasz Kempski</t>
        </is>
      </c>
      <c r="Z355" t="inlineStr">
        <is>
          <t>Marcin Kwiatkowski</t>
        </is>
      </c>
      <c r="AA355" s="23" t="n">
        <v>46254.60471064815</v>
      </c>
      <c r="AB355" t="inlineStr">
        <is>
          <t>OP-MIGR-00354</t>
        </is>
      </c>
      <c r="AD355" t="inlineStr">
        <is>
          <t>AKTYWNY</t>
        </is>
      </c>
      <c r="AE355" s="20">
        <f>IF(I355="",0,IF(ISNUMBER(SEARCH("MP",UPPER(J355))),I355,IF(ISNUMBER(SEARCH("TON",UPPER(J355))),I355/Przelicznik_MP_tona,IF(ISNUMBER(SEARCH("M3",UPPER(J355))),I355*Przelicznik_M3_MP,IF(ISNUMBER(SEARCH("GJ",UPPER(J355))),I355/Przelicznik_GJ_tona/Przelicznik_MP_tona,I355)))))</f>
        <v/>
      </c>
      <c r="AF355" s="20">
        <f>IF(I355="",0,IF(ISNUMBER(SEARCH("TON",UPPER(J355))),I355,IF(ISNUMBER(SEARCH("GJ",UPPER(J355))),I355/Przelicznik_GJ_tona,AE355*Przelicznik_MP_tona)))</f>
        <v/>
      </c>
      <c r="AG355" s="20">
        <f>AF355*Przelicznik_GJ_tona</f>
        <v/>
      </c>
      <c r="AH355" s="20">
        <f>IF(UPPER(AD355)="SKORYGOWANY",0,IF(OR(UPPER(E355)="TRANSPORT",UPPER(E355)="MM"),0,IF(UPPER(G355)&lt;&gt;"TAK",0,IF(OR(UPPER(E355)="ZAKUP",UPPER(E355)="PRODUKCJA"),AE355,IF(OR(UPPER(E355)="SPRZEDAŻ",UPPER(E355)="ZUŻYCIE"),-AE355,0)))))</f>
        <v/>
      </c>
      <c r="AI355" s="20">
        <f>IF(UPPER(AD355)="SKORYGOWANY",0,IF(OR(UPPER(E355)="TRANSPORT",UPPER(E355)="MM"),0,IF(UPPER(G355)&lt;&gt;"TAK",0,IF(OR(UPPER(E355)="ZAKUP",UPPER(E355)="PRODUKCJA"),AF355,IF(OR(UPPER(E355)="SPRZEDAŻ",UPPER(E355)="ZUŻYCIE"),-AF355,0)))))</f>
        <v/>
      </c>
      <c r="AJ355" s="21">
        <f>IF(UPPER(AD355)="SKORYGOWANY",0,IF(UPPER(E355)="ZAKUP",IF(L355&lt;&gt;"",L355,I355*K355),0))</f>
        <v/>
      </c>
      <c r="AK355" s="21">
        <f>IF(UPPER(AD355)="SKORYGOWANY",0,IF(UPPER(E355)="SPRZEDAŻ",IF(L355&lt;&gt;"",L355,I355*M355),0))</f>
        <v/>
      </c>
      <c r="AL355" s="21">
        <f>AE355*Q355</f>
        <v/>
      </c>
      <c r="AM355">
        <f>IF(R355="","",IF(LOWER(R355)="brak","Brak",IF(OR(ISNUMBER(SEARCH("własn",LOWER(R355))),ISNUMBER(SEARCH("wlasn",LOWER(R355))),ISNUMBER(SEARCH("wojciechowski",LOWER(R355)))),"Własny","Zewnętrzny")))</f>
        <v/>
      </c>
      <c r="AN355" s="24">
        <f>IF(C355="","",YEAR(C355))</f>
        <v/>
      </c>
      <c r="AO355" s="24">
        <f>IF(C355="","",MONTH(C355))</f>
        <v/>
      </c>
      <c r="AP355">
        <f>IF(C355="","",UPPER(TEXT(C355,"mmmm")))</f>
        <v/>
      </c>
      <c r="AQ355">
        <f>IF(C355="","","Q"&amp;ROUNDUP(MONTH(C355)/3,0))</f>
        <v/>
      </c>
    </row>
    <row r="356">
      <c r="A356" s="19" t="n">
        <v>46245</v>
      </c>
      <c r="C356" s="19" t="n">
        <v>46245</v>
      </c>
      <c r="D356" t="inlineStr">
        <is>
          <t>Magazyn Zabrze</t>
        </is>
      </c>
      <c r="E356" t="inlineStr">
        <is>
          <t>ZUŻYCIE</t>
        </is>
      </c>
      <c r="F356" t="inlineStr">
        <is>
          <t>PZ/67</t>
        </is>
      </c>
      <c r="G356" t="inlineStr">
        <is>
          <t>TAK</t>
        </is>
      </c>
      <c r="H356" t="inlineStr">
        <is>
          <t>Deklaracja</t>
        </is>
      </c>
      <c r="I356" s="20" t="n">
        <v>72</v>
      </c>
      <c r="J356" t="inlineStr">
        <is>
          <t>MP</t>
        </is>
      </c>
      <c r="K356" s="21" t="n">
        <v>0</v>
      </c>
      <c r="L356" s="21" t="n">
        <v>0</v>
      </c>
      <c r="M356" s="21" t="n">
        <v>0</v>
      </c>
      <c r="N356" t="inlineStr">
        <is>
          <t>Zrębka Produkcyjna Leśna</t>
        </is>
      </c>
      <c r="O356" t="inlineStr">
        <is>
          <t>B</t>
        </is>
      </c>
      <c r="P356" t="inlineStr">
        <is>
          <t>własne</t>
        </is>
      </c>
      <c r="Q356" s="21" t="n">
        <v>10</v>
      </c>
      <c r="T356" s="22" t="n">
        <v>0</v>
      </c>
      <c r="U356" s="21" t="n">
        <v>0</v>
      </c>
      <c r="V356" s="21" t="n">
        <v>0</v>
      </c>
      <c r="W356" t="inlineStr">
        <is>
          <t>Magazyn Zabrze</t>
        </is>
      </c>
      <c r="X356" t="inlineStr">
        <is>
          <t>Magazyn Zabrze</t>
        </is>
      </c>
      <c r="Y356" t="inlineStr">
        <is>
          <t>Automatyczne zużycie surowca do produkcji</t>
        </is>
      </c>
      <c r="AA356" s="23" t="n">
        <v>46254.60471064815</v>
      </c>
      <c r="AB356" t="inlineStr">
        <is>
          <t>OP-MIGR-00355</t>
        </is>
      </c>
      <c r="AD356" t="inlineStr">
        <is>
          <t>AKTYWNY</t>
        </is>
      </c>
      <c r="AE356" s="20">
        <f>IF(I356="",0,IF(ISNUMBER(SEARCH("MP",UPPER(J356))),I356,IF(ISNUMBER(SEARCH("TON",UPPER(J356))),I356/Przelicznik_MP_tona,IF(ISNUMBER(SEARCH("M3",UPPER(J356))),I356*Przelicznik_M3_MP,IF(ISNUMBER(SEARCH("GJ",UPPER(J356))),I356/Przelicznik_GJ_tona/Przelicznik_MP_tona,I356)))))</f>
        <v/>
      </c>
      <c r="AF356" s="20">
        <f>IF(I356="",0,IF(ISNUMBER(SEARCH("TON",UPPER(J356))),I356,IF(ISNUMBER(SEARCH("GJ",UPPER(J356))),I356/Przelicznik_GJ_tona,AE356*Przelicznik_MP_tona)))</f>
        <v/>
      </c>
      <c r="AG356" s="20">
        <f>AF356*Przelicznik_GJ_tona</f>
        <v/>
      </c>
      <c r="AH356" s="20">
        <f>IF(UPPER(AD356)="SKORYGOWANY",0,IF(OR(UPPER(E356)="TRANSPORT",UPPER(E356)="MM"),0,IF(UPPER(G356)&lt;&gt;"TAK",0,IF(OR(UPPER(E356)="ZAKUP",UPPER(E356)="PRODUKCJA"),AE356,IF(OR(UPPER(E356)="SPRZEDAŻ",UPPER(E356)="ZUŻYCIE"),-AE356,0)))))</f>
        <v/>
      </c>
      <c r="AI356" s="20">
        <f>IF(UPPER(AD356)="SKORYGOWANY",0,IF(OR(UPPER(E356)="TRANSPORT",UPPER(E356)="MM"),0,IF(UPPER(G356)&lt;&gt;"TAK",0,IF(OR(UPPER(E356)="ZAKUP",UPPER(E356)="PRODUKCJA"),AF356,IF(OR(UPPER(E356)="SPRZEDAŻ",UPPER(E356)="ZUŻYCIE"),-AF356,0)))))</f>
        <v/>
      </c>
      <c r="AJ356" s="21">
        <f>IF(UPPER(AD356)="SKORYGOWANY",0,IF(UPPER(E356)="ZAKUP",IF(L356&lt;&gt;"",L356,I356*K356),0))</f>
        <v/>
      </c>
      <c r="AK356" s="21">
        <f>IF(UPPER(AD356)="SKORYGOWANY",0,IF(UPPER(E356)="SPRZEDAŻ",IF(L356&lt;&gt;"",L356,I356*M356),0))</f>
        <v/>
      </c>
      <c r="AL356" s="21">
        <f>AE356*Q356</f>
        <v/>
      </c>
      <c r="AM356">
        <f>IF(R356="","",IF(LOWER(R356)="brak","Brak",IF(OR(ISNUMBER(SEARCH("własn",LOWER(R356))),ISNUMBER(SEARCH("wlasn",LOWER(R356))),ISNUMBER(SEARCH("wojciechowski",LOWER(R356)))),"Własny","Zewnętrzny")))</f>
        <v/>
      </c>
      <c r="AN356" s="24">
        <f>IF(C356="","",YEAR(C356))</f>
        <v/>
      </c>
      <c r="AO356" s="24">
        <f>IF(C356="","",MONTH(C356))</f>
        <v/>
      </c>
      <c r="AP356">
        <f>IF(C356="","",UPPER(TEXT(C356,"mmmm")))</f>
        <v/>
      </c>
      <c r="AQ356">
        <f>IF(C356="","","Q"&amp;ROUNDUP(MONTH(C356)/3,0))</f>
        <v/>
      </c>
    </row>
    <row r="357">
      <c r="A357" s="19" t="n">
        <v>46245</v>
      </c>
      <c r="B357" t="inlineStr">
        <is>
          <t>Mętków</t>
        </is>
      </c>
      <c r="C357" s="19" t="n">
        <v>46245</v>
      </c>
      <c r="D357" t="inlineStr">
        <is>
          <t>Magazyn Zabrze</t>
        </is>
      </c>
      <c r="E357" t="inlineStr">
        <is>
          <t>ZAKUP</t>
        </is>
      </c>
      <c r="F357" t="inlineStr">
        <is>
          <t>PZ/67</t>
        </is>
      </c>
      <c r="G357" t="inlineStr">
        <is>
          <t>TAK</t>
        </is>
      </c>
      <c r="H357" t="inlineStr">
        <is>
          <t>Deklaracja</t>
        </is>
      </c>
      <c r="I357" s="20" t="n">
        <v>72</v>
      </c>
      <c r="J357" t="inlineStr">
        <is>
          <t>MP</t>
        </is>
      </c>
      <c r="K357" s="21" t="n">
        <v>0</v>
      </c>
      <c r="L357" s="21" t="n">
        <v>0</v>
      </c>
      <c r="M357" s="21" t="n">
        <v>0</v>
      </c>
      <c r="N357" t="inlineStr">
        <is>
          <t>Zrębka Produkcyjna Leśna</t>
        </is>
      </c>
      <c r="O357" t="inlineStr">
        <is>
          <t>B</t>
        </is>
      </c>
      <c r="Q357" s="21" t="n">
        <v>0</v>
      </c>
      <c r="R357" t="inlineStr">
        <is>
          <t>własny (Kretek)</t>
        </is>
      </c>
      <c r="S357" t="inlineStr">
        <is>
          <t>SK 7J885</t>
        </is>
      </c>
      <c r="T357" s="22" t="n">
        <v>134</v>
      </c>
      <c r="U357" s="21" t="n">
        <v>5</v>
      </c>
      <c r="V357" s="21" t="n">
        <v>670</v>
      </c>
      <c r="W357" t="inlineStr">
        <is>
          <t>Magazyn Zabrze</t>
        </is>
      </c>
      <c r="X357" t="inlineStr">
        <is>
          <t>Magazyn Zabrze</t>
        </is>
      </c>
      <c r="Z357" t="inlineStr">
        <is>
          <t>Marcin Kwiatkowski</t>
        </is>
      </c>
      <c r="AA357" s="23" t="n">
        <v>46254.60583333333</v>
      </c>
      <c r="AB357" t="inlineStr">
        <is>
          <t>OP-MIGR-00356</t>
        </is>
      </c>
      <c r="AD357" t="inlineStr">
        <is>
          <t>AKTYWNY</t>
        </is>
      </c>
      <c r="AE357" s="20">
        <f>IF(I357="",0,IF(ISNUMBER(SEARCH("MP",UPPER(J357))),I357,IF(ISNUMBER(SEARCH("TON",UPPER(J357))),I357/Przelicznik_MP_tona,IF(ISNUMBER(SEARCH("M3",UPPER(J357))),I357*Przelicznik_M3_MP,IF(ISNUMBER(SEARCH("GJ",UPPER(J357))),I357/Przelicznik_GJ_tona/Przelicznik_MP_tona,I357)))))</f>
        <v/>
      </c>
      <c r="AF357" s="20">
        <f>IF(I357="",0,IF(ISNUMBER(SEARCH("TON",UPPER(J357))),I357,IF(ISNUMBER(SEARCH("GJ",UPPER(J357))),I357/Przelicznik_GJ_tona,AE357*Przelicznik_MP_tona)))</f>
        <v/>
      </c>
      <c r="AG357" s="20">
        <f>AF357*Przelicznik_GJ_tona</f>
        <v/>
      </c>
      <c r="AH357" s="20">
        <f>IF(UPPER(AD357)="SKORYGOWANY",0,IF(OR(UPPER(E357)="TRANSPORT",UPPER(E357)="MM"),0,IF(UPPER(G357)&lt;&gt;"TAK",0,IF(OR(UPPER(E357)="ZAKUP",UPPER(E357)="PRODUKCJA"),AE357,IF(OR(UPPER(E357)="SPRZEDAŻ",UPPER(E357)="ZUŻYCIE"),-AE357,0)))))</f>
        <v/>
      </c>
      <c r="AI357" s="20">
        <f>IF(UPPER(AD357)="SKORYGOWANY",0,IF(OR(UPPER(E357)="TRANSPORT",UPPER(E357)="MM"),0,IF(UPPER(G357)&lt;&gt;"TAK",0,IF(OR(UPPER(E357)="ZAKUP",UPPER(E357)="PRODUKCJA"),AF357,IF(OR(UPPER(E357)="SPRZEDAŻ",UPPER(E357)="ZUŻYCIE"),-AF357,0)))))</f>
        <v/>
      </c>
      <c r="AJ357" s="21">
        <f>IF(UPPER(AD357)="SKORYGOWANY",0,IF(UPPER(E357)="ZAKUP",IF(L357&lt;&gt;"",L357,I357*K357),0))</f>
        <v/>
      </c>
      <c r="AK357" s="21">
        <f>IF(UPPER(AD357)="SKORYGOWANY",0,IF(UPPER(E357)="SPRZEDAŻ",IF(L357&lt;&gt;"",L357,I357*M357),0))</f>
        <v/>
      </c>
      <c r="AL357" s="21">
        <f>AE357*Q357</f>
        <v/>
      </c>
      <c r="AM357">
        <f>IF(R357="","",IF(LOWER(R357)="brak","Brak",IF(OR(ISNUMBER(SEARCH("własn",LOWER(R357))),ISNUMBER(SEARCH("wlasn",LOWER(R357))),ISNUMBER(SEARCH("wojciechowski",LOWER(R357)))),"Własny","Zewnętrzny")))</f>
        <v/>
      </c>
      <c r="AN357" s="24">
        <f>IF(C357="","",YEAR(C357))</f>
        <v/>
      </c>
      <c r="AO357" s="24">
        <f>IF(C357="","",MONTH(C357))</f>
        <v/>
      </c>
      <c r="AP357">
        <f>IF(C357="","",UPPER(TEXT(C357,"mmmm")))</f>
        <v/>
      </c>
      <c r="AQ357">
        <f>IF(C357="","","Q"&amp;ROUNDUP(MONTH(C357)/3,0))</f>
        <v/>
      </c>
    </row>
    <row r="358">
      <c r="A358" s="19" t="n">
        <v>46245</v>
      </c>
      <c r="C358" s="19" t="n">
        <v>46245</v>
      </c>
      <c r="D358" t="inlineStr">
        <is>
          <t>NDL Chrzanów, Leśnictwo Mętków</t>
        </is>
      </c>
      <c r="E358" t="inlineStr">
        <is>
          <t>ZAKUP</t>
        </is>
      </c>
      <c r="F358" t="inlineStr">
        <is>
          <t>PZ/68   3/202624967/6168</t>
        </is>
      </c>
      <c r="G358" t="inlineStr">
        <is>
          <t>TAK</t>
        </is>
      </c>
      <c r="H358" t="inlineStr">
        <is>
          <t>Deklaracja</t>
        </is>
      </c>
      <c r="I358" s="20" t="n">
        <v>18</v>
      </c>
      <c r="J358" t="inlineStr">
        <is>
          <t>M3</t>
        </is>
      </c>
      <c r="K358" s="21" t="n">
        <v>141</v>
      </c>
      <c r="L358" s="21" t="n">
        <v>2538</v>
      </c>
      <c r="M358" s="21" t="n">
        <v>0</v>
      </c>
      <c r="N358" t="inlineStr">
        <is>
          <t>Drewno opałowe z lasu</t>
        </is>
      </c>
      <c r="Q358" s="21" t="n">
        <v>0</v>
      </c>
      <c r="T358" s="22" t="n">
        <v>0</v>
      </c>
      <c r="U358" s="21" t="n">
        <v>0</v>
      </c>
      <c r="V358" s="21" t="n">
        <v>0</v>
      </c>
      <c r="W358" t="inlineStr">
        <is>
          <t>Magazyn Zabrze</t>
        </is>
      </c>
      <c r="X358" t="inlineStr">
        <is>
          <t>Magazyn Zabrze</t>
        </is>
      </c>
      <c r="Y358" t="inlineStr">
        <is>
          <t>Waga: 22 260 kg</t>
        </is>
      </c>
      <c r="Z358" t="inlineStr">
        <is>
          <t>Marcin Kwiatkowski</t>
        </is>
      </c>
      <c r="AA358" s="23" t="n">
        <v>46254.60769675926</v>
      </c>
      <c r="AB358" t="inlineStr">
        <is>
          <t>OP-MIGR-00357</t>
        </is>
      </c>
      <c r="AD358" t="inlineStr">
        <is>
          <t>AKTYWNY</t>
        </is>
      </c>
      <c r="AE358" s="20">
        <f>IF(I358="",0,IF(ISNUMBER(SEARCH("MP",UPPER(J358))),I358,IF(ISNUMBER(SEARCH("TON",UPPER(J358))),I358/Przelicznik_MP_tona,IF(ISNUMBER(SEARCH("M3",UPPER(J358))),I358*Przelicznik_M3_MP,IF(ISNUMBER(SEARCH("GJ",UPPER(J358))),I358/Przelicznik_GJ_tona/Przelicznik_MP_tona,I358)))))</f>
        <v/>
      </c>
      <c r="AF358" s="20">
        <f>IF(I358="",0,IF(ISNUMBER(SEARCH("TON",UPPER(J358))),I358,IF(ISNUMBER(SEARCH("GJ",UPPER(J358))),I358/Przelicznik_GJ_tona,AE358*Przelicznik_MP_tona)))</f>
        <v/>
      </c>
      <c r="AG358" s="20">
        <f>AF358*Przelicznik_GJ_tona</f>
        <v/>
      </c>
      <c r="AH358" s="20">
        <f>IF(UPPER(AD358)="SKORYGOWANY",0,IF(OR(UPPER(E358)="TRANSPORT",UPPER(E358)="MM"),0,IF(UPPER(G358)&lt;&gt;"TAK",0,IF(OR(UPPER(E358)="ZAKUP",UPPER(E358)="PRODUKCJA"),AE358,IF(OR(UPPER(E358)="SPRZEDAŻ",UPPER(E358)="ZUŻYCIE"),-AE358,0)))))</f>
        <v/>
      </c>
      <c r="AI358" s="20">
        <f>IF(UPPER(AD358)="SKORYGOWANY",0,IF(OR(UPPER(E358)="TRANSPORT",UPPER(E358)="MM"),0,IF(UPPER(G358)&lt;&gt;"TAK",0,IF(OR(UPPER(E358)="ZAKUP",UPPER(E358)="PRODUKCJA"),AF358,IF(OR(UPPER(E358)="SPRZEDAŻ",UPPER(E358)="ZUŻYCIE"),-AF358,0)))))</f>
        <v/>
      </c>
      <c r="AJ358" s="21">
        <f>IF(UPPER(AD358)="SKORYGOWANY",0,IF(UPPER(E358)="ZAKUP",IF(L358&lt;&gt;"",L358,I358*K358),0))</f>
        <v/>
      </c>
      <c r="AK358" s="21">
        <f>IF(UPPER(AD358)="SKORYGOWANY",0,IF(UPPER(E358)="SPRZEDAŻ",IF(L358&lt;&gt;"",L358,I358*M358),0))</f>
        <v/>
      </c>
      <c r="AL358" s="21">
        <f>AE358*Q358</f>
        <v/>
      </c>
      <c r="AM358">
        <f>IF(R358="","",IF(LOWER(R358)="brak","Brak",IF(OR(ISNUMBER(SEARCH("własn",LOWER(R358))),ISNUMBER(SEARCH("wlasn",LOWER(R358))),ISNUMBER(SEARCH("wojciechowski",LOWER(R358)))),"Własny","Zewnętrzny")))</f>
        <v/>
      </c>
      <c r="AN358" s="24">
        <f>IF(C358="","",YEAR(C358))</f>
        <v/>
      </c>
      <c r="AO358" s="24">
        <f>IF(C358="","",MONTH(C358))</f>
        <v/>
      </c>
      <c r="AP358">
        <f>IF(C358="","",UPPER(TEXT(C358,"mmmm")))</f>
        <v/>
      </c>
      <c r="AQ358">
        <f>IF(C358="","","Q"&amp;ROUNDUP(MONTH(C358)/3,0))</f>
        <v/>
      </c>
    </row>
    <row r="359">
      <c r="A359" s="19" t="n">
        <v>46245</v>
      </c>
      <c r="C359" s="19" t="n">
        <v>46245</v>
      </c>
      <c r="D359" t="inlineStr">
        <is>
          <t>Magazyn Zabrze</t>
        </is>
      </c>
      <c r="E359" t="inlineStr">
        <is>
          <t>PRODUKCJA</t>
        </is>
      </c>
      <c r="F359" t="inlineStr">
        <is>
          <t>PZ/68</t>
        </is>
      </c>
      <c r="G359" t="inlineStr">
        <is>
          <t>TAK</t>
        </is>
      </c>
      <c r="H359" t="inlineStr">
        <is>
          <t>Deklaracja</t>
        </is>
      </c>
      <c r="I359" s="20" t="n">
        <v>72</v>
      </c>
      <c r="J359" t="inlineStr">
        <is>
          <t>MP</t>
        </is>
      </c>
      <c r="K359" s="21" t="n">
        <v>0</v>
      </c>
      <c r="L359" s="21" t="n">
        <v>0</v>
      </c>
      <c r="M359" s="21" t="n">
        <v>0</v>
      </c>
      <c r="N359" t="inlineStr">
        <is>
          <t>Zrębka Produkcyjna Leśna</t>
        </is>
      </c>
      <c r="O359" t="inlineStr">
        <is>
          <t>B</t>
        </is>
      </c>
      <c r="P359" t="inlineStr">
        <is>
          <t>własne</t>
        </is>
      </c>
      <c r="Q359" s="21" t="n">
        <v>10</v>
      </c>
      <c r="T359" s="22" t="n">
        <v>0</v>
      </c>
      <c r="U359" s="21" t="n">
        <v>0</v>
      </c>
      <c r="V359" s="21" t="n">
        <v>0</v>
      </c>
      <c r="W359" t="inlineStr">
        <is>
          <t>Magazyn Zabrze</t>
        </is>
      </c>
      <c r="X359" t="inlineStr">
        <is>
          <t>Magazyn Zabrze</t>
        </is>
      </c>
      <c r="Y359" t="inlineStr">
        <is>
          <t>Rębak z Brąszewic, rębakowy Łukasz Kempski</t>
        </is>
      </c>
      <c r="Z359" t="inlineStr">
        <is>
          <t>Marcin Kwiatkowski</t>
        </is>
      </c>
      <c r="AA359" s="23" t="n">
        <v>46254.60905092592</v>
      </c>
      <c r="AB359" t="inlineStr">
        <is>
          <t>OP-MIGR-00358</t>
        </is>
      </c>
      <c r="AD359" t="inlineStr">
        <is>
          <t>AKTYWNY</t>
        </is>
      </c>
      <c r="AE359" s="20">
        <f>IF(I359="",0,IF(ISNUMBER(SEARCH("MP",UPPER(J359))),I359,IF(ISNUMBER(SEARCH("TON",UPPER(J359))),I359/Przelicznik_MP_tona,IF(ISNUMBER(SEARCH("M3",UPPER(J359))),I359*Przelicznik_M3_MP,IF(ISNUMBER(SEARCH("GJ",UPPER(J359))),I359/Przelicznik_GJ_tona/Przelicznik_MP_tona,I359)))))</f>
        <v/>
      </c>
      <c r="AF359" s="20">
        <f>IF(I359="",0,IF(ISNUMBER(SEARCH("TON",UPPER(J359))),I359,IF(ISNUMBER(SEARCH("GJ",UPPER(J359))),I359/Przelicznik_GJ_tona,AE359*Przelicznik_MP_tona)))</f>
        <v/>
      </c>
      <c r="AG359" s="20">
        <f>AF359*Przelicznik_GJ_tona</f>
        <v/>
      </c>
      <c r="AH359" s="20">
        <f>IF(UPPER(AD359)="SKORYGOWANY",0,IF(OR(UPPER(E359)="TRANSPORT",UPPER(E359)="MM"),0,IF(UPPER(G359)&lt;&gt;"TAK",0,IF(OR(UPPER(E359)="ZAKUP",UPPER(E359)="PRODUKCJA"),AE359,IF(OR(UPPER(E359)="SPRZEDAŻ",UPPER(E359)="ZUŻYCIE"),-AE359,0)))))</f>
        <v/>
      </c>
      <c r="AI359" s="20">
        <f>IF(UPPER(AD359)="SKORYGOWANY",0,IF(OR(UPPER(E359)="TRANSPORT",UPPER(E359)="MM"),0,IF(UPPER(G359)&lt;&gt;"TAK",0,IF(OR(UPPER(E359)="ZAKUP",UPPER(E359)="PRODUKCJA"),AF359,IF(OR(UPPER(E359)="SPRZEDAŻ",UPPER(E359)="ZUŻYCIE"),-AF359,0)))))</f>
        <v/>
      </c>
      <c r="AJ359" s="21">
        <f>IF(UPPER(AD359)="SKORYGOWANY",0,IF(UPPER(E359)="ZAKUP",IF(L359&lt;&gt;"",L359,I359*K359),0))</f>
        <v/>
      </c>
      <c r="AK359" s="21">
        <f>IF(UPPER(AD359)="SKORYGOWANY",0,IF(UPPER(E359)="SPRZEDAŻ",IF(L359&lt;&gt;"",L359,I359*M359),0))</f>
        <v/>
      </c>
      <c r="AL359" s="21">
        <f>AE359*Q359</f>
        <v/>
      </c>
      <c r="AM359">
        <f>IF(R359="","",IF(LOWER(R359)="brak","Brak",IF(OR(ISNUMBER(SEARCH("własn",LOWER(R359))),ISNUMBER(SEARCH("wlasn",LOWER(R359))),ISNUMBER(SEARCH("wojciechowski",LOWER(R359)))),"Własny","Zewnętrzny")))</f>
        <v/>
      </c>
      <c r="AN359" s="24">
        <f>IF(C359="","",YEAR(C359))</f>
        <v/>
      </c>
      <c r="AO359" s="24">
        <f>IF(C359="","",MONTH(C359))</f>
        <v/>
      </c>
      <c r="AP359">
        <f>IF(C359="","",UPPER(TEXT(C359,"mmmm")))</f>
        <v/>
      </c>
      <c r="AQ359">
        <f>IF(C359="","","Q"&amp;ROUNDUP(MONTH(C359)/3,0))</f>
        <v/>
      </c>
    </row>
    <row r="360">
      <c r="A360" s="19" t="n">
        <v>46245</v>
      </c>
      <c r="C360" s="19" t="n">
        <v>46245</v>
      </c>
      <c r="D360" t="inlineStr">
        <is>
          <t>Magazyn Zabrze</t>
        </is>
      </c>
      <c r="E360" t="inlineStr">
        <is>
          <t>ZUŻYCIE</t>
        </is>
      </c>
      <c r="F360" t="inlineStr">
        <is>
          <t>PZ/68</t>
        </is>
      </c>
      <c r="G360" t="inlineStr">
        <is>
          <t>TAK</t>
        </is>
      </c>
      <c r="H360" t="inlineStr">
        <is>
          <t>Deklaracja</t>
        </is>
      </c>
      <c r="I360" s="20" t="n">
        <v>72</v>
      </c>
      <c r="J360" t="inlineStr">
        <is>
          <t>MP</t>
        </is>
      </c>
      <c r="K360" s="21" t="n">
        <v>0</v>
      </c>
      <c r="L360" s="21" t="n">
        <v>0</v>
      </c>
      <c r="M360" s="21" t="n">
        <v>0</v>
      </c>
      <c r="N360" t="inlineStr">
        <is>
          <t>Zrębka Produkcyjna Leśna</t>
        </is>
      </c>
      <c r="O360" t="inlineStr">
        <is>
          <t>B</t>
        </is>
      </c>
      <c r="P360" t="inlineStr">
        <is>
          <t>własne</t>
        </is>
      </c>
      <c r="Q360" s="21" t="n">
        <v>10</v>
      </c>
      <c r="T360" s="22" t="n">
        <v>0</v>
      </c>
      <c r="U360" s="21" t="n">
        <v>0</v>
      </c>
      <c r="V360" s="21" t="n">
        <v>0</v>
      </c>
      <c r="W360" t="inlineStr">
        <is>
          <t>Magazyn Zabrze</t>
        </is>
      </c>
      <c r="X360" t="inlineStr">
        <is>
          <t>Magazyn Zabrze</t>
        </is>
      </c>
      <c r="Y360" t="inlineStr">
        <is>
          <t>Automatyczne zużycie surowca do produkcji</t>
        </is>
      </c>
      <c r="AA360" s="23" t="n">
        <v>46254.60905092592</v>
      </c>
      <c r="AB360" t="inlineStr">
        <is>
          <t>OP-MIGR-00359</t>
        </is>
      </c>
      <c r="AD360" t="inlineStr">
        <is>
          <t>AKTYWNY</t>
        </is>
      </c>
      <c r="AE360" s="20">
        <f>IF(I360="",0,IF(ISNUMBER(SEARCH("MP",UPPER(J360))),I360,IF(ISNUMBER(SEARCH("TON",UPPER(J360))),I360/Przelicznik_MP_tona,IF(ISNUMBER(SEARCH("M3",UPPER(J360))),I360*Przelicznik_M3_MP,IF(ISNUMBER(SEARCH("GJ",UPPER(J360))),I360/Przelicznik_GJ_tona/Przelicznik_MP_tona,I360)))))</f>
        <v/>
      </c>
      <c r="AF360" s="20">
        <f>IF(I360="",0,IF(ISNUMBER(SEARCH("TON",UPPER(J360))),I360,IF(ISNUMBER(SEARCH("GJ",UPPER(J360))),I360/Przelicznik_GJ_tona,AE360*Przelicznik_MP_tona)))</f>
        <v/>
      </c>
      <c r="AG360" s="20">
        <f>AF360*Przelicznik_GJ_tona</f>
        <v/>
      </c>
      <c r="AH360" s="20">
        <f>IF(UPPER(AD360)="SKORYGOWANY",0,IF(OR(UPPER(E360)="TRANSPORT",UPPER(E360)="MM"),0,IF(UPPER(G360)&lt;&gt;"TAK",0,IF(OR(UPPER(E360)="ZAKUP",UPPER(E360)="PRODUKCJA"),AE360,IF(OR(UPPER(E360)="SPRZEDAŻ",UPPER(E360)="ZUŻYCIE"),-AE360,0)))))</f>
        <v/>
      </c>
      <c r="AI360" s="20">
        <f>IF(UPPER(AD360)="SKORYGOWANY",0,IF(OR(UPPER(E360)="TRANSPORT",UPPER(E360)="MM"),0,IF(UPPER(G360)&lt;&gt;"TAK",0,IF(OR(UPPER(E360)="ZAKUP",UPPER(E360)="PRODUKCJA"),AF360,IF(OR(UPPER(E360)="SPRZEDAŻ",UPPER(E360)="ZUŻYCIE"),-AF360,0)))))</f>
        <v/>
      </c>
      <c r="AJ360" s="21">
        <f>IF(UPPER(AD360)="SKORYGOWANY",0,IF(UPPER(E360)="ZAKUP",IF(L360&lt;&gt;"",L360,I360*K360),0))</f>
        <v/>
      </c>
      <c r="AK360" s="21">
        <f>IF(UPPER(AD360)="SKORYGOWANY",0,IF(UPPER(E360)="SPRZEDAŻ",IF(L360&lt;&gt;"",L360,I360*M360),0))</f>
        <v/>
      </c>
      <c r="AL360" s="21">
        <f>AE360*Q360</f>
        <v/>
      </c>
      <c r="AM360">
        <f>IF(R360="","",IF(LOWER(R360)="brak","Brak",IF(OR(ISNUMBER(SEARCH("własn",LOWER(R360))),ISNUMBER(SEARCH("wlasn",LOWER(R360))),ISNUMBER(SEARCH("wojciechowski",LOWER(R360)))),"Własny","Zewnętrzny")))</f>
        <v/>
      </c>
      <c r="AN360" s="24">
        <f>IF(C360="","",YEAR(C360))</f>
        <v/>
      </c>
      <c r="AO360" s="24">
        <f>IF(C360="","",MONTH(C360))</f>
        <v/>
      </c>
      <c r="AP360">
        <f>IF(C360="","",UPPER(TEXT(C360,"mmmm")))</f>
        <v/>
      </c>
      <c r="AQ360">
        <f>IF(C360="","","Q"&amp;ROUNDUP(MONTH(C360)/3,0))</f>
        <v/>
      </c>
    </row>
    <row r="361">
      <c r="A361" s="19" t="n">
        <v>46245</v>
      </c>
      <c r="B361" t="inlineStr">
        <is>
          <t>Mętków</t>
        </is>
      </c>
      <c r="C361" s="19" t="n">
        <v>46245</v>
      </c>
      <c r="D361" t="inlineStr">
        <is>
          <t>Magazyn Zabrze</t>
        </is>
      </c>
      <c r="E361" t="inlineStr">
        <is>
          <t>ZAKUP</t>
        </is>
      </c>
      <c r="F361" t="inlineStr">
        <is>
          <t>PZ/68</t>
        </is>
      </c>
      <c r="G361" t="inlineStr">
        <is>
          <t>TAK</t>
        </is>
      </c>
      <c r="H361" t="inlineStr">
        <is>
          <t>Deklaracja</t>
        </is>
      </c>
      <c r="I361" s="20" t="n">
        <v>72</v>
      </c>
      <c r="J361" t="inlineStr">
        <is>
          <t>MP</t>
        </is>
      </c>
      <c r="K361" s="21" t="n">
        <v>0</v>
      </c>
      <c r="L361" s="21" t="n">
        <v>0</v>
      </c>
      <c r="M361" s="21" t="n">
        <v>0</v>
      </c>
      <c r="N361" t="inlineStr">
        <is>
          <t>Zrębka Produkcyjna Leśna</t>
        </is>
      </c>
      <c r="O361" t="inlineStr">
        <is>
          <t>B</t>
        </is>
      </c>
      <c r="Q361" s="21" t="n">
        <v>0</v>
      </c>
      <c r="R361" t="inlineStr">
        <is>
          <t>własny (Kretek)</t>
        </is>
      </c>
      <c r="S361" t="inlineStr">
        <is>
          <t>SK 7J885</t>
        </is>
      </c>
      <c r="T361" s="22" t="n">
        <v>134</v>
      </c>
      <c r="U361" s="21" t="n">
        <v>5</v>
      </c>
      <c r="V361" s="21" t="n">
        <v>670</v>
      </c>
      <c r="W361" t="inlineStr">
        <is>
          <t>Magazyn Zabrze</t>
        </is>
      </c>
      <c r="X361" t="inlineStr">
        <is>
          <t>Magazyn Zabrze</t>
        </is>
      </c>
      <c r="Z361" t="inlineStr">
        <is>
          <t>Marcin Kwiatkowski</t>
        </is>
      </c>
      <c r="AA361" s="23" t="n">
        <v>46254.61013888889</v>
      </c>
      <c r="AB361" t="inlineStr">
        <is>
          <t>OP-MIGR-00360</t>
        </is>
      </c>
      <c r="AD361" t="inlineStr">
        <is>
          <t>AKTYWNY</t>
        </is>
      </c>
      <c r="AE361" s="20">
        <f>IF(I361="",0,IF(ISNUMBER(SEARCH("MP",UPPER(J361))),I361,IF(ISNUMBER(SEARCH("TON",UPPER(J361))),I361/Przelicznik_MP_tona,IF(ISNUMBER(SEARCH("M3",UPPER(J361))),I361*Przelicznik_M3_MP,IF(ISNUMBER(SEARCH("GJ",UPPER(J361))),I361/Przelicznik_GJ_tona/Przelicznik_MP_tona,I361)))))</f>
        <v/>
      </c>
      <c r="AF361" s="20">
        <f>IF(I361="",0,IF(ISNUMBER(SEARCH("TON",UPPER(J361))),I361,IF(ISNUMBER(SEARCH("GJ",UPPER(J361))),I361/Przelicznik_GJ_tona,AE361*Przelicznik_MP_tona)))</f>
        <v/>
      </c>
      <c r="AG361" s="20">
        <f>AF361*Przelicznik_GJ_tona</f>
        <v/>
      </c>
      <c r="AH361" s="20">
        <f>IF(UPPER(AD361)="SKORYGOWANY",0,IF(OR(UPPER(E361)="TRANSPORT",UPPER(E361)="MM"),0,IF(UPPER(G361)&lt;&gt;"TAK",0,IF(OR(UPPER(E361)="ZAKUP",UPPER(E361)="PRODUKCJA"),AE361,IF(OR(UPPER(E361)="SPRZEDAŻ",UPPER(E361)="ZUŻYCIE"),-AE361,0)))))</f>
        <v/>
      </c>
      <c r="AI361" s="20">
        <f>IF(UPPER(AD361)="SKORYGOWANY",0,IF(OR(UPPER(E361)="TRANSPORT",UPPER(E361)="MM"),0,IF(UPPER(G361)&lt;&gt;"TAK",0,IF(OR(UPPER(E361)="ZAKUP",UPPER(E361)="PRODUKCJA"),AF361,IF(OR(UPPER(E361)="SPRZEDAŻ",UPPER(E361)="ZUŻYCIE"),-AF361,0)))))</f>
        <v/>
      </c>
      <c r="AJ361" s="21">
        <f>IF(UPPER(AD361)="SKORYGOWANY",0,IF(UPPER(E361)="ZAKUP",IF(L361&lt;&gt;"",L361,I361*K361),0))</f>
        <v/>
      </c>
      <c r="AK361" s="21">
        <f>IF(UPPER(AD361)="SKORYGOWANY",0,IF(UPPER(E361)="SPRZEDAŻ",IF(L361&lt;&gt;"",L361,I361*M361),0))</f>
        <v/>
      </c>
      <c r="AL361" s="21">
        <f>AE361*Q361</f>
        <v/>
      </c>
      <c r="AM361">
        <f>IF(R361="","",IF(LOWER(R361)="brak","Brak",IF(OR(ISNUMBER(SEARCH("własn",LOWER(R361))),ISNUMBER(SEARCH("wlasn",LOWER(R361))),ISNUMBER(SEARCH("wojciechowski",LOWER(R361)))),"Własny","Zewnętrzny")))</f>
        <v/>
      </c>
      <c r="AN361" s="24">
        <f>IF(C361="","",YEAR(C361))</f>
        <v/>
      </c>
      <c r="AO361" s="24">
        <f>IF(C361="","",MONTH(C361))</f>
        <v/>
      </c>
      <c r="AP361">
        <f>IF(C361="","",UPPER(TEXT(C361,"mmmm")))</f>
        <v/>
      </c>
      <c r="AQ361">
        <f>IF(C361="","","Q"&amp;ROUNDUP(MONTH(C361)/3,0))</f>
        <v/>
      </c>
    </row>
    <row r="362">
      <c r="A362" s="19" t="n">
        <v>46245</v>
      </c>
      <c r="C362" s="19" t="n">
        <v>46245</v>
      </c>
      <c r="D362" t="inlineStr">
        <is>
          <t>GWood</t>
        </is>
      </c>
      <c r="E362" t="inlineStr">
        <is>
          <t>ZAKUP</t>
        </is>
      </c>
      <c r="F362" t="inlineStr">
        <is>
          <t>PZ/69   WZ 01/08/26</t>
        </is>
      </c>
      <c r="G362" t="inlineStr">
        <is>
          <t>TAK</t>
        </is>
      </c>
      <c r="H362" t="inlineStr">
        <is>
          <t>Deklaracja</t>
        </is>
      </c>
      <c r="I362" s="20" t="n">
        <v>92</v>
      </c>
      <c r="J362" t="inlineStr">
        <is>
          <t>MP</t>
        </is>
      </c>
      <c r="K362" s="21" t="n">
        <v>117</v>
      </c>
      <c r="L362" s="21" t="n">
        <v>10764</v>
      </c>
      <c r="M362" s="21" t="n">
        <v>0</v>
      </c>
      <c r="N362" t="inlineStr">
        <is>
          <t>Zrębka towar</t>
        </is>
      </c>
      <c r="O362" t="inlineStr">
        <is>
          <t>B</t>
        </is>
      </c>
      <c r="Q362" s="21" t="n">
        <v>0</v>
      </c>
      <c r="T362" s="22" t="n">
        <v>0</v>
      </c>
      <c r="U362" s="21" t="n">
        <v>0</v>
      </c>
      <c r="V362" s="21" t="n">
        <v>0</v>
      </c>
      <c r="W362" t="inlineStr">
        <is>
          <t>Magazyn Zabrze</t>
        </is>
      </c>
      <c r="Z362" t="inlineStr">
        <is>
          <t>Marcin Kwiatkowski</t>
        </is>
      </c>
      <c r="AA362" s="23" t="n">
        <v>46254.61540509259</v>
      </c>
      <c r="AB362" t="inlineStr">
        <is>
          <t>OP-MIGR-00361</t>
        </is>
      </c>
      <c r="AD362" t="inlineStr">
        <is>
          <t>AKTYWNY</t>
        </is>
      </c>
      <c r="AE362" s="20">
        <f>IF(I362="",0,IF(ISNUMBER(SEARCH("MP",UPPER(J362))),I362,IF(ISNUMBER(SEARCH("TON",UPPER(J362))),I362/Przelicznik_MP_tona,IF(ISNUMBER(SEARCH("M3",UPPER(J362))),I362*Przelicznik_M3_MP,IF(ISNUMBER(SEARCH("GJ",UPPER(J362))),I362/Przelicznik_GJ_tona/Przelicznik_MP_tona,I362)))))</f>
        <v/>
      </c>
      <c r="AF362" s="20">
        <f>IF(I362="",0,IF(ISNUMBER(SEARCH("TON",UPPER(J362))),I362,IF(ISNUMBER(SEARCH("GJ",UPPER(J362))),I362/Przelicznik_GJ_tona,AE362*Przelicznik_MP_tona)))</f>
        <v/>
      </c>
      <c r="AG362" s="20">
        <f>AF362*Przelicznik_GJ_tona</f>
        <v/>
      </c>
      <c r="AH362" s="20">
        <f>IF(UPPER(AD362)="SKORYGOWANY",0,IF(OR(UPPER(E362)="TRANSPORT",UPPER(E362)="MM"),0,IF(UPPER(G362)&lt;&gt;"TAK",0,IF(OR(UPPER(E362)="ZAKUP",UPPER(E362)="PRODUKCJA"),AE362,IF(OR(UPPER(E362)="SPRZEDAŻ",UPPER(E362)="ZUŻYCIE"),-AE362,0)))))</f>
        <v/>
      </c>
      <c r="AI362" s="20">
        <f>IF(UPPER(AD362)="SKORYGOWANY",0,IF(OR(UPPER(E362)="TRANSPORT",UPPER(E362)="MM"),0,IF(UPPER(G362)&lt;&gt;"TAK",0,IF(OR(UPPER(E362)="ZAKUP",UPPER(E362)="PRODUKCJA"),AF362,IF(OR(UPPER(E362)="SPRZEDAŻ",UPPER(E362)="ZUŻYCIE"),-AF362,0)))))</f>
        <v/>
      </c>
      <c r="AJ362" s="21">
        <f>IF(UPPER(AD362)="SKORYGOWANY",0,IF(UPPER(E362)="ZAKUP",IF(L362&lt;&gt;"",L362,I362*K362),0))</f>
        <v/>
      </c>
      <c r="AK362" s="21">
        <f>IF(UPPER(AD362)="SKORYGOWANY",0,IF(UPPER(E362)="SPRZEDAŻ",IF(L362&lt;&gt;"",L362,I362*M362),0))</f>
        <v/>
      </c>
      <c r="AL362" s="21">
        <f>AE362*Q362</f>
        <v/>
      </c>
      <c r="AM362">
        <f>IF(R362="","",IF(LOWER(R362)="brak","Brak",IF(OR(ISNUMBER(SEARCH("własn",LOWER(R362))),ISNUMBER(SEARCH("wlasn",LOWER(R362))),ISNUMBER(SEARCH("wojciechowski",LOWER(R362)))),"Własny","Zewnętrzny")))</f>
        <v/>
      </c>
      <c r="AN362" s="24">
        <f>IF(C362="","",YEAR(C362))</f>
        <v/>
      </c>
      <c r="AO362" s="24">
        <f>IF(C362="","",MONTH(C362))</f>
        <v/>
      </c>
      <c r="AP362">
        <f>IF(C362="","",UPPER(TEXT(C362,"mmmm")))</f>
        <v/>
      </c>
      <c r="AQ362">
        <f>IF(C362="","","Q"&amp;ROUNDUP(MONTH(C362)/3,0))</f>
        <v/>
      </c>
    </row>
    <row r="363">
      <c r="A363" s="19" t="n">
        <v>46246</v>
      </c>
      <c r="C363" s="19" t="n">
        <v>46246</v>
      </c>
      <c r="D363" t="inlineStr">
        <is>
          <t>Lander Agro</t>
        </is>
      </c>
      <c r="E363" t="inlineStr">
        <is>
          <t>ZAKUP</t>
        </is>
      </c>
      <c r="F363" t="inlineStr">
        <is>
          <t>PZ/33/D</t>
        </is>
      </c>
      <c r="G363" t="inlineStr">
        <is>
          <t>TAK</t>
        </is>
      </c>
      <c r="H363" t="inlineStr">
        <is>
          <t>KZR</t>
        </is>
      </c>
      <c r="I363" s="20" t="n">
        <v>30</v>
      </c>
      <c r="J363" t="inlineStr">
        <is>
          <t>M3</t>
        </is>
      </c>
      <c r="K363" s="21" t="n">
        <v>230</v>
      </c>
      <c r="L363" s="21" t="n">
        <v>6900</v>
      </c>
      <c r="M363" s="21" t="n">
        <v>0</v>
      </c>
      <c r="N363" t="inlineStr">
        <is>
          <t>Drewno opałowe z lasu</t>
        </is>
      </c>
      <c r="Q363" s="21" t="n">
        <v>0</v>
      </c>
      <c r="T363" s="22" t="n">
        <v>0</v>
      </c>
      <c r="U363" s="21" t="n">
        <v>0</v>
      </c>
      <c r="V363" s="21" t="n">
        <v>0</v>
      </c>
      <c r="W363" t="inlineStr">
        <is>
          <t>Magazyn Zabrze</t>
        </is>
      </c>
      <c r="Y363" t="inlineStr">
        <is>
          <t>Waga b/d</t>
        </is>
      </c>
      <c r="Z363" t="inlineStr">
        <is>
          <t>Roesner Mateusz</t>
        </is>
      </c>
      <c r="AA363" s="23" t="n">
        <v>46249.87582175926</v>
      </c>
      <c r="AB363" t="inlineStr">
        <is>
          <t>OP-MIGR-00378</t>
        </is>
      </c>
      <c r="AD363" t="inlineStr">
        <is>
          <t>AKTYWNY</t>
        </is>
      </c>
      <c r="AE363" s="20">
        <f>IF(I363="",0,IF(ISNUMBER(SEARCH("MP",UPPER(J363))),I363,IF(ISNUMBER(SEARCH("TON",UPPER(J363))),I363/Przelicznik_MP_tona,IF(ISNUMBER(SEARCH("M3",UPPER(J363))),I363*Przelicznik_M3_MP,IF(ISNUMBER(SEARCH("GJ",UPPER(J363))),I363/Przelicznik_GJ_tona/Przelicznik_MP_tona,I363)))))</f>
        <v/>
      </c>
      <c r="AF363" s="20">
        <f>IF(I363="",0,IF(ISNUMBER(SEARCH("TON",UPPER(J363))),I363,IF(ISNUMBER(SEARCH("GJ",UPPER(J363))),I363/Przelicznik_GJ_tona,AE363*Przelicznik_MP_tona)))</f>
        <v/>
      </c>
      <c r="AG363" s="20">
        <f>AF363*Przelicznik_GJ_tona</f>
        <v/>
      </c>
      <c r="AH363" s="20">
        <f>IF(UPPER(AD363)="SKORYGOWANY",0,IF(OR(UPPER(E363)="TRANSPORT",UPPER(E363)="MM"),0,IF(UPPER(G363)&lt;&gt;"TAK",0,IF(OR(UPPER(E363)="ZAKUP",UPPER(E363)="PRODUKCJA"),AE363,IF(OR(UPPER(E363)="SPRZEDAŻ",UPPER(E363)="ZUŻYCIE"),-AE363,0)))))</f>
        <v/>
      </c>
      <c r="AI363" s="20">
        <f>IF(UPPER(AD363)="SKORYGOWANY",0,IF(OR(UPPER(E363)="TRANSPORT",UPPER(E363)="MM"),0,IF(UPPER(G363)&lt;&gt;"TAK",0,IF(OR(UPPER(E363)="ZAKUP",UPPER(E363)="PRODUKCJA"),AF363,IF(OR(UPPER(E363)="SPRZEDAŻ",UPPER(E363)="ZUŻYCIE"),-AF363,0)))))</f>
        <v/>
      </c>
      <c r="AJ363" s="21">
        <f>IF(UPPER(AD363)="SKORYGOWANY",0,IF(UPPER(E363)="ZAKUP",IF(L363&lt;&gt;"",L363,I363*K363),0))</f>
        <v/>
      </c>
      <c r="AK363" s="21">
        <f>IF(UPPER(AD363)="SKORYGOWANY",0,IF(UPPER(E363)="SPRZEDAŻ",IF(L363&lt;&gt;"",L363,I363*M363),0))</f>
        <v/>
      </c>
      <c r="AL363" s="21">
        <f>AE363*Q363</f>
        <v/>
      </c>
      <c r="AM363">
        <f>IF(R363="","",IF(LOWER(R363)="brak","Brak",IF(OR(ISNUMBER(SEARCH("własn",LOWER(R363))),ISNUMBER(SEARCH("wlasn",LOWER(R363))),ISNUMBER(SEARCH("wojciechowski",LOWER(R363)))),"Własny","Zewnętrzny")))</f>
        <v/>
      </c>
      <c r="AN363" s="24">
        <f>IF(C363="","",YEAR(C363))</f>
        <v/>
      </c>
      <c r="AO363" s="24">
        <f>IF(C363="","",MONTH(C363))</f>
        <v/>
      </c>
      <c r="AP363">
        <f>IF(C363="","",UPPER(TEXT(C363,"mmmm")))</f>
        <v/>
      </c>
      <c r="AQ363">
        <f>IF(C363="","","Q"&amp;ROUNDUP(MONTH(C363)/3,0))</f>
        <v/>
      </c>
    </row>
    <row r="364">
      <c r="A364" s="19" t="n">
        <v>46246</v>
      </c>
      <c r="C364" s="19" t="n">
        <v>46246</v>
      </c>
      <c r="D364" t="inlineStr">
        <is>
          <t>Lander Agro</t>
        </is>
      </c>
      <c r="E364" t="inlineStr">
        <is>
          <t>ZAKUP</t>
        </is>
      </c>
      <c r="F364" t="inlineStr">
        <is>
          <t>PZ/34/D</t>
        </is>
      </c>
      <c r="G364" t="inlineStr">
        <is>
          <t>TAK</t>
        </is>
      </c>
      <c r="H364" t="inlineStr">
        <is>
          <t>KZR</t>
        </is>
      </c>
      <c r="I364" s="20" t="n">
        <v>23.17</v>
      </c>
      <c r="J364" t="inlineStr">
        <is>
          <t>M3</t>
        </is>
      </c>
      <c r="K364" s="21" t="n">
        <v>230</v>
      </c>
      <c r="L364" s="21" t="n">
        <v>5329.1</v>
      </c>
      <c r="M364" s="21" t="n">
        <v>0</v>
      </c>
      <c r="N364" t="inlineStr">
        <is>
          <t>Drewno opałowe z lasu</t>
        </is>
      </c>
      <c r="Q364" s="21" t="n">
        <v>0</v>
      </c>
      <c r="T364" s="22" t="n">
        <v>0</v>
      </c>
      <c r="U364" s="21" t="n">
        <v>0</v>
      </c>
      <c r="V364" s="21" t="n">
        <v>0</v>
      </c>
      <c r="W364" t="inlineStr">
        <is>
          <t>Magazyn Zabrze</t>
        </is>
      </c>
      <c r="Y364" t="inlineStr">
        <is>
          <t>Waga b/d</t>
        </is>
      </c>
      <c r="Z364" t="inlineStr">
        <is>
          <t>Roesner Mateusz</t>
        </is>
      </c>
      <c r="AA364" s="23" t="n">
        <v>46249.87822916666</v>
      </c>
      <c r="AB364" t="inlineStr">
        <is>
          <t>OP-MIGR-00379</t>
        </is>
      </c>
      <c r="AD364" t="inlineStr">
        <is>
          <t>AKTYWNY</t>
        </is>
      </c>
      <c r="AE364" s="20">
        <f>IF(I364="",0,IF(ISNUMBER(SEARCH("MP",UPPER(J364))),I364,IF(ISNUMBER(SEARCH("TON",UPPER(J364))),I364/Przelicznik_MP_tona,IF(ISNUMBER(SEARCH("M3",UPPER(J364))),I364*Przelicznik_M3_MP,IF(ISNUMBER(SEARCH("GJ",UPPER(J364))),I364/Przelicznik_GJ_tona/Przelicznik_MP_tona,I364)))))</f>
        <v/>
      </c>
      <c r="AF364" s="20">
        <f>IF(I364="",0,IF(ISNUMBER(SEARCH("TON",UPPER(J364))),I364,IF(ISNUMBER(SEARCH("GJ",UPPER(J364))),I364/Przelicznik_GJ_tona,AE364*Przelicznik_MP_tona)))</f>
        <v/>
      </c>
      <c r="AG364" s="20">
        <f>AF364*Przelicznik_GJ_tona</f>
        <v/>
      </c>
      <c r="AH364" s="20">
        <f>IF(UPPER(AD364)="SKORYGOWANY",0,IF(OR(UPPER(E364)="TRANSPORT",UPPER(E364)="MM"),0,IF(UPPER(G364)&lt;&gt;"TAK",0,IF(OR(UPPER(E364)="ZAKUP",UPPER(E364)="PRODUKCJA"),AE364,IF(OR(UPPER(E364)="SPRZEDAŻ",UPPER(E364)="ZUŻYCIE"),-AE364,0)))))</f>
        <v/>
      </c>
      <c r="AI364" s="20">
        <f>IF(UPPER(AD364)="SKORYGOWANY",0,IF(OR(UPPER(E364)="TRANSPORT",UPPER(E364)="MM"),0,IF(UPPER(G364)&lt;&gt;"TAK",0,IF(OR(UPPER(E364)="ZAKUP",UPPER(E364)="PRODUKCJA"),AF364,IF(OR(UPPER(E364)="SPRZEDAŻ",UPPER(E364)="ZUŻYCIE"),-AF364,0)))))</f>
        <v/>
      </c>
      <c r="AJ364" s="21">
        <f>IF(UPPER(AD364)="SKORYGOWANY",0,IF(UPPER(E364)="ZAKUP",IF(L364&lt;&gt;"",L364,I364*K364),0))</f>
        <v/>
      </c>
      <c r="AK364" s="21">
        <f>IF(UPPER(AD364)="SKORYGOWANY",0,IF(UPPER(E364)="SPRZEDAŻ",IF(L364&lt;&gt;"",L364,I364*M364),0))</f>
        <v/>
      </c>
      <c r="AL364" s="21">
        <f>AE364*Q364</f>
        <v/>
      </c>
      <c r="AM364">
        <f>IF(R364="","",IF(LOWER(R364)="brak","Brak",IF(OR(ISNUMBER(SEARCH("własn",LOWER(R364))),ISNUMBER(SEARCH("wlasn",LOWER(R364))),ISNUMBER(SEARCH("wojciechowski",LOWER(R364)))),"Własny","Zewnętrzny")))</f>
        <v/>
      </c>
      <c r="AN364" s="24">
        <f>IF(C364="","",YEAR(C364))</f>
        <v/>
      </c>
      <c r="AO364" s="24">
        <f>IF(C364="","",MONTH(C364))</f>
        <v/>
      </c>
      <c r="AP364">
        <f>IF(C364="","",UPPER(TEXT(C364,"mmmm")))</f>
        <v/>
      </c>
      <c r="AQ364">
        <f>IF(C364="","","Q"&amp;ROUNDUP(MONTH(C364)/3,0))</f>
        <v/>
      </c>
    </row>
    <row r="365">
      <c r="A365" s="19" t="n">
        <v>46246</v>
      </c>
      <c r="C365" s="19" t="n">
        <v>46246</v>
      </c>
      <c r="D365" t="inlineStr">
        <is>
          <t>Lander Agro</t>
        </is>
      </c>
      <c r="E365" t="inlineStr">
        <is>
          <t>ZAKUP</t>
        </is>
      </c>
      <c r="F365" t="inlineStr">
        <is>
          <t>PZ/35/D</t>
        </is>
      </c>
      <c r="G365" t="inlineStr">
        <is>
          <t>TAK</t>
        </is>
      </c>
      <c r="H365" t="inlineStr">
        <is>
          <t>KZR</t>
        </is>
      </c>
      <c r="I365" s="20" t="n">
        <v>28.06</v>
      </c>
      <c r="J365" t="inlineStr">
        <is>
          <t>M3</t>
        </is>
      </c>
      <c r="K365" s="21" t="n">
        <v>230</v>
      </c>
      <c r="L365" s="21" t="n">
        <v>6453.8</v>
      </c>
      <c r="M365" s="21" t="n">
        <v>0</v>
      </c>
      <c r="N365" t="inlineStr">
        <is>
          <t>Drewno opałowe z lasu</t>
        </is>
      </c>
      <c r="Q365" s="21" t="n">
        <v>0</v>
      </c>
      <c r="T365" s="22" t="n">
        <v>0</v>
      </c>
      <c r="U365" s="21" t="n">
        <v>0</v>
      </c>
      <c r="V365" s="21" t="n">
        <v>0</v>
      </c>
      <c r="W365" t="inlineStr">
        <is>
          <t>Magazyn Zabrze</t>
        </is>
      </c>
      <c r="Y365" t="inlineStr">
        <is>
          <t>Waga b/d</t>
        </is>
      </c>
      <c r="Z365" t="inlineStr">
        <is>
          <t>Roesner Mateusz</t>
        </is>
      </c>
      <c r="AA365" s="23" t="n">
        <v>46249.884375</v>
      </c>
      <c r="AB365" t="inlineStr">
        <is>
          <t>OP-MIGR-00380</t>
        </is>
      </c>
      <c r="AD365" t="inlineStr">
        <is>
          <t>AKTYWNY</t>
        </is>
      </c>
      <c r="AE365" s="20">
        <f>IF(I365="",0,IF(ISNUMBER(SEARCH("MP",UPPER(J365))),I365,IF(ISNUMBER(SEARCH("TON",UPPER(J365))),I365/Przelicznik_MP_tona,IF(ISNUMBER(SEARCH("M3",UPPER(J365))),I365*Przelicznik_M3_MP,IF(ISNUMBER(SEARCH("GJ",UPPER(J365))),I365/Przelicznik_GJ_tona/Przelicznik_MP_tona,I365)))))</f>
        <v/>
      </c>
      <c r="AF365" s="20">
        <f>IF(I365="",0,IF(ISNUMBER(SEARCH("TON",UPPER(J365))),I365,IF(ISNUMBER(SEARCH("GJ",UPPER(J365))),I365/Przelicznik_GJ_tona,AE365*Przelicznik_MP_tona)))</f>
        <v/>
      </c>
      <c r="AG365" s="20">
        <f>AF365*Przelicznik_GJ_tona</f>
        <v/>
      </c>
      <c r="AH365" s="20">
        <f>IF(UPPER(AD365)="SKORYGOWANY",0,IF(OR(UPPER(E365)="TRANSPORT",UPPER(E365)="MM"),0,IF(UPPER(G365)&lt;&gt;"TAK",0,IF(OR(UPPER(E365)="ZAKUP",UPPER(E365)="PRODUKCJA"),AE365,IF(OR(UPPER(E365)="SPRZEDAŻ",UPPER(E365)="ZUŻYCIE"),-AE365,0)))))</f>
        <v/>
      </c>
      <c r="AI365" s="20">
        <f>IF(UPPER(AD365)="SKORYGOWANY",0,IF(OR(UPPER(E365)="TRANSPORT",UPPER(E365)="MM"),0,IF(UPPER(G365)&lt;&gt;"TAK",0,IF(OR(UPPER(E365)="ZAKUP",UPPER(E365)="PRODUKCJA"),AF365,IF(OR(UPPER(E365)="SPRZEDAŻ",UPPER(E365)="ZUŻYCIE"),-AF365,0)))))</f>
        <v/>
      </c>
      <c r="AJ365" s="21">
        <f>IF(UPPER(AD365)="SKORYGOWANY",0,IF(UPPER(E365)="ZAKUP",IF(L365&lt;&gt;"",L365,I365*K365),0))</f>
        <v/>
      </c>
      <c r="AK365" s="21">
        <f>IF(UPPER(AD365)="SKORYGOWANY",0,IF(UPPER(E365)="SPRZEDAŻ",IF(L365&lt;&gt;"",L365,I365*M365),0))</f>
        <v/>
      </c>
      <c r="AL365" s="21">
        <f>AE365*Q365</f>
        <v/>
      </c>
      <c r="AM365">
        <f>IF(R365="","",IF(LOWER(R365)="brak","Brak",IF(OR(ISNUMBER(SEARCH("własn",LOWER(R365))),ISNUMBER(SEARCH("wlasn",LOWER(R365))),ISNUMBER(SEARCH("wojciechowski",LOWER(R365)))),"Własny","Zewnętrzny")))</f>
        <v/>
      </c>
      <c r="AN365" s="24">
        <f>IF(C365="","",YEAR(C365))</f>
        <v/>
      </c>
      <c r="AO365" s="24">
        <f>IF(C365="","",MONTH(C365))</f>
        <v/>
      </c>
      <c r="AP365">
        <f>IF(C365="","",UPPER(TEXT(C365,"mmmm")))</f>
        <v/>
      </c>
      <c r="AQ365">
        <f>IF(C365="","","Q"&amp;ROUNDUP(MONTH(C365)/3,0))</f>
        <v/>
      </c>
    </row>
    <row r="366">
      <c r="A366" s="19" t="n">
        <v>46246</v>
      </c>
      <c r="C366" s="19" t="n">
        <v>46246</v>
      </c>
      <c r="D366" t="inlineStr">
        <is>
          <t>NDL Świerklaniec, Leśnictwo Mieczysko</t>
        </is>
      </c>
      <c r="E366" t="inlineStr">
        <is>
          <t>ZAKUP</t>
        </is>
      </c>
      <c r="F366" t="inlineStr">
        <is>
          <t>PZ/70   202632708/6668</t>
        </is>
      </c>
      <c r="G366" t="inlineStr">
        <is>
          <t>TAK</t>
        </is>
      </c>
      <c r="H366" t="inlineStr">
        <is>
          <t>Deklaracja</t>
        </is>
      </c>
      <c r="I366" s="20" t="n">
        <v>17</v>
      </c>
      <c r="J366" t="inlineStr">
        <is>
          <t>M3</t>
        </is>
      </c>
      <c r="K366" s="21" t="n">
        <v>112</v>
      </c>
      <c r="L366" s="21" t="n">
        <v>1904</v>
      </c>
      <c r="M366" s="21" t="n">
        <v>0</v>
      </c>
      <c r="N366" t="inlineStr">
        <is>
          <t>Drewno opałowe z lasu</t>
        </is>
      </c>
      <c r="Q366" s="21" t="n">
        <v>0</v>
      </c>
      <c r="T366" s="22" t="n">
        <v>0</v>
      </c>
      <c r="U366" s="21" t="n">
        <v>0</v>
      </c>
      <c r="V366" s="21" t="n">
        <v>0</v>
      </c>
      <c r="W366" t="inlineStr">
        <is>
          <t>Magazyn Zabrze</t>
        </is>
      </c>
      <c r="Y366" t="inlineStr">
        <is>
          <t>Waga: 23 140 kg</t>
        </is>
      </c>
      <c r="Z366" t="inlineStr">
        <is>
          <t>Marcin Kwiatkowski</t>
        </is>
      </c>
      <c r="AA366" s="23" t="n">
        <v>46254.62042824074</v>
      </c>
      <c r="AB366" t="inlineStr">
        <is>
          <t>OP-MIGR-00362</t>
        </is>
      </c>
      <c r="AD366" t="inlineStr">
        <is>
          <t>AKTYWNY</t>
        </is>
      </c>
      <c r="AE366" s="20">
        <f>IF(I366="",0,IF(ISNUMBER(SEARCH("MP",UPPER(J366))),I366,IF(ISNUMBER(SEARCH("TON",UPPER(J366))),I366/Przelicznik_MP_tona,IF(ISNUMBER(SEARCH("M3",UPPER(J366))),I366*Przelicznik_M3_MP,IF(ISNUMBER(SEARCH("GJ",UPPER(J366))),I366/Przelicznik_GJ_tona/Przelicznik_MP_tona,I366)))))</f>
        <v/>
      </c>
      <c r="AF366" s="20">
        <f>IF(I366="",0,IF(ISNUMBER(SEARCH("TON",UPPER(J366))),I366,IF(ISNUMBER(SEARCH("GJ",UPPER(J366))),I366/Przelicznik_GJ_tona,AE366*Przelicznik_MP_tona)))</f>
        <v/>
      </c>
      <c r="AG366" s="20">
        <f>AF366*Przelicznik_GJ_tona</f>
        <v/>
      </c>
      <c r="AH366" s="20">
        <f>IF(UPPER(AD366)="SKORYGOWANY",0,IF(OR(UPPER(E366)="TRANSPORT",UPPER(E366)="MM"),0,IF(UPPER(G366)&lt;&gt;"TAK",0,IF(OR(UPPER(E366)="ZAKUP",UPPER(E366)="PRODUKCJA"),AE366,IF(OR(UPPER(E366)="SPRZEDAŻ",UPPER(E366)="ZUŻYCIE"),-AE366,0)))))</f>
        <v/>
      </c>
      <c r="AI366" s="20">
        <f>IF(UPPER(AD366)="SKORYGOWANY",0,IF(OR(UPPER(E366)="TRANSPORT",UPPER(E366)="MM"),0,IF(UPPER(G366)&lt;&gt;"TAK",0,IF(OR(UPPER(E366)="ZAKUP",UPPER(E366)="PRODUKCJA"),AF366,IF(OR(UPPER(E366)="SPRZEDAŻ",UPPER(E366)="ZUŻYCIE"),-AF366,0)))))</f>
        <v/>
      </c>
      <c r="AJ366" s="21">
        <f>IF(UPPER(AD366)="SKORYGOWANY",0,IF(UPPER(E366)="ZAKUP",IF(L366&lt;&gt;"",L366,I366*K366),0))</f>
        <v/>
      </c>
      <c r="AK366" s="21">
        <f>IF(UPPER(AD366)="SKORYGOWANY",0,IF(UPPER(E366)="SPRZEDAŻ",IF(L366&lt;&gt;"",L366,I366*M366),0))</f>
        <v/>
      </c>
      <c r="AL366" s="21">
        <f>AE366*Q366</f>
        <v/>
      </c>
      <c r="AM366">
        <f>IF(R366="","",IF(LOWER(R366)="brak","Brak",IF(OR(ISNUMBER(SEARCH("własn",LOWER(R366))),ISNUMBER(SEARCH("wlasn",LOWER(R366))),ISNUMBER(SEARCH("wojciechowski",LOWER(R366)))),"Własny","Zewnętrzny")))</f>
        <v/>
      </c>
      <c r="AN366" s="24">
        <f>IF(C366="","",YEAR(C366))</f>
        <v/>
      </c>
      <c r="AO366" s="24">
        <f>IF(C366="","",MONTH(C366))</f>
        <v/>
      </c>
      <c r="AP366">
        <f>IF(C366="","",UPPER(TEXT(C366,"mmmm")))</f>
        <v/>
      </c>
      <c r="AQ366">
        <f>IF(C366="","","Q"&amp;ROUNDUP(MONTH(C366)/3,0))</f>
        <v/>
      </c>
    </row>
    <row r="367">
      <c r="A367" s="19" t="n">
        <v>46246</v>
      </c>
      <c r="C367" s="19" t="n">
        <v>46246</v>
      </c>
      <c r="D367" t="inlineStr">
        <is>
          <t>Magazyn Zabrze</t>
        </is>
      </c>
      <c r="E367" t="inlineStr">
        <is>
          <t>PRODUKCJA</t>
        </is>
      </c>
      <c r="F367" t="inlineStr">
        <is>
          <t>PZ/70</t>
        </is>
      </c>
      <c r="G367" t="inlineStr">
        <is>
          <t>TAK</t>
        </is>
      </c>
      <c r="H367" t="inlineStr">
        <is>
          <t>Deklaracja</t>
        </is>
      </c>
      <c r="I367" s="20" t="n">
        <v>68</v>
      </c>
      <c r="J367" t="inlineStr">
        <is>
          <t>MP</t>
        </is>
      </c>
      <c r="K367" s="21" t="n">
        <v>0</v>
      </c>
      <c r="L367" s="21" t="n">
        <v>0</v>
      </c>
      <c r="M367" s="21" t="n">
        <v>0</v>
      </c>
      <c r="N367" t="inlineStr">
        <is>
          <t>Zrębka Produkcyjna Leśna</t>
        </is>
      </c>
      <c r="O367" t="inlineStr">
        <is>
          <t>B</t>
        </is>
      </c>
      <c r="P367" t="inlineStr">
        <is>
          <t>własne</t>
        </is>
      </c>
      <c r="Q367" s="21" t="n">
        <v>10</v>
      </c>
      <c r="T367" s="22" t="n">
        <v>0</v>
      </c>
      <c r="U367" s="21" t="n">
        <v>0</v>
      </c>
      <c r="V367" s="21" t="n">
        <v>0</v>
      </c>
      <c r="W367" t="inlineStr">
        <is>
          <t>Magazyn Zabrze</t>
        </is>
      </c>
      <c r="X367" t="inlineStr">
        <is>
          <t>Magazyn Zabrze</t>
        </is>
      </c>
      <c r="Y367" t="inlineStr">
        <is>
          <t>Rębak z Brąszewic, rębakowy Łukasz Kempski</t>
        </is>
      </c>
      <c r="Z367" t="inlineStr">
        <is>
          <t>Marcin Kwiatkowski</t>
        </is>
      </c>
      <c r="AA367" s="23" t="n">
        <v>46254.62177083334</v>
      </c>
      <c r="AB367" t="inlineStr">
        <is>
          <t>OP-MIGR-00363</t>
        </is>
      </c>
      <c r="AD367" t="inlineStr">
        <is>
          <t>AKTYWNY</t>
        </is>
      </c>
      <c r="AE367" s="20">
        <f>IF(I367="",0,IF(ISNUMBER(SEARCH("MP",UPPER(J367))),I367,IF(ISNUMBER(SEARCH("TON",UPPER(J367))),I367/Przelicznik_MP_tona,IF(ISNUMBER(SEARCH("M3",UPPER(J367))),I367*Przelicznik_M3_MP,IF(ISNUMBER(SEARCH("GJ",UPPER(J367))),I367/Przelicznik_GJ_tona/Przelicznik_MP_tona,I367)))))</f>
        <v/>
      </c>
      <c r="AF367" s="20">
        <f>IF(I367="",0,IF(ISNUMBER(SEARCH("TON",UPPER(J367))),I367,IF(ISNUMBER(SEARCH("GJ",UPPER(J367))),I367/Przelicznik_GJ_tona,AE367*Przelicznik_MP_tona)))</f>
        <v/>
      </c>
      <c r="AG367" s="20">
        <f>AF367*Przelicznik_GJ_tona</f>
        <v/>
      </c>
      <c r="AH367" s="20">
        <f>IF(UPPER(AD367)="SKORYGOWANY",0,IF(OR(UPPER(E367)="TRANSPORT",UPPER(E367)="MM"),0,IF(UPPER(G367)&lt;&gt;"TAK",0,IF(OR(UPPER(E367)="ZAKUP",UPPER(E367)="PRODUKCJA"),AE367,IF(OR(UPPER(E367)="SPRZEDAŻ",UPPER(E367)="ZUŻYCIE"),-AE367,0)))))</f>
        <v/>
      </c>
      <c r="AI367" s="20">
        <f>IF(UPPER(AD367)="SKORYGOWANY",0,IF(OR(UPPER(E367)="TRANSPORT",UPPER(E367)="MM"),0,IF(UPPER(G367)&lt;&gt;"TAK",0,IF(OR(UPPER(E367)="ZAKUP",UPPER(E367)="PRODUKCJA"),AF367,IF(OR(UPPER(E367)="SPRZEDAŻ",UPPER(E367)="ZUŻYCIE"),-AF367,0)))))</f>
        <v/>
      </c>
      <c r="AJ367" s="21">
        <f>IF(UPPER(AD367)="SKORYGOWANY",0,IF(UPPER(E367)="ZAKUP",IF(L367&lt;&gt;"",L367,I367*K367),0))</f>
        <v/>
      </c>
      <c r="AK367" s="21">
        <f>IF(UPPER(AD367)="SKORYGOWANY",0,IF(UPPER(E367)="SPRZEDAŻ",IF(L367&lt;&gt;"",L367,I367*M367),0))</f>
        <v/>
      </c>
      <c r="AL367" s="21">
        <f>AE367*Q367</f>
        <v/>
      </c>
      <c r="AM367">
        <f>IF(R367="","",IF(LOWER(R367)="brak","Brak",IF(OR(ISNUMBER(SEARCH("własn",LOWER(R367))),ISNUMBER(SEARCH("wlasn",LOWER(R367))),ISNUMBER(SEARCH("wojciechowski",LOWER(R367)))),"Własny","Zewnętrzny")))</f>
        <v/>
      </c>
      <c r="AN367" s="24">
        <f>IF(C367="","",YEAR(C367))</f>
        <v/>
      </c>
      <c r="AO367" s="24">
        <f>IF(C367="","",MONTH(C367))</f>
        <v/>
      </c>
      <c r="AP367">
        <f>IF(C367="","",UPPER(TEXT(C367,"mmmm")))</f>
        <v/>
      </c>
      <c r="AQ367">
        <f>IF(C367="","","Q"&amp;ROUNDUP(MONTH(C367)/3,0))</f>
        <v/>
      </c>
    </row>
    <row r="368">
      <c r="A368" s="19" t="n">
        <v>46246</v>
      </c>
      <c r="C368" s="19" t="n">
        <v>46246</v>
      </c>
      <c r="D368" t="inlineStr">
        <is>
          <t>Magazyn Zabrze</t>
        </is>
      </c>
      <c r="E368" t="inlineStr">
        <is>
          <t>ZUŻYCIE</t>
        </is>
      </c>
      <c r="F368" t="inlineStr">
        <is>
          <t>PZ/70</t>
        </is>
      </c>
      <c r="G368" t="inlineStr">
        <is>
          <t>TAK</t>
        </is>
      </c>
      <c r="H368" t="inlineStr">
        <is>
          <t>Deklaracja</t>
        </is>
      </c>
      <c r="I368" s="20" t="n">
        <v>68</v>
      </c>
      <c r="J368" t="inlineStr">
        <is>
          <t>MP</t>
        </is>
      </c>
      <c r="K368" s="21" t="n">
        <v>0</v>
      </c>
      <c r="L368" s="21" t="n">
        <v>0</v>
      </c>
      <c r="M368" s="21" t="n">
        <v>0</v>
      </c>
      <c r="N368" t="inlineStr">
        <is>
          <t>Zrębka Produkcyjna Leśna</t>
        </is>
      </c>
      <c r="O368" t="inlineStr">
        <is>
          <t>B</t>
        </is>
      </c>
      <c r="P368" t="inlineStr">
        <is>
          <t>własne</t>
        </is>
      </c>
      <c r="Q368" s="21" t="n">
        <v>10</v>
      </c>
      <c r="T368" s="22" t="n">
        <v>0</v>
      </c>
      <c r="U368" s="21" t="n">
        <v>0</v>
      </c>
      <c r="V368" s="21" t="n">
        <v>0</v>
      </c>
      <c r="W368" t="inlineStr">
        <is>
          <t>Magazyn Zabrze</t>
        </is>
      </c>
      <c r="X368" t="inlineStr">
        <is>
          <t>Magazyn Zabrze</t>
        </is>
      </c>
      <c r="Y368" t="inlineStr">
        <is>
          <t>Automatyczne zużycie surowca do produkcji</t>
        </is>
      </c>
      <c r="AA368" s="23" t="n">
        <v>46254.62177083334</v>
      </c>
      <c r="AB368" t="inlineStr">
        <is>
          <t>OP-MIGR-00364</t>
        </is>
      </c>
      <c r="AD368" t="inlineStr">
        <is>
          <t>AKTYWNY</t>
        </is>
      </c>
      <c r="AE368" s="20">
        <f>IF(I368="",0,IF(ISNUMBER(SEARCH("MP",UPPER(J368))),I368,IF(ISNUMBER(SEARCH("TON",UPPER(J368))),I368/Przelicznik_MP_tona,IF(ISNUMBER(SEARCH("M3",UPPER(J368))),I368*Przelicznik_M3_MP,IF(ISNUMBER(SEARCH("GJ",UPPER(J368))),I368/Przelicznik_GJ_tona/Przelicznik_MP_tona,I368)))))</f>
        <v/>
      </c>
      <c r="AF368" s="20">
        <f>IF(I368="",0,IF(ISNUMBER(SEARCH("TON",UPPER(J368))),I368,IF(ISNUMBER(SEARCH("GJ",UPPER(J368))),I368/Przelicznik_GJ_tona,AE368*Przelicznik_MP_tona)))</f>
        <v/>
      </c>
      <c r="AG368" s="20">
        <f>AF368*Przelicznik_GJ_tona</f>
        <v/>
      </c>
      <c r="AH368" s="20">
        <f>IF(UPPER(AD368)="SKORYGOWANY",0,IF(OR(UPPER(E368)="TRANSPORT",UPPER(E368)="MM"),0,IF(UPPER(G368)&lt;&gt;"TAK",0,IF(OR(UPPER(E368)="ZAKUP",UPPER(E368)="PRODUKCJA"),AE368,IF(OR(UPPER(E368)="SPRZEDAŻ",UPPER(E368)="ZUŻYCIE"),-AE368,0)))))</f>
        <v/>
      </c>
      <c r="AI368" s="20">
        <f>IF(UPPER(AD368)="SKORYGOWANY",0,IF(OR(UPPER(E368)="TRANSPORT",UPPER(E368)="MM"),0,IF(UPPER(G368)&lt;&gt;"TAK",0,IF(OR(UPPER(E368)="ZAKUP",UPPER(E368)="PRODUKCJA"),AF368,IF(OR(UPPER(E368)="SPRZEDAŻ",UPPER(E368)="ZUŻYCIE"),-AF368,0)))))</f>
        <v/>
      </c>
      <c r="AJ368" s="21">
        <f>IF(UPPER(AD368)="SKORYGOWANY",0,IF(UPPER(E368)="ZAKUP",IF(L368&lt;&gt;"",L368,I368*K368),0))</f>
        <v/>
      </c>
      <c r="AK368" s="21">
        <f>IF(UPPER(AD368)="SKORYGOWANY",0,IF(UPPER(E368)="SPRZEDAŻ",IF(L368&lt;&gt;"",L368,I368*M368),0))</f>
        <v/>
      </c>
      <c r="AL368" s="21">
        <f>AE368*Q368</f>
        <v/>
      </c>
      <c r="AM368">
        <f>IF(R368="","",IF(LOWER(R368)="brak","Brak",IF(OR(ISNUMBER(SEARCH("własn",LOWER(R368))),ISNUMBER(SEARCH("wlasn",LOWER(R368))),ISNUMBER(SEARCH("wojciechowski",LOWER(R368)))),"Własny","Zewnętrzny")))</f>
        <v/>
      </c>
      <c r="AN368" s="24">
        <f>IF(C368="","",YEAR(C368))</f>
        <v/>
      </c>
      <c r="AO368" s="24">
        <f>IF(C368="","",MONTH(C368))</f>
        <v/>
      </c>
      <c r="AP368">
        <f>IF(C368="","",UPPER(TEXT(C368,"mmmm")))</f>
        <v/>
      </c>
      <c r="AQ368">
        <f>IF(C368="","","Q"&amp;ROUNDUP(MONTH(C368)/3,0))</f>
        <v/>
      </c>
    </row>
    <row r="369">
      <c r="A369" s="19" t="n">
        <v>46246</v>
      </c>
      <c r="B369" t="inlineStr">
        <is>
          <t>Mieczysko</t>
        </is>
      </c>
      <c r="C369" s="19" t="n">
        <v>46246</v>
      </c>
      <c r="D369" t="inlineStr">
        <is>
          <t>Magazyn Zabrze</t>
        </is>
      </c>
      <c r="E369" t="inlineStr">
        <is>
          <t>ZAKUP</t>
        </is>
      </c>
      <c r="F369" t="inlineStr">
        <is>
          <t>PZ/70</t>
        </is>
      </c>
      <c r="G369" t="inlineStr">
        <is>
          <t>TAK</t>
        </is>
      </c>
      <c r="H369" t="inlineStr">
        <is>
          <t>Deklaracja</t>
        </is>
      </c>
      <c r="I369" s="20" t="n">
        <v>68</v>
      </c>
      <c r="J369" t="inlineStr">
        <is>
          <t>MP</t>
        </is>
      </c>
      <c r="K369" s="21" t="n">
        <v>0</v>
      </c>
      <c r="L369" s="21" t="n">
        <v>0</v>
      </c>
      <c r="M369" s="21" t="n">
        <v>0</v>
      </c>
      <c r="N369" t="inlineStr">
        <is>
          <t>Zrębka Produkcyjna Leśna</t>
        </is>
      </c>
      <c r="O369" t="inlineStr">
        <is>
          <t>B</t>
        </is>
      </c>
      <c r="Q369" s="21" t="n">
        <v>0</v>
      </c>
      <c r="R369" t="inlineStr">
        <is>
          <t>własny (Chrzan)</t>
        </is>
      </c>
      <c r="S369" t="inlineStr">
        <is>
          <t>SK 5L809</t>
        </is>
      </c>
      <c r="T369" s="22" t="n">
        <v>62</v>
      </c>
      <c r="U369" s="21" t="n">
        <v>5</v>
      </c>
      <c r="V369" s="21" t="n">
        <v>310</v>
      </c>
      <c r="W369" t="inlineStr">
        <is>
          <t>Magazyn Zabrze</t>
        </is>
      </c>
      <c r="X369" t="inlineStr">
        <is>
          <t>Magazyn Zabrze</t>
        </is>
      </c>
      <c r="Z369" t="inlineStr">
        <is>
          <t>Marcin Kwiatkowski</t>
        </is>
      </c>
      <c r="AA369" s="23" t="n">
        <v>46254.62440972222</v>
      </c>
      <c r="AB369" t="inlineStr">
        <is>
          <t>OP-MIGR-00365</t>
        </is>
      </c>
      <c r="AD369" t="inlineStr">
        <is>
          <t>AKTYWNY</t>
        </is>
      </c>
      <c r="AE369" s="20">
        <f>IF(I369="",0,IF(ISNUMBER(SEARCH("MP",UPPER(J369))),I369,IF(ISNUMBER(SEARCH("TON",UPPER(J369))),I369/Przelicznik_MP_tona,IF(ISNUMBER(SEARCH("M3",UPPER(J369))),I369*Przelicznik_M3_MP,IF(ISNUMBER(SEARCH("GJ",UPPER(J369))),I369/Przelicznik_GJ_tona/Przelicznik_MP_tona,I369)))))</f>
        <v/>
      </c>
      <c r="AF369" s="20">
        <f>IF(I369="",0,IF(ISNUMBER(SEARCH("TON",UPPER(J369))),I369,IF(ISNUMBER(SEARCH("GJ",UPPER(J369))),I369/Przelicznik_GJ_tona,AE369*Przelicznik_MP_tona)))</f>
        <v/>
      </c>
      <c r="AG369" s="20">
        <f>AF369*Przelicznik_GJ_tona</f>
        <v/>
      </c>
      <c r="AH369" s="20">
        <f>IF(UPPER(AD369)="SKORYGOWANY",0,IF(OR(UPPER(E369)="TRANSPORT",UPPER(E369)="MM"),0,IF(UPPER(G369)&lt;&gt;"TAK",0,IF(OR(UPPER(E369)="ZAKUP",UPPER(E369)="PRODUKCJA"),AE369,IF(OR(UPPER(E369)="SPRZEDAŻ",UPPER(E369)="ZUŻYCIE"),-AE369,0)))))</f>
        <v/>
      </c>
      <c r="AI369" s="20">
        <f>IF(UPPER(AD369)="SKORYGOWANY",0,IF(OR(UPPER(E369)="TRANSPORT",UPPER(E369)="MM"),0,IF(UPPER(G369)&lt;&gt;"TAK",0,IF(OR(UPPER(E369)="ZAKUP",UPPER(E369)="PRODUKCJA"),AF369,IF(OR(UPPER(E369)="SPRZEDAŻ",UPPER(E369)="ZUŻYCIE"),-AF369,0)))))</f>
        <v/>
      </c>
      <c r="AJ369" s="21">
        <f>IF(UPPER(AD369)="SKORYGOWANY",0,IF(UPPER(E369)="ZAKUP",IF(L369&lt;&gt;"",L369,I369*K369),0))</f>
        <v/>
      </c>
      <c r="AK369" s="21">
        <f>IF(UPPER(AD369)="SKORYGOWANY",0,IF(UPPER(E369)="SPRZEDAŻ",IF(L369&lt;&gt;"",L369,I369*M369),0))</f>
        <v/>
      </c>
      <c r="AL369" s="21">
        <f>AE369*Q369</f>
        <v/>
      </c>
      <c r="AM369">
        <f>IF(R369="","",IF(LOWER(R369)="brak","Brak",IF(OR(ISNUMBER(SEARCH("własn",LOWER(R369))),ISNUMBER(SEARCH("wlasn",LOWER(R369))),ISNUMBER(SEARCH("wojciechowski",LOWER(R369)))),"Własny","Zewnętrzny")))</f>
        <v/>
      </c>
      <c r="AN369" s="24">
        <f>IF(C369="","",YEAR(C369))</f>
        <v/>
      </c>
      <c r="AO369" s="24">
        <f>IF(C369="","",MONTH(C369))</f>
        <v/>
      </c>
      <c r="AP369">
        <f>IF(C369="","",UPPER(TEXT(C369,"mmmm")))</f>
        <v/>
      </c>
      <c r="AQ369">
        <f>IF(C369="","","Q"&amp;ROUNDUP(MONTH(C369)/3,0))</f>
        <v/>
      </c>
    </row>
    <row r="370">
      <c r="A370" s="19" t="n">
        <v>46246</v>
      </c>
      <c r="C370" s="19" t="n">
        <v>46246</v>
      </c>
      <c r="D370" t="inlineStr">
        <is>
          <t>NDL Świerklaniec, Leśnictwo Mieczysko</t>
        </is>
      </c>
      <c r="E370" t="inlineStr">
        <is>
          <t>ZAKUP</t>
        </is>
      </c>
      <c r="F370" t="inlineStr">
        <is>
          <t>PZ/71   3/202632708/6667</t>
        </is>
      </c>
      <c r="G370" t="inlineStr">
        <is>
          <t>TAK</t>
        </is>
      </c>
      <c r="H370" t="inlineStr">
        <is>
          <t>Deklaracja</t>
        </is>
      </c>
      <c r="I370" s="20" t="n">
        <v>17</v>
      </c>
      <c r="J370" t="inlineStr">
        <is>
          <t>MP</t>
        </is>
      </c>
      <c r="K370" s="21" t="n">
        <v>112</v>
      </c>
      <c r="L370" s="21" t="n">
        <v>1904</v>
      </c>
      <c r="M370" s="21" t="n">
        <v>0</v>
      </c>
      <c r="N370" t="inlineStr">
        <is>
          <t>Drewno opałowe z lasu</t>
        </is>
      </c>
      <c r="Q370" s="21" t="n">
        <v>0</v>
      </c>
      <c r="T370" s="22" t="n">
        <v>0</v>
      </c>
      <c r="U370" s="21" t="n">
        <v>0</v>
      </c>
      <c r="V370" s="21" t="n">
        <v>0</v>
      </c>
      <c r="W370" t="inlineStr">
        <is>
          <t>Magazyn Zabrze</t>
        </is>
      </c>
      <c r="X370" t="inlineStr">
        <is>
          <t>Magazyn Zabrze</t>
        </is>
      </c>
      <c r="Y370" t="inlineStr">
        <is>
          <t>Waga: 24 700 kg</t>
        </is>
      </c>
      <c r="Z370" t="inlineStr">
        <is>
          <t>Marcin Kwiatkowski</t>
        </is>
      </c>
      <c r="AA370" s="23" t="n">
        <v>46254.62894675926</v>
      </c>
      <c r="AB370" t="inlineStr">
        <is>
          <t>OP-MIGR-00366</t>
        </is>
      </c>
      <c r="AD370" t="inlineStr">
        <is>
          <t>AKTYWNY</t>
        </is>
      </c>
      <c r="AE370" s="20">
        <f>IF(I370="",0,IF(ISNUMBER(SEARCH("MP",UPPER(J370))),I370,IF(ISNUMBER(SEARCH("TON",UPPER(J370))),I370/Przelicznik_MP_tona,IF(ISNUMBER(SEARCH("M3",UPPER(J370))),I370*Przelicznik_M3_MP,IF(ISNUMBER(SEARCH("GJ",UPPER(J370))),I370/Przelicznik_GJ_tona/Przelicznik_MP_tona,I370)))))</f>
        <v/>
      </c>
      <c r="AF370" s="20">
        <f>IF(I370="",0,IF(ISNUMBER(SEARCH("TON",UPPER(J370))),I370,IF(ISNUMBER(SEARCH("GJ",UPPER(J370))),I370/Przelicznik_GJ_tona,AE370*Przelicznik_MP_tona)))</f>
        <v/>
      </c>
      <c r="AG370" s="20">
        <f>AF370*Przelicznik_GJ_tona</f>
        <v/>
      </c>
      <c r="AH370" s="20">
        <f>IF(UPPER(AD370)="SKORYGOWANY",0,IF(OR(UPPER(E370)="TRANSPORT",UPPER(E370)="MM"),0,IF(UPPER(G370)&lt;&gt;"TAK",0,IF(OR(UPPER(E370)="ZAKUP",UPPER(E370)="PRODUKCJA"),AE370,IF(OR(UPPER(E370)="SPRZEDAŻ",UPPER(E370)="ZUŻYCIE"),-AE370,0)))))</f>
        <v/>
      </c>
      <c r="AI370" s="20">
        <f>IF(UPPER(AD370)="SKORYGOWANY",0,IF(OR(UPPER(E370)="TRANSPORT",UPPER(E370)="MM"),0,IF(UPPER(G370)&lt;&gt;"TAK",0,IF(OR(UPPER(E370)="ZAKUP",UPPER(E370)="PRODUKCJA"),AF370,IF(OR(UPPER(E370)="SPRZEDAŻ",UPPER(E370)="ZUŻYCIE"),-AF370,0)))))</f>
        <v/>
      </c>
      <c r="AJ370" s="21">
        <f>IF(UPPER(AD370)="SKORYGOWANY",0,IF(UPPER(E370)="ZAKUP",IF(L370&lt;&gt;"",L370,I370*K370),0))</f>
        <v/>
      </c>
      <c r="AK370" s="21">
        <f>IF(UPPER(AD370)="SKORYGOWANY",0,IF(UPPER(E370)="SPRZEDAŻ",IF(L370&lt;&gt;"",L370,I370*M370),0))</f>
        <v/>
      </c>
      <c r="AL370" s="21">
        <f>AE370*Q370</f>
        <v/>
      </c>
      <c r="AM370">
        <f>IF(R370="","",IF(LOWER(R370)="brak","Brak",IF(OR(ISNUMBER(SEARCH("własn",LOWER(R370))),ISNUMBER(SEARCH("wlasn",LOWER(R370))),ISNUMBER(SEARCH("wojciechowski",LOWER(R370)))),"Własny","Zewnętrzny")))</f>
        <v/>
      </c>
      <c r="AN370" s="24">
        <f>IF(C370="","",YEAR(C370))</f>
        <v/>
      </c>
      <c r="AO370" s="24">
        <f>IF(C370="","",MONTH(C370))</f>
        <v/>
      </c>
      <c r="AP370">
        <f>IF(C370="","",UPPER(TEXT(C370,"mmmm")))</f>
        <v/>
      </c>
      <c r="AQ370">
        <f>IF(C370="","","Q"&amp;ROUNDUP(MONTH(C370)/3,0))</f>
        <v/>
      </c>
    </row>
    <row r="371">
      <c r="A371" s="19" t="n">
        <v>46246</v>
      </c>
      <c r="C371" s="19" t="n">
        <v>46246</v>
      </c>
      <c r="D371" t="inlineStr">
        <is>
          <t>Magazyn Zabrze</t>
        </is>
      </c>
      <c r="E371" t="inlineStr">
        <is>
          <t>PRODUKCJA</t>
        </is>
      </c>
      <c r="F371" t="inlineStr">
        <is>
          <t>PZ/71</t>
        </is>
      </c>
      <c r="G371" t="inlineStr">
        <is>
          <t>TAK</t>
        </is>
      </c>
      <c r="H371" t="inlineStr">
        <is>
          <t>Deklaracja</t>
        </is>
      </c>
      <c r="I371" s="20" t="n">
        <v>68</v>
      </c>
      <c r="J371" t="inlineStr">
        <is>
          <t>MP</t>
        </is>
      </c>
      <c r="K371" s="21" t="n">
        <v>0</v>
      </c>
      <c r="L371" s="21" t="n">
        <v>0</v>
      </c>
      <c r="M371" s="21" t="n">
        <v>0</v>
      </c>
      <c r="N371" t="inlineStr">
        <is>
          <t>Zrębka Produkcyjna Leśna</t>
        </is>
      </c>
      <c r="O371" t="inlineStr">
        <is>
          <t>B</t>
        </is>
      </c>
      <c r="P371" t="inlineStr">
        <is>
          <t>własne</t>
        </is>
      </c>
      <c r="Q371" s="21" t="n">
        <v>10</v>
      </c>
      <c r="T371" s="22" t="n">
        <v>0</v>
      </c>
      <c r="U371" s="21" t="n">
        <v>0</v>
      </c>
      <c r="V371" s="21" t="n">
        <v>0</v>
      </c>
      <c r="W371" t="inlineStr">
        <is>
          <t>Magazyn Zabrze</t>
        </is>
      </c>
      <c r="X371" t="inlineStr">
        <is>
          <t>Magazyn Zabrze</t>
        </is>
      </c>
      <c r="Y371" t="inlineStr">
        <is>
          <t>Rębak z Brąszewic, rębakowy Łukasz Kempski</t>
        </is>
      </c>
      <c r="Z371" t="inlineStr">
        <is>
          <t>Marcin Kwiatkowski</t>
        </is>
      </c>
      <c r="AA371" s="23" t="n">
        <v>46254.6299074074</v>
      </c>
      <c r="AB371" t="inlineStr">
        <is>
          <t>OP-MIGR-00367</t>
        </is>
      </c>
      <c r="AD371" t="inlineStr">
        <is>
          <t>AKTYWNY</t>
        </is>
      </c>
      <c r="AE371" s="20">
        <f>IF(I371="",0,IF(ISNUMBER(SEARCH("MP",UPPER(J371))),I371,IF(ISNUMBER(SEARCH("TON",UPPER(J371))),I371/Przelicznik_MP_tona,IF(ISNUMBER(SEARCH("M3",UPPER(J371))),I371*Przelicznik_M3_MP,IF(ISNUMBER(SEARCH("GJ",UPPER(J371))),I371/Przelicznik_GJ_tona/Przelicznik_MP_tona,I371)))))</f>
        <v/>
      </c>
      <c r="AF371" s="20">
        <f>IF(I371="",0,IF(ISNUMBER(SEARCH("TON",UPPER(J371))),I371,IF(ISNUMBER(SEARCH("GJ",UPPER(J371))),I371/Przelicznik_GJ_tona,AE371*Przelicznik_MP_tona)))</f>
        <v/>
      </c>
      <c r="AG371" s="20">
        <f>AF371*Przelicznik_GJ_tona</f>
        <v/>
      </c>
      <c r="AH371" s="20">
        <f>IF(UPPER(AD371)="SKORYGOWANY",0,IF(OR(UPPER(E371)="TRANSPORT",UPPER(E371)="MM"),0,IF(UPPER(G371)&lt;&gt;"TAK",0,IF(OR(UPPER(E371)="ZAKUP",UPPER(E371)="PRODUKCJA"),AE371,IF(OR(UPPER(E371)="SPRZEDAŻ",UPPER(E371)="ZUŻYCIE"),-AE371,0)))))</f>
        <v/>
      </c>
      <c r="AI371" s="20">
        <f>IF(UPPER(AD371)="SKORYGOWANY",0,IF(OR(UPPER(E371)="TRANSPORT",UPPER(E371)="MM"),0,IF(UPPER(G371)&lt;&gt;"TAK",0,IF(OR(UPPER(E371)="ZAKUP",UPPER(E371)="PRODUKCJA"),AF371,IF(OR(UPPER(E371)="SPRZEDAŻ",UPPER(E371)="ZUŻYCIE"),-AF371,0)))))</f>
        <v/>
      </c>
      <c r="AJ371" s="21">
        <f>IF(UPPER(AD371)="SKORYGOWANY",0,IF(UPPER(E371)="ZAKUP",IF(L371&lt;&gt;"",L371,I371*K371),0))</f>
        <v/>
      </c>
      <c r="AK371" s="21">
        <f>IF(UPPER(AD371)="SKORYGOWANY",0,IF(UPPER(E371)="SPRZEDAŻ",IF(L371&lt;&gt;"",L371,I371*M371),0))</f>
        <v/>
      </c>
      <c r="AL371" s="21">
        <f>AE371*Q371</f>
        <v/>
      </c>
      <c r="AM371">
        <f>IF(R371="","",IF(LOWER(R371)="brak","Brak",IF(OR(ISNUMBER(SEARCH("własn",LOWER(R371))),ISNUMBER(SEARCH("wlasn",LOWER(R371))),ISNUMBER(SEARCH("wojciechowski",LOWER(R371)))),"Własny","Zewnętrzny")))</f>
        <v/>
      </c>
      <c r="AN371" s="24">
        <f>IF(C371="","",YEAR(C371))</f>
        <v/>
      </c>
      <c r="AO371" s="24">
        <f>IF(C371="","",MONTH(C371))</f>
        <v/>
      </c>
      <c r="AP371">
        <f>IF(C371="","",UPPER(TEXT(C371,"mmmm")))</f>
        <v/>
      </c>
      <c r="AQ371">
        <f>IF(C371="","","Q"&amp;ROUNDUP(MONTH(C371)/3,0))</f>
        <v/>
      </c>
    </row>
    <row r="372">
      <c r="A372" s="19" t="n">
        <v>46246</v>
      </c>
      <c r="C372" s="19" t="n">
        <v>46246</v>
      </c>
      <c r="D372" t="inlineStr">
        <is>
          <t>Magazyn Zabrze</t>
        </is>
      </c>
      <c r="E372" t="inlineStr">
        <is>
          <t>ZUŻYCIE</t>
        </is>
      </c>
      <c r="F372" t="inlineStr">
        <is>
          <t>PZ/71</t>
        </is>
      </c>
      <c r="G372" t="inlineStr">
        <is>
          <t>TAK</t>
        </is>
      </c>
      <c r="H372" t="inlineStr">
        <is>
          <t>Deklaracja</t>
        </is>
      </c>
      <c r="I372" s="20" t="n">
        <v>68</v>
      </c>
      <c r="J372" t="inlineStr">
        <is>
          <t>MP</t>
        </is>
      </c>
      <c r="K372" s="21" t="n">
        <v>0</v>
      </c>
      <c r="L372" s="21" t="n">
        <v>0</v>
      </c>
      <c r="M372" s="21" t="n">
        <v>0</v>
      </c>
      <c r="N372" t="inlineStr">
        <is>
          <t>Zrębka Produkcyjna Leśna</t>
        </is>
      </c>
      <c r="O372" t="inlineStr">
        <is>
          <t>B</t>
        </is>
      </c>
      <c r="P372" t="inlineStr">
        <is>
          <t>własne</t>
        </is>
      </c>
      <c r="Q372" s="21" t="n">
        <v>10</v>
      </c>
      <c r="T372" s="22" t="n">
        <v>0</v>
      </c>
      <c r="U372" s="21" t="n">
        <v>0</v>
      </c>
      <c r="V372" s="21" t="n">
        <v>0</v>
      </c>
      <c r="W372" t="inlineStr">
        <is>
          <t>Magazyn Zabrze</t>
        </is>
      </c>
      <c r="X372" t="inlineStr">
        <is>
          <t>Magazyn Zabrze</t>
        </is>
      </c>
      <c r="Y372" t="inlineStr">
        <is>
          <t>Automatyczne zużycie surowca do produkcji</t>
        </is>
      </c>
      <c r="AA372" s="23" t="n">
        <v>46254.6299074074</v>
      </c>
      <c r="AB372" t="inlineStr">
        <is>
          <t>OP-MIGR-00368</t>
        </is>
      </c>
      <c r="AD372" t="inlineStr">
        <is>
          <t>AKTYWNY</t>
        </is>
      </c>
      <c r="AE372" s="20">
        <f>IF(I372="",0,IF(ISNUMBER(SEARCH("MP",UPPER(J372))),I372,IF(ISNUMBER(SEARCH("TON",UPPER(J372))),I372/Przelicznik_MP_tona,IF(ISNUMBER(SEARCH("M3",UPPER(J372))),I372*Przelicznik_M3_MP,IF(ISNUMBER(SEARCH("GJ",UPPER(J372))),I372/Przelicznik_GJ_tona/Przelicznik_MP_tona,I372)))))</f>
        <v/>
      </c>
      <c r="AF372" s="20">
        <f>IF(I372="",0,IF(ISNUMBER(SEARCH("TON",UPPER(J372))),I372,IF(ISNUMBER(SEARCH("GJ",UPPER(J372))),I372/Przelicznik_GJ_tona,AE372*Przelicznik_MP_tona)))</f>
        <v/>
      </c>
      <c r="AG372" s="20">
        <f>AF372*Przelicznik_GJ_tona</f>
        <v/>
      </c>
      <c r="AH372" s="20">
        <f>IF(UPPER(AD372)="SKORYGOWANY",0,IF(OR(UPPER(E372)="TRANSPORT",UPPER(E372)="MM"),0,IF(UPPER(G372)&lt;&gt;"TAK",0,IF(OR(UPPER(E372)="ZAKUP",UPPER(E372)="PRODUKCJA"),AE372,IF(OR(UPPER(E372)="SPRZEDAŻ",UPPER(E372)="ZUŻYCIE"),-AE372,0)))))</f>
        <v/>
      </c>
      <c r="AI372" s="20">
        <f>IF(UPPER(AD372)="SKORYGOWANY",0,IF(OR(UPPER(E372)="TRANSPORT",UPPER(E372)="MM"),0,IF(UPPER(G372)&lt;&gt;"TAK",0,IF(OR(UPPER(E372)="ZAKUP",UPPER(E372)="PRODUKCJA"),AF372,IF(OR(UPPER(E372)="SPRZEDAŻ",UPPER(E372)="ZUŻYCIE"),-AF372,0)))))</f>
        <v/>
      </c>
      <c r="AJ372" s="21">
        <f>IF(UPPER(AD372)="SKORYGOWANY",0,IF(UPPER(E372)="ZAKUP",IF(L372&lt;&gt;"",L372,I372*K372),0))</f>
        <v/>
      </c>
      <c r="AK372" s="21">
        <f>IF(UPPER(AD372)="SKORYGOWANY",0,IF(UPPER(E372)="SPRZEDAŻ",IF(L372&lt;&gt;"",L372,I372*M372),0))</f>
        <v/>
      </c>
      <c r="AL372" s="21">
        <f>AE372*Q372</f>
        <v/>
      </c>
      <c r="AM372">
        <f>IF(R372="","",IF(LOWER(R372)="brak","Brak",IF(OR(ISNUMBER(SEARCH("własn",LOWER(R372))),ISNUMBER(SEARCH("wlasn",LOWER(R372))),ISNUMBER(SEARCH("wojciechowski",LOWER(R372)))),"Własny","Zewnętrzny")))</f>
        <v/>
      </c>
      <c r="AN372" s="24">
        <f>IF(C372="","",YEAR(C372))</f>
        <v/>
      </c>
      <c r="AO372" s="24">
        <f>IF(C372="","",MONTH(C372))</f>
        <v/>
      </c>
      <c r="AP372">
        <f>IF(C372="","",UPPER(TEXT(C372,"mmmm")))</f>
        <v/>
      </c>
      <c r="AQ372">
        <f>IF(C372="","","Q"&amp;ROUNDUP(MONTH(C372)/3,0))</f>
        <v/>
      </c>
    </row>
    <row r="373">
      <c r="A373" s="19" t="n">
        <v>46246</v>
      </c>
      <c r="B373" t="inlineStr">
        <is>
          <t>Mieczysko</t>
        </is>
      </c>
      <c r="C373" s="19" t="n">
        <v>46246</v>
      </c>
      <c r="D373" t="inlineStr">
        <is>
          <t>Magazyn Zabrze</t>
        </is>
      </c>
      <c r="E373" t="inlineStr">
        <is>
          <t>ZAKUP</t>
        </is>
      </c>
      <c r="F373" t="inlineStr">
        <is>
          <t>PZ/71</t>
        </is>
      </c>
      <c r="G373" t="inlineStr">
        <is>
          <t>TAK</t>
        </is>
      </c>
      <c r="H373" t="inlineStr">
        <is>
          <t>Deklaracja</t>
        </is>
      </c>
      <c r="I373" s="20" t="n">
        <v>68</v>
      </c>
      <c r="J373" t="inlineStr">
        <is>
          <t>MP</t>
        </is>
      </c>
      <c r="K373" s="21" t="n">
        <v>0</v>
      </c>
      <c r="L373" s="21" t="n">
        <v>0</v>
      </c>
      <c r="M373" s="21" t="n">
        <v>0</v>
      </c>
      <c r="N373" t="inlineStr">
        <is>
          <t>Zrębka Produkcyjna Leśna</t>
        </is>
      </c>
      <c r="O373" t="inlineStr">
        <is>
          <t>B</t>
        </is>
      </c>
      <c r="Q373" s="21" t="n">
        <v>0</v>
      </c>
      <c r="R373" t="inlineStr">
        <is>
          <t>własny (Wilczak)</t>
        </is>
      </c>
      <c r="S373" t="inlineStr">
        <is>
          <t>SK 7J884</t>
        </is>
      </c>
      <c r="T373" s="22" t="n">
        <v>62</v>
      </c>
      <c r="U373" s="21" t="n">
        <v>5</v>
      </c>
      <c r="V373" s="21" t="n">
        <v>310</v>
      </c>
      <c r="W373" t="inlineStr">
        <is>
          <t>Magazyn Zabrze</t>
        </is>
      </c>
      <c r="Z373" t="inlineStr">
        <is>
          <t>Marcin Kwiatkowski</t>
        </is>
      </c>
      <c r="AA373" s="23" t="n">
        <v>46254.63108796296</v>
      </c>
      <c r="AB373" t="inlineStr">
        <is>
          <t>OP-MIGR-00369</t>
        </is>
      </c>
      <c r="AD373" t="inlineStr">
        <is>
          <t>AKTYWNY</t>
        </is>
      </c>
      <c r="AE373" s="20">
        <f>IF(I373="",0,IF(ISNUMBER(SEARCH("MP",UPPER(J373))),I373,IF(ISNUMBER(SEARCH("TON",UPPER(J373))),I373/Przelicznik_MP_tona,IF(ISNUMBER(SEARCH("M3",UPPER(J373))),I373*Przelicznik_M3_MP,IF(ISNUMBER(SEARCH("GJ",UPPER(J373))),I373/Przelicznik_GJ_tona/Przelicznik_MP_tona,I373)))))</f>
        <v/>
      </c>
      <c r="AF373" s="20">
        <f>IF(I373="",0,IF(ISNUMBER(SEARCH("TON",UPPER(J373))),I373,IF(ISNUMBER(SEARCH("GJ",UPPER(J373))),I373/Przelicznik_GJ_tona,AE373*Przelicznik_MP_tona)))</f>
        <v/>
      </c>
      <c r="AG373" s="20">
        <f>AF373*Przelicznik_GJ_tona</f>
        <v/>
      </c>
      <c r="AH373" s="20">
        <f>IF(UPPER(AD373)="SKORYGOWANY",0,IF(OR(UPPER(E373)="TRANSPORT",UPPER(E373)="MM"),0,IF(UPPER(G373)&lt;&gt;"TAK",0,IF(OR(UPPER(E373)="ZAKUP",UPPER(E373)="PRODUKCJA"),AE373,IF(OR(UPPER(E373)="SPRZEDAŻ",UPPER(E373)="ZUŻYCIE"),-AE373,0)))))</f>
        <v/>
      </c>
      <c r="AI373" s="20">
        <f>IF(UPPER(AD373)="SKORYGOWANY",0,IF(OR(UPPER(E373)="TRANSPORT",UPPER(E373)="MM"),0,IF(UPPER(G373)&lt;&gt;"TAK",0,IF(OR(UPPER(E373)="ZAKUP",UPPER(E373)="PRODUKCJA"),AF373,IF(OR(UPPER(E373)="SPRZEDAŻ",UPPER(E373)="ZUŻYCIE"),-AF373,0)))))</f>
        <v/>
      </c>
      <c r="AJ373" s="21">
        <f>IF(UPPER(AD373)="SKORYGOWANY",0,IF(UPPER(E373)="ZAKUP",IF(L373&lt;&gt;"",L373,I373*K373),0))</f>
        <v/>
      </c>
      <c r="AK373" s="21">
        <f>IF(UPPER(AD373)="SKORYGOWANY",0,IF(UPPER(E373)="SPRZEDAŻ",IF(L373&lt;&gt;"",L373,I373*M373),0))</f>
        <v/>
      </c>
      <c r="AL373" s="21">
        <f>AE373*Q373</f>
        <v/>
      </c>
      <c r="AM373">
        <f>IF(R373="","",IF(LOWER(R373)="brak","Brak",IF(OR(ISNUMBER(SEARCH("własn",LOWER(R373))),ISNUMBER(SEARCH("wlasn",LOWER(R373))),ISNUMBER(SEARCH("wojciechowski",LOWER(R373)))),"Własny","Zewnętrzny")))</f>
        <v/>
      </c>
      <c r="AN373" s="24">
        <f>IF(C373="","",YEAR(C373))</f>
        <v/>
      </c>
      <c r="AO373" s="24">
        <f>IF(C373="","",MONTH(C373))</f>
        <v/>
      </c>
      <c r="AP373">
        <f>IF(C373="","",UPPER(TEXT(C373,"mmmm")))</f>
        <v/>
      </c>
      <c r="AQ373">
        <f>IF(C373="","","Q"&amp;ROUNDUP(MONTH(C373)/3,0))</f>
        <v/>
      </c>
    </row>
    <row r="374">
      <c r="A374" s="19" t="n">
        <v>46246</v>
      </c>
      <c r="C374" s="19" t="n">
        <v>46246</v>
      </c>
      <c r="D374" t="inlineStr">
        <is>
          <t>NDL Świerklaniec, Leśnictwo Mieczysko</t>
        </is>
      </c>
      <c r="E374" t="inlineStr">
        <is>
          <t>ZAKUP</t>
        </is>
      </c>
      <c r="F374" t="inlineStr">
        <is>
          <t>PZ/72   3/2026/32708/6666</t>
        </is>
      </c>
      <c r="G374" t="inlineStr">
        <is>
          <t>TAK</t>
        </is>
      </c>
      <c r="H374" t="inlineStr">
        <is>
          <t>Deklaracja</t>
        </is>
      </c>
      <c r="I374" s="20" t="n">
        <v>17</v>
      </c>
      <c r="J374" t="inlineStr">
        <is>
          <t>M3</t>
        </is>
      </c>
      <c r="K374" s="21" t="n">
        <v>112</v>
      </c>
      <c r="L374" s="21" t="n">
        <v>1904</v>
      </c>
      <c r="M374" s="21" t="n">
        <v>0</v>
      </c>
      <c r="N374" t="inlineStr">
        <is>
          <t>Drewno opałowe z lasu</t>
        </is>
      </c>
      <c r="O374" t="inlineStr">
        <is>
          <t>B</t>
        </is>
      </c>
      <c r="Q374" s="21" t="n">
        <v>0</v>
      </c>
      <c r="T374" s="22" t="n">
        <v>0</v>
      </c>
      <c r="U374" s="21" t="n">
        <v>0</v>
      </c>
      <c r="V374" s="21" t="n">
        <v>0</v>
      </c>
      <c r="W374" t="inlineStr">
        <is>
          <t>Magazyn Zabrze</t>
        </is>
      </c>
      <c r="X374" t="inlineStr">
        <is>
          <t>Magazyn Zabrze</t>
        </is>
      </c>
      <c r="Y374" t="inlineStr">
        <is>
          <t>Waga: 22 780 kg Utworzył Marcin Kwiatkowski</t>
        </is>
      </c>
      <c r="AA374" s="23" t="n">
        <v>46254.63296296296</v>
      </c>
      <c r="AB374" t="inlineStr">
        <is>
          <t>OP-MIGR-00370</t>
        </is>
      </c>
      <c r="AD374" t="inlineStr">
        <is>
          <t>AKTYWNY</t>
        </is>
      </c>
      <c r="AE374" s="20">
        <f>IF(I374="",0,IF(ISNUMBER(SEARCH("MP",UPPER(J374))),I374,IF(ISNUMBER(SEARCH("TON",UPPER(J374))),I374/Przelicznik_MP_tona,IF(ISNUMBER(SEARCH("M3",UPPER(J374))),I374*Przelicznik_M3_MP,IF(ISNUMBER(SEARCH("GJ",UPPER(J374))),I374/Przelicznik_GJ_tona/Przelicznik_MP_tona,I374)))))</f>
        <v/>
      </c>
      <c r="AF374" s="20">
        <f>IF(I374="",0,IF(ISNUMBER(SEARCH("TON",UPPER(J374))),I374,IF(ISNUMBER(SEARCH("GJ",UPPER(J374))),I374/Przelicznik_GJ_tona,AE374*Przelicznik_MP_tona)))</f>
        <v/>
      </c>
      <c r="AG374" s="20">
        <f>AF374*Przelicznik_GJ_tona</f>
        <v/>
      </c>
      <c r="AH374" s="20">
        <f>IF(UPPER(AD374)="SKORYGOWANY",0,IF(OR(UPPER(E374)="TRANSPORT",UPPER(E374)="MM"),0,IF(UPPER(G374)&lt;&gt;"TAK",0,IF(OR(UPPER(E374)="ZAKUP",UPPER(E374)="PRODUKCJA"),AE374,IF(OR(UPPER(E374)="SPRZEDAŻ",UPPER(E374)="ZUŻYCIE"),-AE374,0)))))</f>
        <v/>
      </c>
      <c r="AI374" s="20">
        <f>IF(UPPER(AD374)="SKORYGOWANY",0,IF(OR(UPPER(E374)="TRANSPORT",UPPER(E374)="MM"),0,IF(UPPER(G374)&lt;&gt;"TAK",0,IF(OR(UPPER(E374)="ZAKUP",UPPER(E374)="PRODUKCJA"),AF374,IF(OR(UPPER(E374)="SPRZEDAŻ",UPPER(E374)="ZUŻYCIE"),-AF374,0)))))</f>
        <v/>
      </c>
      <c r="AJ374" s="21">
        <f>IF(UPPER(AD374)="SKORYGOWANY",0,IF(UPPER(E374)="ZAKUP",IF(L374&lt;&gt;"",L374,I374*K374),0))</f>
        <v/>
      </c>
      <c r="AK374" s="21">
        <f>IF(UPPER(AD374)="SKORYGOWANY",0,IF(UPPER(E374)="SPRZEDAŻ",IF(L374&lt;&gt;"",L374,I374*M374),0))</f>
        <v/>
      </c>
      <c r="AL374" s="21">
        <f>AE374*Q374</f>
        <v/>
      </c>
      <c r="AM374">
        <f>IF(R374="","",IF(LOWER(R374)="brak","Brak",IF(OR(ISNUMBER(SEARCH("własn",LOWER(R374))),ISNUMBER(SEARCH("wlasn",LOWER(R374))),ISNUMBER(SEARCH("wojciechowski",LOWER(R374)))),"Własny","Zewnętrzny")))</f>
        <v/>
      </c>
      <c r="AN374" s="24">
        <f>IF(C374="","",YEAR(C374))</f>
        <v/>
      </c>
      <c r="AO374" s="24">
        <f>IF(C374="","",MONTH(C374))</f>
        <v/>
      </c>
      <c r="AP374">
        <f>IF(C374="","",UPPER(TEXT(C374,"mmmm")))</f>
        <v/>
      </c>
      <c r="AQ374">
        <f>IF(C374="","","Q"&amp;ROUNDUP(MONTH(C374)/3,0))</f>
        <v/>
      </c>
    </row>
    <row r="375">
      <c r="A375" s="19" t="n">
        <v>46246</v>
      </c>
      <c r="C375" s="19" t="n">
        <v>46246</v>
      </c>
      <c r="D375" t="inlineStr">
        <is>
          <t>Magazyn Zabrze</t>
        </is>
      </c>
      <c r="E375" t="inlineStr">
        <is>
          <t>PRODUKCJA</t>
        </is>
      </c>
      <c r="F375" t="inlineStr">
        <is>
          <t>PZ/72</t>
        </is>
      </c>
      <c r="G375" t="inlineStr">
        <is>
          <t>TAK</t>
        </is>
      </c>
      <c r="H375" t="inlineStr">
        <is>
          <t>Deklaracja</t>
        </is>
      </c>
      <c r="I375" s="20" t="n">
        <v>68</v>
      </c>
      <c r="J375" t="inlineStr">
        <is>
          <t>MP</t>
        </is>
      </c>
      <c r="K375" s="21" t="n">
        <v>0</v>
      </c>
      <c r="L375" s="21" t="n">
        <v>0</v>
      </c>
      <c r="M375" s="21" t="n">
        <v>0</v>
      </c>
      <c r="N375" t="inlineStr">
        <is>
          <t>Zrębka Produkcyjna Leśna</t>
        </is>
      </c>
      <c r="O375" t="inlineStr">
        <is>
          <t>B</t>
        </is>
      </c>
      <c r="P375" t="inlineStr">
        <is>
          <t>własne</t>
        </is>
      </c>
      <c r="Q375" s="21" t="n">
        <v>10</v>
      </c>
      <c r="T375" s="22" t="n">
        <v>0</v>
      </c>
      <c r="U375" s="21" t="n">
        <v>0</v>
      </c>
      <c r="V375" s="21" t="n">
        <v>0</v>
      </c>
      <c r="W375" t="inlineStr">
        <is>
          <t>Magazyn Zabrze</t>
        </is>
      </c>
      <c r="X375" t="inlineStr">
        <is>
          <t>Magazyn Zabrze</t>
        </is>
      </c>
      <c r="Y375" t="inlineStr">
        <is>
          <t>Rębak z Brąszewic, rębakowy Łukasz Kempski</t>
        </is>
      </c>
      <c r="Z375" t="inlineStr">
        <is>
          <t>Marcin Kwiatkowski</t>
        </is>
      </c>
      <c r="AA375" s="23" t="n">
        <v>46254.63387731482</v>
      </c>
      <c r="AB375" t="inlineStr">
        <is>
          <t>OP-MIGR-00371</t>
        </is>
      </c>
      <c r="AD375" t="inlineStr">
        <is>
          <t>AKTYWNY</t>
        </is>
      </c>
      <c r="AE375" s="20">
        <f>IF(I375="",0,IF(ISNUMBER(SEARCH("MP",UPPER(J375))),I375,IF(ISNUMBER(SEARCH("TON",UPPER(J375))),I375/Przelicznik_MP_tona,IF(ISNUMBER(SEARCH("M3",UPPER(J375))),I375*Przelicznik_M3_MP,IF(ISNUMBER(SEARCH("GJ",UPPER(J375))),I375/Przelicznik_GJ_tona/Przelicznik_MP_tona,I375)))))</f>
        <v/>
      </c>
      <c r="AF375" s="20">
        <f>IF(I375="",0,IF(ISNUMBER(SEARCH("TON",UPPER(J375))),I375,IF(ISNUMBER(SEARCH("GJ",UPPER(J375))),I375/Przelicznik_GJ_tona,AE375*Przelicznik_MP_tona)))</f>
        <v/>
      </c>
      <c r="AG375" s="20">
        <f>AF375*Przelicznik_GJ_tona</f>
        <v/>
      </c>
      <c r="AH375" s="20">
        <f>IF(UPPER(AD375)="SKORYGOWANY",0,IF(OR(UPPER(E375)="TRANSPORT",UPPER(E375)="MM"),0,IF(UPPER(G375)&lt;&gt;"TAK",0,IF(OR(UPPER(E375)="ZAKUP",UPPER(E375)="PRODUKCJA"),AE375,IF(OR(UPPER(E375)="SPRZEDAŻ",UPPER(E375)="ZUŻYCIE"),-AE375,0)))))</f>
        <v/>
      </c>
      <c r="AI375" s="20">
        <f>IF(UPPER(AD375)="SKORYGOWANY",0,IF(OR(UPPER(E375)="TRANSPORT",UPPER(E375)="MM"),0,IF(UPPER(G375)&lt;&gt;"TAK",0,IF(OR(UPPER(E375)="ZAKUP",UPPER(E375)="PRODUKCJA"),AF375,IF(OR(UPPER(E375)="SPRZEDAŻ",UPPER(E375)="ZUŻYCIE"),-AF375,0)))))</f>
        <v/>
      </c>
      <c r="AJ375" s="21">
        <f>IF(UPPER(AD375)="SKORYGOWANY",0,IF(UPPER(E375)="ZAKUP",IF(L375&lt;&gt;"",L375,I375*K375),0))</f>
        <v/>
      </c>
      <c r="AK375" s="21">
        <f>IF(UPPER(AD375)="SKORYGOWANY",0,IF(UPPER(E375)="SPRZEDAŻ",IF(L375&lt;&gt;"",L375,I375*M375),0))</f>
        <v/>
      </c>
      <c r="AL375" s="21">
        <f>AE375*Q375</f>
        <v/>
      </c>
      <c r="AM375">
        <f>IF(R375="","",IF(LOWER(R375)="brak","Brak",IF(OR(ISNUMBER(SEARCH("własn",LOWER(R375))),ISNUMBER(SEARCH("wlasn",LOWER(R375))),ISNUMBER(SEARCH("wojciechowski",LOWER(R375)))),"Własny","Zewnętrzny")))</f>
        <v/>
      </c>
      <c r="AN375" s="24">
        <f>IF(C375="","",YEAR(C375))</f>
        <v/>
      </c>
      <c r="AO375" s="24">
        <f>IF(C375="","",MONTH(C375))</f>
        <v/>
      </c>
      <c r="AP375">
        <f>IF(C375="","",UPPER(TEXT(C375,"mmmm")))</f>
        <v/>
      </c>
      <c r="AQ375">
        <f>IF(C375="","","Q"&amp;ROUNDUP(MONTH(C375)/3,0))</f>
        <v/>
      </c>
    </row>
    <row r="376">
      <c r="A376" s="19" t="n">
        <v>46246</v>
      </c>
      <c r="C376" s="19" t="n">
        <v>46246</v>
      </c>
      <c r="D376" t="inlineStr">
        <is>
          <t>Magazyn Zabrze</t>
        </is>
      </c>
      <c r="E376" t="inlineStr">
        <is>
          <t>ZUŻYCIE</t>
        </is>
      </c>
      <c r="F376" t="inlineStr">
        <is>
          <t>PZ/72</t>
        </is>
      </c>
      <c r="G376" t="inlineStr">
        <is>
          <t>TAK</t>
        </is>
      </c>
      <c r="H376" t="inlineStr">
        <is>
          <t>Deklaracja</t>
        </is>
      </c>
      <c r="I376" s="20" t="n">
        <v>68</v>
      </c>
      <c r="J376" t="inlineStr">
        <is>
          <t>MP</t>
        </is>
      </c>
      <c r="K376" s="21" t="n">
        <v>0</v>
      </c>
      <c r="L376" s="21" t="n">
        <v>0</v>
      </c>
      <c r="M376" s="21" t="n">
        <v>0</v>
      </c>
      <c r="N376" t="inlineStr">
        <is>
          <t>Zrębka Produkcyjna Leśna</t>
        </is>
      </c>
      <c r="O376" t="inlineStr">
        <is>
          <t>B</t>
        </is>
      </c>
      <c r="P376" t="inlineStr">
        <is>
          <t>własne</t>
        </is>
      </c>
      <c r="Q376" s="21" t="n">
        <v>10</v>
      </c>
      <c r="T376" s="22" t="n">
        <v>0</v>
      </c>
      <c r="U376" s="21" t="n">
        <v>0</v>
      </c>
      <c r="V376" s="21" t="n">
        <v>0</v>
      </c>
      <c r="W376" t="inlineStr">
        <is>
          <t>Magazyn Zabrze</t>
        </is>
      </c>
      <c r="X376" t="inlineStr">
        <is>
          <t>Magazyn Zabrze</t>
        </is>
      </c>
      <c r="Y376" t="inlineStr">
        <is>
          <t>Automatyczne zużycie surowca do produkcji</t>
        </is>
      </c>
      <c r="AA376" s="23" t="n">
        <v>46254.63387731482</v>
      </c>
      <c r="AB376" t="inlineStr">
        <is>
          <t>OP-MIGR-00372</t>
        </is>
      </c>
      <c r="AD376" t="inlineStr">
        <is>
          <t>AKTYWNY</t>
        </is>
      </c>
      <c r="AE376" s="20">
        <f>IF(I376="",0,IF(ISNUMBER(SEARCH("MP",UPPER(J376))),I376,IF(ISNUMBER(SEARCH("TON",UPPER(J376))),I376/Przelicznik_MP_tona,IF(ISNUMBER(SEARCH("M3",UPPER(J376))),I376*Przelicznik_M3_MP,IF(ISNUMBER(SEARCH("GJ",UPPER(J376))),I376/Przelicznik_GJ_tona/Przelicznik_MP_tona,I376)))))</f>
        <v/>
      </c>
      <c r="AF376" s="20">
        <f>IF(I376="",0,IF(ISNUMBER(SEARCH("TON",UPPER(J376))),I376,IF(ISNUMBER(SEARCH("GJ",UPPER(J376))),I376/Przelicznik_GJ_tona,AE376*Przelicznik_MP_tona)))</f>
        <v/>
      </c>
      <c r="AG376" s="20">
        <f>AF376*Przelicznik_GJ_tona</f>
        <v/>
      </c>
      <c r="AH376" s="20">
        <f>IF(UPPER(AD376)="SKORYGOWANY",0,IF(OR(UPPER(E376)="TRANSPORT",UPPER(E376)="MM"),0,IF(UPPER(G376)&lt;&gt;"TAK",0,IF(OR(UPPER(E376)="ZAKUP",UPPER(E376)="PRODUKCJA"),AE376,IF(OR(UPPER(E376)="SPRZEDAŻ",UPPER(E376)="ZUŻYCIE"),-AE376,0)))))</f>
        <v/>
      </c>
      <c r="AI376" s="20">
        <f>IF(UPPER(AD376)="SKORYGOWANY",0,IF(OR(UPPER(E376)="TRANSPORT",UPPER(E376)="MM"),0,IF(UPPER(G376)&lt;&gt;"TAK",0,IF(OR(UPPER(E376)="ZAKUP",UPPER(E376)="PRODUKCJA"),AF376,IF(OR(UPPER(E376)="SPRZEDAŻ",UPPER(E376)="ZUŻYCIE"),-AF376,0)))))</f>
        <v/>
      </c>
      <c r="AJ376" s="21">
        <f>IF(UPPER(AD376)="SKORYGOWANY",0,IF(UPPER(E376)="ZAKUP",IF(L376&lt;&gt;"",L376,I376*K376),0))</f>
        <v/>
      </c>
      <c r="AK376" s="21">
        <f>IF(UPPER(AD376)="SKORYGOWANY",0,IF(UPPER(E376)="SPRZEDAŻ",IF(L376&lt;&gt;"",L376,I376*M376),0))</f>
        <v/>
      </c>
      <c r="AL376" s="21">
        <f>AE376*Q376</f>
        <v/>
      </c>
      <c r="AM376">
        <f>IF(R376="","",IF(LOWER(R376)="brak","Brak",IF(OR(ISNUMBER(SEARCH("własn",LOWER(R376))),ISNUMBER(SEARCH("wlasn",LOWER(R376))),ISNUMBER(SEARCH("wojciechowski",LOWER(R376)))),"Własny","Zewnętrzny")))</f>
        <v/>
      </c>
      <c r="AN376" s="24">
        <f>IF(C376="","",YEAR(C376))</f>
        <v/>
      </c>
      <c r="AO376" s="24">
        <f>IF(C376="","",MONTH(C376))</f>
        <v/>
      </c>
      <c r="AP376">
        <f>IF(C376="","",UPPER(TEXT(C376,"mmmm")))</f>
        <v/>
      </c>
      <c r="AQ376">
        <f>IF(C376="","","Q"&amp;ROUNDUP(MONTH(C376)/3,0))</f>
        <v/>
      </c>
    </row>
    <row r="377">
      <c r="A377" s="19" t="n">
        <v>46246</v>
      </c>
      <c r="B377" t="inlineStr">
        <is>
          <t>Mieczysko</t>
        </is>
      </c>
      <c r="C377" s="19" t="n">
        <v>46246</v>
      </c>
      <c r="D377" t="inlineStr">
        <is>
          <t>Magazyn Zabrze</t>
        </is>
      </c>
      <c r="E377" t="inlineStr">
        <is>
          <t>ZAKUP</t>
        </is>
      </c>
      <c r="F377" t="inlineStr">
        <is>
          <t>PZ/72</t>
        </is>
      </c>
      <c r="G377" t="inlineStr">
        <is>
          <t>TAK</t>
        </is>
      </c>
      <c r="H377" t="inlineStr">
        <is>
          <t>Deklaracja</t>
        </is>
      </c>
      <c r="I377" s="20" t="n">
        <v>68</v>
      </c>
      <c r="J377" t="inlineStr">
        <is>
          <t>MP</t>
        </is>
      </c>
      <c r="K377" s="21" t="n">
        <v>0</v>
      </c>
      <c r="L377" s="21" t="n">
        <v>0</v>
      </c>
      <c r="M377" s="21" t="n">
        <v>0</v>
      </c>
      <c r="N377" t="inlineStr">
        <is>
          <t>Zrębka Produkcyjna Leśna</t>
        </is>
      </c>
      <c r="O377" t="inlineStr">
        <is>
          <t>B</t>
        </is>
      </c>
      <c r="Q377" s="21" t="n">
        <v>0</v>
      </c>
      <c r="R377" t="inlineStr">
        <is>
          <t>własny (Kretek)</t>
        </is>
      </c>
      <c r="S377" t="inlineStr">
        <is>
          <t>SK 7J885</t>
        </is>
      </c>
      <c r="T377" s="22" t="n">
        <v>62</v>
      </c>
      <c r="U377" s="21" t="n">
        <v>5</v>
      </c>
      <c r="V377" s="21" t="n">
        <v>310</v>
      </c>
      <c r="W377" t="inlineStr">
        <is>
          <t>Magazyn Zabrze</t>
        </is>
      </c>
      <c r="X377" t="inlineStr">
        <is>
          <t>Magazyn Zabrze</t>
        </is>
      </c>
      <c r="Z377" t="inlineStr">
        <is>
          <t>Marcin Kwiatkowski</t>
        </is>
      </c>
      <c r="AA377" s="23" t="n">
        <v>46254.6359375</v>
      </c>
      <c r="AB377" t="inlineStr">
        <is>
          <t>OP-MIGR-00373</t>
        </is>
      </c>
      <c r="AD377" t="inlineStr">
        <is>
          <t>AKTYWNY</t>
        </is>
      </c>
      <c r="AE377" s="20">
        <f>IF(I377="",0,IF(ISNUMBER(SEARCH("MP",UPPER(J377))),I377,IF(ISNUMBER(SEARCH("TON",UPPER(J377))),I377/Przelicznik_MP_tona,IF(ISNUMBER(SEARCH("M3",UPPER(J377))),I377*Przelicznik_M3_MP,IF(ISNUMBER(SEARCH("GJ",UPPER(J377))),I377/Przelicznik_GJ_tona/Przelicznik_MP_tona,I377)))))</f>
        <v/>
      </c>
      <c r="AF377" s="20">
        <f>IF(I377="",0,IF(ISNUMBER(SEARCH("TON",UPPER(J377))),I377,IF(ISNUMBER(SEARCH("GJ",UPPER(J377))),I377/Przelicznik_GJ_tona,AE377*Przelicznik_MP_tona)))</f>
        <v/>
      </c>
      <c r="AG377" s="20">
        <f>AF377*Przelicznik_GJ_tona</f>
        <v/>
      </c>
      <c r="AH377" s="20">
        <f>IF(UPPER(AD377)="SKORYGOWANY",0,IF(OR(UPPER(E377)="TRANSPORT",UPPER(E377)="MM"),0,IF(UPPER(G377)&lt;&gt;"TAK",0,IF(OR(UPPER(E377)="ZAKUP",UPPER(E377)="PRODUKCJA"),AE377,IF(OR(UPPER(E377)="SPRZEDAŻ",UPPER(E377)="ZUŻYCIE"),-AE377,0)))))</f>
        <v/>
      </c>
      <c r="AI377" s="20">
        <f>IF(UPPER(AD377)="SKORYGOWANY",0,IF(OR(UPPER(E377)="TRANSPORT",UPPER(E377)="MM"),0,IF(UPPER(G377)&lt;&gt;"TAK",0,IF(OR(UPPER(E377)="ZAKUP",UPPER(E377)="PRODUKCJA"),AF377,IF(OR(UPPER(E377)="SPRZEDAŻ",UPPER(E377)="ZUŻYCIE"),-AF377,0)))))</f>
        <v/>
      </c>
      <c r="AJ377" s="21">
        <f>IF(UPPER(AD377)="SKORYGOWANY",0,IF(UPPER(E377)="ZAKUP",IF(L377&lt;&gt;"",L377,I377*K377),0))</f>
        <v/>
      </c>
      <c r="AK377" s="21">
        <f>IF(UPPER(AD377)="SKORYGOWANY",0,IF(UPPER(E377)="SPRZEDAŻ",IF(L377&lt;&gt;"",L377,I377*M377),0))</f>
        <v/>
      </c>
      <c r="AL377" s="21">
        <f>AE377*Q377</f>
        <v/>
      </c>
      <c r="AM377">
        <f>IF(R377="","",IF(LOWER(R377)="brak","Brak",IF(OR(ISNUMBER(SEARCH("własn",LOWER(R377))),ISNUMBER(SEARCH("wlasn",LOWER(R377))),ISNUMBER(SEARCH("wojciechowski",LOWER(R377)))),"Własny","Zewnętrzny")))</f>
        <v/>
      </c>
      <c r="AN377" s="24">
        <f>IF(C377="","",YEAR(C377))</f>
        <v/>
      </c>
      <c r="AO377" s="24">
        <f>IF(C377="","",MONTH(C377))</f>
        <v/>
      </c>
      <c r="AP377">
        <f>IF(C377="","",UPPER(TEXT(C377,"mmmm")))</f>
        <v/>
      </c>
      <c r="AQ377">
        <f>IF(C377="","","Q"&amp;ROUNDUP(MONTH(C377)/3,0))</f>
        <v/>
      </c>
    </row>
    <row r="378">
      <c r="A378" s="19" t="n">
        <v>46246</v>
      </c>
      <c r="C378" s="19" t="n">
        <v>46246</v>
      </c>
      <c r="D378" t="inlineStr">
        <is>
          <t>NDL Świerklaniec, Leśnictwo Mieczysko</t>
        </is>
      </c>
      <c r="E378" t="inlineStr">
        <is>
          <t>ZAKUP</t>
        </is>
      </c>
      <c r="F378" t="inlineStr">
        <is>
          <t>PZ/73   3/202632708/6669</t>
        </is>
      </c>
      <c r="G378" t="inlineStr">
        <is>
          <t>TAK</t>
        </is>
      </c>
      <c r="H378" t="inlineStr">
        <is>
          <t>Deklaracja</t>
        </is>
      </c>
      <c r="I378" s="20" t="n">
        <v>17</v>
      </c>
      <c r="J378" t="inlineStr">
        <is>
          <t>M3</t>
        </is>
      </c>
      <c r="K378" s="21" t="n">
        <v>112</v>
      </c>
      <c r="L378" s="21" t="n">
        <v>1904</v>
      </c>
      <c r="M378" s="21" t="n">
        <v>0</v>
      </c>
      <c r="N378" t="inlineStr">
        <is>
          <t>Drewno opałowe z lasu</t>
        </is>
      </c>
      <c r="Q378" s="21" t="n">
        <v>0</v>
      </c>
      <c r="T378" s="22" t="n">
        <v>0</v>
      </c>
      <c r="U378" s="21" t="n">
        <v>0</v>
      </c>
      <c r="V378" s="21" t="n">
        <v>0</v>
      </c>
      <c r="W378" t="inlineStr">
        <is>
          <t>Magazyn Zabrze</t>
        </is>
      </c>
      <c r="X378" t="inlineStr">
        <is>
          <t>Magazyn Zabrze</t>
        </is>
      </c>
      <c r="Y378" t="inlineStr">
        <is>
          <t>Waga: 22 480 kg</t>
        </is>
      </c>
      <c r="Z378" t="inlineStr">
        <is>
          <t>Marcin Kwiatkowski</t>
        </is>
      </c>
      <c r="AA378" s="23" t="n">
        <v>46254.63802083334</v>
      </c>
      <c r="AB378" t="inlineStr">
        <is>
          <t>OP-MIGR-00374</t>
        </is>
      </c>
      <c r="AD378" t="inlineStr">
        <is>
          <t>AKTYWNY</t>
        </is>
      </c>
      <c r="AE378" s="20">
        <f>IF(I378="",0,IF(ISNUMBER(SEARCH("MP",UPPER(J378))),I378,IF(ISNUMBER(SEARCH("TON",UPPER(J378))),I378/Przelicznik_MP_tona,IF(ISNUMBER(SEARCH("M3",UPPER(J378))),I378*Przelicznik_M3_MP,IF(ISNUMBER(SEARCH("GJ",UPPER(J378))),I378/Przelicznik_GJ_tona/Przelicznik_MP_tona,I378)))))</f>
        <v/>
      </c>
      <c r="AF378" s="20">
        <f>IF(I378="",0,IF(ISNUMBER(SEARCH("TON",UPPER(J378))),I378,IF(ISNUMBER(SEARCH("GJ",UPPER(J378))),I378/Przelicznik_GJ_tona,AE378*Przelicznik_MP_tona)))</f>
        <v/>
      </c>
      <c r="AG378" s="20">
        <f>AF378*Przelicznik_GJ_tona</f>
        <v/>
      </c>
      <c r="AH378" s="20">
        <f>IF(UPPER(AD378)="SKORYGOWANY",0,IF(OR(UPPER(E378)="TRANSPORT",UPPER(E378)="MM"),0,IF(UPPER(G378)&lt;&gt;"TAK",0,IF(OR(UPPER(E378)="ZAKUP",UPPER(E378)="PRODUKCJA"),AE378,IF(OR(UPPER(E378)="SPRZEDAŻ",UPPER(E378)="ZUŻYCIE"),-AE378,0)))))</f>
        <v/>
      </c>
      <c r="AI378" s="20">
        <f>IF(UPPER(AD378)="SKORYGOWANY",0,IF(OR(UPPER(E378)="TRANSPORT",UPPER(E378)="MM"),0,IF(UPPER(G378)&lt;&gt;"TAK",0,IF(OR(UPPER(E378)="ZAKUP",UPPER(E378)="PRODUKCJA"),AF378,IF(OR(UPPER(E378)="SPRZEDAŻ",UPPER(E378)="ZUŻYCIE"),-AF378,0)))))</f>
        <v/>
      </c>
      <c r="AJ378" s="21">
        <f>IF(UPPER(AD378)="SKORYGOWANY",0,IF(UPPER(E378)="ZAKUP",IF(L378&lt;&gt;"",L378,I378*K378),0))</f>
        <v/>
      </c>
      <c r="AK378" s="21">
        <f>IF(UPPER(AD378)="SKORYGOWANY",0,IF(UPPER(E378)="SPRZEDAŻ",IF(L378&lt;&gt;"",L378,I378*M378),0))</f>
        <v/>
      </c>
      <c r="AL378" s="21">
        <f>AE378*Q378</f>
        <v/>
      </c>
      <c r="AM378">
        <f>IF(R378="","",IF(LOWER(R378)="brak","Brak",IF(OR(ISNUMBER(SEARCH("własn",LOWER(R378))),ISNUMBER(SEARCH("wlasn",LOWER(R378))),ISNUMBER(SEARCH("wojciechowski",LOWER(R378)))),"Własny","Zewnętrzny")))</f>
        <v/>
      </c>
      <c r="AN378" s="24">
        <f>IF(C378="","",YEAR(C378))</f>
        <v/>
      </c>
      <c r="AO378" s="24">
        <f>IF(C378="","",MONTH(C378))</f>
        <v/>
      </c>
      <c r="AP378">
        <f>IF(C378="","",UPPER(TEXT(C378,"mmmm")))</f>
        <v/>
      </c>
      <c r="AQ378">
        <f>IF(C378="","","Q"&amp;ROUNDUP(MONTH(C378)/3,0))</f>
        <v/>
      </c>
    </row>
    <row r="379">
      <c r="A379" s="19" t="n">
        <v>46246</v>
      </c>
      <c r="C379" s="19" t="n">
        <v>46246</v>
      </c>
      <c r="D379" t="inlineStr">
        <is>
          <t>Magazyn Zabrze</t>
        </is>
      </c>
      <c r="E379" t="inlineStr">
        <is>
          <t>PRODUKCJA</t>
        </is>
      </c>
      <c r="F379" t="inlineStr">
        <is>
          <t>PZ/73</t>
        </is>
      </c>
      <c r="G379" t="inlineStr">
        <is>
          <t>TAK</t>
        </is>
      </c>
      <c r="H379" t="inlineStr">
        <is>
          <t>Deklaracja</t>
        </is>
      </c>
      <c r="I379" s="20" t="n">
        <v>68</v>
      </c>
      <c r="J379" t="inlineStr">
        <is>
          <t>MP</t>
        </is>
      </c>
      <c r="K379" s="21" t="n">
        <v>0</v>
      </c>
      <c r="L379" s="21" t="n">
        <v>0</v>
      </c>
      <c r="M379" s="21" t="n">
        <v>0</v>
      </c>
      <c r="N379" t="inlineStr">
        <is>
          <t>Zrębka Produkcyjna Leśna</t>
        </is>
      </c>
      <c r="O379" t="inlineStr">
        <is>
          <t>B</t>
        </is>
      </c>
      <c r="P379" t="inlineStr">
        <is>
          <t>własne</t>
        </is>
      </c>
      <c r="Q379" s="21" t="n">
        <v>10</v>
      </c>
      <c r="T379" s="22" t="n">
        <v>0</v>
      </c>
      <c r="U379" s="21" t="n">
        <v>0</v>
      </c>
      <c r="V379" s="21" t="n">
        <v>0</v>
      </c>
      <c r="W379" t="inlineStr">
        <is>
          <t>Magazyn Zabrze</t>
        </is>
      </c>
      <c r="X379" t="inlineStr">
        <is>
          <t>Magazyn Zabrze</t>
        </is>
      </c>
      <c r="Y379" t="inlineStr">
        <is>
          <t>Rębak z Brąszewic, rębakowy Łukasz Kempski</t>
        </is>
      </c>
      <c r="Z379" t="inlineStr">
        <is>
          <t>Marcin Kwiatkowski</t>
        </is>
      </c>
      <c r="AA379" s="23" t="n">
        <v>46254.63896990741</v>
      </c>
      <c r="AB379" t="inlineStr">
        <is>
          <t>OP-MIGR-00375</t>
        </is>
      </c>
      <c r="AD379" t="inlineStr">
        <is>
          <t>AKTYWNY</t>
        </is>
      </c>
      <c r="AE379" s="20">
        <f>IF(I379="",0,IF(ISNUMBER(SEARCH("MP",UPPER(J379))),I379,IF(ISNUMBER(SEARCH("TON",UPPER(J379))),I379/Przelicznik_MP_tona,IF(ISNUMBER(SEARCH("M3",UPPER(J379))),I379*Przelicznik_M3_MP,IF(ISNUMBER(SEARCH("GJ",UPPER(J379))),I379/Przelicznik_GJ_tona/Przelicznik_MP_tona,I379)))))</f>
        <v/>
      </c>
      <c r="AF379" s="20">
        <f>IF(I379="",0,IF(ISNUMBER(SEARCH("TON",UPPER(J379))),I379,IF(ISNUMBER(SEARCH("GJ",UPPER(J379))),I379/Przelicznik_GJ_tona,AE379*Przelicznik_MP_tona)))</f>
        <v/>
      </c>
      <c r="AG379" s="20">
        <f>AF379*Przelicznik_GJ_tona</f>
        <v/>
      </c>
      <c r="AH379" s="20">
        <f>IF(UPPER(AD379)="SKORYGOWANY",0,IF(OR(UPPER(E379)="TRANSPORT",UPPER(E379)="MM"),0,IF(UPPER(G379)&lt;&gt;"TAK",0,IF(OR(UPPER(E379)="ZAKUP",UPPER(E379)="PRODUKCJA"),AE379,IF(OR(UPPER(E379)="SPRZEDAŻ",UPPER(E379)="ZUŻYCIE"),-AE379,0)))))</f>
        <v/>
      </c>
      <c r="AI379" s="20">
        <f>IF(UPPER(AD379)="SKORYGOWANY",0,IF(OR(UPPER(E379)="TRANSPORT",UPPER(E379)="MM"),0,IF(UPPER(G379)&lt;&gt;"TAK",0,IF(OR(UPPER(E379)="ZAKUP",UPPER(E379)="PRODUKCJA"),AF379,IF(OR(UPPER(E379)="SPRZEDAŻ",UPPER(E379)="ZUŻYCIE"),-AF379,0)))))</f>
        <v/>
      </c>
      <c r="AJ379" s="21">
        <f>IF(UPPER(AD379)="SKORYGOWANY",0,IF(UPPER(E379)="ZAKUP",IF(L379&lt;&gt;"",L379,I379*K379),0))</f>
        <v/>
      </c>
      <c r="AK379" s="21">
        <f>IF(UPPER(AD379)="SKORYGOWANY",0,IF(UPPER(E379)="SPRZEDAŻ",IF(L379&lt;&gt;"",L379,I379*M379),0))</f>
        <v/>
      </c>
      <c r="AL379" s="21">
        <f>AE379*Q379</f>
        <v/>
      </c>
      <c r="AM379">
        <f>IF(R379="","",IF(LOWER(R379)="brak","Brak",IF(OR(ISNUMBER(SEARCH("własn",LOWER(R379))),ISNUMBER(SEARCH("wlasn",LOWER(R379))),ISNUMBER(SEARCH("wojciechowski",LOWER(R379)))),"Własny","Zewnętrzny")))</f>
        <v/>
      </c>
      <c r="AN379" s="24">
        <f>IF(C379="","",YEAR(C379))</f>
        <v/>
      </c>
      <c r="AO379" s="24">
        <f>IF(C379="","",MONTH(C379))</f>
        <v/>
      </c>
      <c r="AP379">
        <f>IF(C379="","",UPPER(TEXT(C379,"mmmm")))</f>
        <v/>
      </c>
      <c r="AQ379">
        <f>IF(C379="","","Q"&amp;ROUNDUP(MONTH(C379)/3,0))</f>
        <v/>
      </c>
    </row>
    <row r="380">
      <c r="A380" s="19" t="n">
        <v>46246</v>
      </c>
      <c r="C380" s="19" t="n">
        <v>46246</v>
      </c>
      <c r="D380" t="inlineStr">
        <is>
          <t>Magazyn Zabrze</t>
        </is>
      </c>
      <c r="E380" t="inlineStr">
        <is>
          <t>ZUŻYCIE</t>
        </is>
      </c>
      <c r="F380" t="inlineStr">
        <is>
          <t>PZ/73</t>
        </is>
      </c>
      <c r="G380" t="inlineStr">
        <is>
          <t>TAK</t>
        </is>
      </c>
      <c r="H380" t="inlineStr">
        <is>
          <t>Deklaracja</t>
        </is>
      </c>
      <c r="I380" s="20" t="n">
        <v>68</v>
      </c>
      <c r="J380" t="inlineStr">
        <is>
          <t>MP</t>
        </is>
      </c>
      <c r="K380" s="21" t="n">
        <v>0</v>
      </c>
      <c r="L380" s="21" t="n">
        <v>0</v>
      </c>
      <c r="M380" s="21" t="n">
        <v>0</v>
      </c>
      <c r="N380" t="inlineStr">
        <is>
          <t>Zrębka Produkcyjna Leśna</t>
        </is>
      </c>
      <c r="O380" t="inlineStr">
        <is>
          <t>B</t>
        </is>
      </c>
      <c r="P380" t="inlineStr">
        <is>
          <t>własne</t>
        </is>
      </c>
      <c r="Q380" s="21" t="n">
        <v>10</v>
      </c>
      <c r="T380" s="22" t="n">
        <v>0</v>
      </c>
      <c r="U380" s="21" t="n">
        <v>0</v>
      </c>
      <c r="V380" s="21" t="n">
        <v>0</v>
      </c>
      <c r="W380" t="inlineStr">
        <is>
          <t>Magazyn Zabrze</t>
        </is>
      </c>
      <c r="X380" t="inlineStr">
        <is>
          <t>Magazyn Zabrze</t>
        </is>
      </c>
      <c r="Y380" t="inlineStr">
        <is>
          <t>Automatyczne zużycie surowca do produkcji</t>
        </is>
      </c>
      <c r="AA380" s="23" t="n">
        <v>46254.63896990741</v>
      </c>
      <c r="AB380" t="inlineStr">
        <is>
          <t>OP-MIGR-00376</t>
        </is>
      </c>
      <c r="AD380" t="inlineStr">
        <is>
          <t>AKTYWNY</t>
        </is>
      </c>
      <c r="AE380" s="20">
        <f>IF(I380="",0,IF(ISNUMBER(SEARCH("MP",UPPER(J380))),I380,IF(ISNUMBER(SEARCH("TON",UPPER(J380))),I380/Przelicznik_MP_tona,IF(ISNUMBER(SEARCH("M3",UPPER(J380))),I380*Przelicznik_M3_MP,IF(ISNUMBER(SEARCH("GJ",UPPER(J380))),I380/Przelicznik_GJ_tona/Przelicznik_MP_tona,I380)))))</f>
        <v/>
      </c>
      <c r="AF380" s="20">
        <f>IF(I380="",0,IF(ISNUMBER(SEARCH("TON",UPPER(J380))),I380,IF(ISNUMBER(SEARCH("GJ",UPPER(J380))),I380/Przelicznik_GJ_tona,AE380*Przelicznik_MP_tona)))</f>
        <v/>
      </c>
      <c r="AG380" s="20">
        <f>AF380*Przelicznik_GJ_tona</f>
        <v/>
      </c>
      <c r="AH380" s="20">
        <f>IF(UPPER(AD380)="SKORYGOWANY",0,IF(OR(UPPER(E380)="TRANSPORT",UPPER(E380)="MM"),0,IF(UPPER(G380)&lt;&gt;"TAK",0,IF(OR(UPPER(E380)="ZAKUP",UPPER(E380)="PRODUKCJA"),AE380,IF(OR(UPPER(E380)="SPRZEDAŻ",UPPER(E380)="ZUŻYCIE"),-AE380,0)))))</f>
        <v/>
      </c>
      <c r="AI380" s="20">
        <f>IF(UPPER(AD380)="SKORYGOWANY",0,IF(OR(UPPER(E380)="TRANSPORT",UPPER(E380)="MM"),0,IF(UPPER(G380)&lt;&gt;"TAK",0,IF(OR(UPPER(E380)="ZAKUP",UPPER(E380)="PRODUKCJA"),AF380,IF(OR(UPPER(E380)="SPRZEDAŻ",UPPER(E380)="ZUŻYCIE"),-AF380,0)))))</f>
        <v/>
      </c>
      <c r="AJ380" s="21">
        <f>IF(UPPER(AD380)="SKORYGOWANY",0,IF(UPPER(E380)="ZAKUP",IF(L380&lt;&gt;"",L380,I380*K380),0))</f>
        <v/>
      </c>
      <c r="AK380" s="21">
        <f>IF(UPPER(AD380)="SKORYGOWANY",0,IF(UPPER(E380)="SPRZEDAŻ",IF(L380&lt;&gt;"",L380,I380*M380),0))</f>
        <v/>
      </c>
      <c r="AL380" s="21">
        <f>AE380*Q380</f>
        <v/>
      </c>
      <c r="AM380">
        <f>IF(R380="","",IF(LOWER(R380)="brak","Brak",IF(OR(ISNUMBER(SEARCH("własn",LOWER(R380))),ISNUMBER(SEARCH("wlasn",LOWER(R380))),ISNUMBER(SEARCH("wojciechowski",LOWER(R380)))),"Własny","Zewnętrzny")))</f>
        <v/>
      </c>
      <c r="AN380" s="24">
        <f>IF(C380="","",YEAR(C380))</f>
        <v/>
      </c>
      <c r="AO380" s="24">
        <f>IF(C380="","",MONTH(C380))</f>
        <v/>
      </c>
      <c r="AP380">
        <f>IF(C380="","",UPPER(TEXT(C380,"mmmm")))</f>
        <v/>
      </c>
      <c r="AQ380">
        <f>IF(C380="","","Q"&amp;ROUNDUP(MONTH(C380)/3,0))</f>
        <v/>
      </c>
    </row>
    <row r="381">
      <c r="A381" s="19" t="n">
        <v>46246</v>
      </c>
      <c r="B381" t="inlineStr">
        <is>
          <t>Mieczysko</t>
        </is>
      </c>
      <c r="C381" s="19" t="n">
        <v>46246</v>
      </c>
      <c r="D381" t="inlineStr">
        <is>
          <t>Magazyn Zabrze</t>
        </is>
      </c>
      <c r="E381" t="inlineStr">
        <is>
          <t>ZAKUP</t>
        </is>
      </c>
      <c r="F381" t="inlineStr">
        <is>
          <t>PZ/73</t>
        </is>
      </c>
      <c r="G381" t="inlineStr">
        <is>
          <t>TAK</t>
        </is>
      </c>
      <c r="H381" t="inlineStr">
        <is>
          <t>Deklaracja</t>
        </is>
      </c>
      <c r="I381" s="20" t="n">
        <v>68</v>
      </c>
      <c r="J381" t="inlineStr">
        <is>
          <t>MP</t>
        </is>
      </c>
      <c r="K381" s="21" t="n">
        <v>0</v>
      </c>
      <c r="L381" s="21" t="n">
        <v>0</v>
      </c>
      <c r="M381" s="21" t="n">
        <v>0</v>
      </c>
      <c r="N381" t="inlineStr">
        <is>
          <t>Zrębka Produkcyjna Leśna</t>
        </is>
      </c>
      <c r="O381" t="inlineStr">
        <is>
          <t>B</t>
        </is>
      </c>
      <c r="Q381" s="21" t="n">
        <v>0</v>
      </c>
      <c r="R381" t="inlineStr">
        <is>
          <t>własny (Wilczak)</t>
        </is>
      </c>
      <c r="S381" t="inlineStr">
        <is>
          <t>SK 7J884</t>
        </is>
      </c>
      <c r="T381" s="22" t="n">
        <v>62</v>
      </c>
      <c r="U381" s="21" t="n">
        <v>5</v>
      </c>
      <c r="V381" s="21" t="n">
        <v>310</v>
      </c>
      <c r="W381" t="inlineStr">
        <is>
          <t>Magazyn Zabrze</t>
        </is>
      </c>
      <c r="Z381" t="inlineStr">
        <is>
          <t>Marcin Kwiatkowski</t>
        </is>
      </c>
      <c r="AA381" s="23" t="n">
        <v>46254.6403125</v>
      </c>
      <c r="AB381" t="inlineStr">
        <is>
          <t>OP-MIGR-00377</t>
        </is>
      </c>
      <c r="AD381" t="inlineStr">
        <is>
          <t>AKTYWNY</t>
        </is>
      </c>
      <c r="AE381" s="20">
        <f>IF(I381="",0,IF(ISNUMBER(SEARCH("MP",UPPER(J381))),I381,IF(ISNUMBER(SEARCH("TON",UPPER(J381))),I381/Przelicznik_MP_tona,IF(ISNUMBER(SEARCH("M3",UPPER(J381))),I381*Przelicznik_M3_MP,IF(ISNUMBER(SEARCH("GJ",UPPER(J381))),I381/Przelicznik_GJ_tona/Przelicznik_MP_tona,I381)))))</f>
        <v/>
      </c>
      <c r="AF381" s="20">
        <f>IF(I381="",0,IF(ISNUMBER(SEARCH("TON",UPPER(J381))),I381,IF(ISNUMBER(SEARCH("GJ",UPPER(J381))),I381/Przelicznik_GJ_tona,AE381*Przelicznik_MP_tona)))</f>
        <v/>
      </c>
      <c r="AG381" s="20">
        <f>AF381*Przelicznik_GJ_tona</f>
        <v/>
      </c>
      <c r="AH381" s="20">
        <f>IF(UPPER(AD381)="SKORYGOWANY",0,IF(OR(UPPER(E381)="TRANSPORT",UPPER(E381)="MM"),0,IF(UPPER(G381)&lt;&gt;"TAK",0,IF(OR(UPPER(E381)="ZAKUP",UPPER(E381)="PRODUKCJA"),AE381,IF(OR(UPPER(E381)="SPRZEDAŻ",UPPER(E381)="ZUŻYCIE"),-AE381,0)))))</f>
        <v/>
      </c>
      <c r="AI381" s="20">
        <f>IF(UPPER(AD381)="SKORYGOWANY",0,IF(OR(UPPER(E381)="TRANSPORT",UPPER(E381)="MM"),0,IF(UPPER(G381)&lt;&gt;"TAK",0,IF(OR(UPPER(E381)="ZAKUP",UPPER(E381)="PRODUKCJA"),AF381,IF(OR(UPPER(E381)="SPRZEDAŻ",UPPER(E381)="ZUŻYCIE"),-AF381,0)))))</f>
        <v/>
      </c>
      <c r="AJ381" s="21">
        <f>IF(UPPER(AD381)="SKORYGOWANY",0,IF(UPPER(E381)="ZAKUP",IF(L381&lt;&gt;"",L381,I381*K381),0))</f>
        <v/>
      </c>
      <c r="AK381" s="21">
        <f>IF(UPPER(AD381)="SKORYGOWANY",0,IF(UPPER(E381)="SPRZEDAŻ",IF(L381&lt;&gt;"",L381,I381*M381),0))</f>
        <v/>
      </c>
      <c r="AL381" s="21">
        <f>AE381*Q381</f>
        <v/>
      </c>
      <c r="AM381">
        <f>IF(R381="","",IF(LOWER(R381)="brak","Brak",IF(OR(ISNUMBER(SEARCH("własn",LOWER(R381))),ISNUMBER(SEARCH("wlasn",LOWER(R381))),ISNUMBER(SEARCH("wojciechowski",LOWER(R381)))),"Własny","Zewnętrzny")))</f>
        <v/>
      </c>
      <c r="AN381" s="24">
        <f>IF(C381="","",YEAR(C381))</f>
        <v/>
      </c>
      <c r="AO381" s="24">
        <f>IF(C381="","",MONTH(C381))</f>
        <v/>
      </c>
      <c r="AP381">
        <f>IF(C381="","",UPPER(TEXT(C381,"mmmm")))</f>
        <v/>
      </c>
      <c r="AQ381">
        <f>IF(C381="","","Q"&amp;ROUNDUP(MONTH(C381)/3,0))</f>
        <v/>
      </c>
    </row>
    <row r="382">
      <c r="A382" s="19" t="n">
        <v>46247</v>
      </c>
      <c r="C382" s="19" t="n">
        <v>46247</v>
      </c>
      <c r="D382" t="inlineStr">
        <is>
          <t>Walber</t>
        </is>
      </c>
      <c r="E382" t="inlineStr">
        <is>
          <t>ZAKUP</t>
        </is>
      </c>
      <c r="F382" t="inlineStr">
        <is>
          <t>PZ/74</t>
        </is>
      </c>
      <c r="G382" t="inlineStr">
        <is>
          <t>TAK</t>
        </is>
      </c>
      <c r="H382" t="inlineStr">
        <is>
          <t>KZR</t>
        </is>
      </c>
      <c r="I382" s="20" t="n">
        <v>26.86</v>
      </c>
      <c r="J382" t="inlineStr">
        <is>
          <t>TON</t>
        </is>
      </c>
      <c r="K382" s="21" t="n">
        <v>275</v>
      </c>
      <c r="L382" s="21" t="n">
        <v>7386.5</v>
      </c>
      <c r="M382" s="21" t="n">
        <v>0</v>
      </c>
      <c r="N382" t="inlineStr">
        <is>
          <t>Zrębka towar</t>
        </is>
      </c>
      <c r="O382" t="inlineStr">
        <is>
          <t>B</t>
        </is>
      </c>
      <c r="Q382" s="21" t="n">
        <v>0</v>
      </c>
      <c r="T382" s="22" t="n">
        <v>0</v>
      </c>
      <c r="U382" s="21" t="n">
        <v>0</v>
      </c>
      <c r="V382" s="21" t="n">
        <v>0</v>
      </c>
      <c r="W382" t="inlineStr">
        <is>
          <t>Magazyn Zabrze</t>
        </is>
      </c>
      <c r="Y382" t="inlineStr">
        <is>
          <t>85 mp</t>
        </is>
      </c>
      <c r="Z382" t="inlineStr">
        <is>
          <t>Marcin Kwiatkowski</t>
        </is>
      </c>
      <c r="AA382" s="23" t="n">
        <v>46255.528125</v>
      </c>
      <c r="AB382" t="inlineStr">
        <is>
          <t>OP-MIGR-00381</t>
        </is>
      </c>
      <c r="AD382" t="inlineStr">
        <is>
          <t>AKTYWNY</t>
        </is>
      </c>
      <c r="AE382" s="20">
        <f>IF(I382="",0,IF(ISNUMBER(SEARCH("MP",UPPER(J382))),I382,IF(ISNUMBER(SEARCH("TON",UPPER(J382))),I382/Przelicznik_MP_tona,IF(ISNUMBER(SEARCH("M3",UPPER(J382))),I382*Przelicznik_M3_MP,IF(ISNUMBER(SEARCH("GJ",UPPER(J382))),I382/Przelicznik_GJ_tona/Przelicznik_MP_tona,I382)))))</f>
        <v/>
      </c>
      <c r="AF382" s="20">
        <f>IF(I382="",0,IF(ISNUMBER(SEARCH("TON",UPPER(J382))),I382,IF(ISNUMBER(SEARCH("GJ",UPPER(J382))),I382/Przelicznik_GJ_tona,AE382*Przelicznik_MP_tona)))</f>
        <v/>
      </c>
      <c r="AG382" s="20">
        <f>AF382*Przelicznik_GJ_tona</f>
        <v/>
      </c>
      <c r="AH382" s="20">
        <f>IF(UPPER(AD382)="SKORYGOWANY",0,IF(OR(UPPER(E382)="TRANSPORT",UPPER(E382)="MM"),0,IF(UPPER(G382)&lt;&gt;"TAK",0,IF(OR(UPPER(E382)="ZAKUP",UPPER(E382)="PRODUKCJA"),AE382,IF(OR(UPPER(E382)="SPRZEDAŻ",UPPER(E382)="ZUŻYCIE"),-AE382,0)))))</f>
        <v/>
      </c>
      <c r="AI382" s="20">
        <f>IF(UPPER(AD382)="SKORYGOWANY",0,IF(OR(UPPER(E382)="TRANSPORT",UPPER(E382)="MM"),0,IF(UPPER(G382)&lt;&gt;"TAK",0,IF(OR(UPPER(E382)="ZAKUP",UPPER(E382)="PRODUKCJA"),AF382,IF(OR(UPPER(E382)="SPRZEDAŻ",UPPER(E382)="ZUŻYCIE"),-AF382,0)))))</f>
        <v/>
      </c>
      <c r="AJ382" s="21">
        <f>IF(UPPER(AD382)="SKORYGOWANY",0,IF(UPPER(E382)="ZAKUP",IF(L382&lt;&gt;"",L382,I382*K382),0))</f>
        <v/>
      </c>
      <c r="AK382" s="21">
        <f>IF(UPPER(AD382)="SKORYGOWANY",0,IF(UPPER(E382)="SPRZEDAŻ",IF(L382&lt;&gt;"",L382,I382*M382),0))</f>
        <v/>
      </c>
      <c r="AL382" s="21">
        <f>AE382*Q382</f>
        <v/>
      </c>
      <c r="AM382">
        <f>IF(R382="","",IF(LOWER(R382)="brak","Brak",IF(OR(ISNUMBER(SEARCH("własn",LOWER(R382))),ISNUMBER(SEARCH("wlasn",LOWER(R382))),ISNUMBER(SEARCH("wojciechowski",LOWER(R382)))),"Własny","Zewnętrzny")))</f>
        <v/>
      </c>
      <c r="AN382" s="24">
        <f>IF(C382="","",YEAR(C382))</f>
        <v/>
      </c>
      <c r="AO382" s="24">
        <f>IF(C382="","",MONTH(C382))</f>
        <v/>
      </c>
      <c r="AP382">
        <f>IF(C382="","",UPPER(TEXT(C382,"mmmm")))</f>
        <v/>
      </c>
      <c r="AQ382">
        <f>IF(C382="","","Q"&amp;ROUNDUP(MONTH(C382)/3,0))</f>
        <v/>
      </c>
    </row>
    <row r="383">
      <c r="A383" s="19" t="n">
        <v>46247</v>
      </c>
      <c r="C383" s="19" t="n">
        <v>46247</v>
      </c>
      <c r="D383" t="inlineStr">
        <is>
          <t>Walber</t>
        </is>
      </c>
      <c r="E383" t="inlineStr">
        <is>
          <t>ZAKUP</t>
        </is>
      </c>
      <c r="F383" t="inlineStr">
        <is>
          <t>PZ/75</t>
        </is>
      </c>
      <c r="G383" t="inlineStr">
        <is>
          <t>TAK</t>
        </is>
      </c>
      <c r="H383" t="inlineStr">
        <is>
          <t>KZR</t>
        </is>
      </c>
      <c r="I383" s="20" t="n">
        <v>23.72</v>
      </c>
      <c r="J383" t="inlineStr">
        <is>
          <t>TON</t>
        </is>
      </c>
      <c r="K383" s="21" t="n">
        <v>275</v>
      </c>
      <c r="L383" s="21" t="n">
        <v>6523</v>
      </c>
      <c r="M383" s="21" t="n">
        <v>0</v>
      </c>
      <c r="N383" t="inlineStr">
        <is>
          <t>Zrębka towar</t>
        </is>
      </c>
      <c r="O383" t="inlineStr">
        <is>
          <t>B</t>
        </is>
      </c>
      <c r="Q383" s="21" t="n">
        <v>0</v>
      </c>
      <c r="T383" s="22" t="n">
        <v>0</v>
      </c>
      <c r="U383" s="21" t="n">
        <v>0</v>
      </c>
      <c r="V383" s="21" t="n">
        <v>0</v>
      </c>
      <c r="W383" t="inlineStr">
        <is>
          <t>Magazyn Zabrze</t>
        </is>
      </c>
      <c r="Y383" t="inlineStr">
        <is>
          <t>75 mp</t>
        </is>
      </c>
      <c r="Z383" t="inlineStr">
        <is>
          <t>Marcin Kwiatkowski</t>
        </is>
      </c>
      <c r="AA383" s="23" t="n">
        <v>46255.54589120371</v>
      </c>
      <c r="AB383" t="inlineStr">
        <is>
          <t>OP-MIGR-00382</t>
        </is>
      </c>
      <c r="AD383" t="inlineStr">
        <is>
          <t>AKTYWNY</t>
        </is>
      </c>
      <c r="AE383" s="20">
        <f>IF(I383="",0,IF(ISNUMBER(SEARCH("MP",UPPER(J383))),I383,IF(ISNUMBER(SEARCH("TON",UPPER(J383))),I383/Przelicznik_MP_tona,IF(ISNUMBER(SEARCH("M3",UPPER(J383))),I383*Przelicznik_M3_MP,IF(ISNUMBER(SEARCH("GJ",UPPER(J383))),I383/Przelicznik_GJ_tona/Przelicznik_MP_tona,I383)))))</f>
        <v/>
      </c>
      <c r="AF383" s="20">
        <f>IF(I383="",0,IF(ISNUMBER(SEARCH("TON",UPPER(J383))),I383,IF(ISNUMBER(SEARCH("GJ",UPPER(J383))),I383/Przelicznik_GJ_tona,AE383*Przelicznik_MP_tona)))</f>
        <v/>
      </c>
      <c r="AG383" s="20">
        <f>AF383*Przelicznik_GJ_tona</f>
        <v/>
      </c>
      <c r="AH383" s="20">
        <f>IF(UPPER(AD383)="SKORYGOWANY",0,IF(OR(UPPER(E383)="TRANSPORT",UPPER(E383)="MM"),0,IF(UPPER(G383)&lt;&gt;"TAK",0,IF(OR(UPPER(E383)="ZAKUP",UPPER(E383)="PRODUKCJA"),AE383,IF(OR(UPPER(E383)="SPRZEDAŻ",UPPER(E383)="ZUŻYCIE"),-AE383,0)))))</f>
        <v/>
      </c>
      <c r="AI383" s="20">
        <f>IF(UPPER(AD383)="SKORYGOWANY",0,IF(OR(UPPER(E383)="TRANSPORT",UPPER(E383)="MM"),0,IF(UPPER(G383)&lt;&gt;"TAK",0,IF(OR(UPPER(E383)="ZAKUP",UPPER(E383)="PRODUKCJA"),AF383,IF(OR(UPPER(E383)="SPRZEDAŻ",UPPER(E383)="ZUŻYCIE"),-AF383,0)))))</f>
        <v/>
      </c>
      <c r="AJ383" s="21">
        <f>IF(UPPER(AD383)="SKORYGOWANY",0,IF(UPPER(E383)="ZAKUP",IF(L383&lt;&gt;"",L383,I383*K383),0))</f>
        <v/>
      </c>
      <c r="AK383" s="21">
        <f>IF(UPPER(AD383)="SKORYGOWANY",0,IF(UPPER(E383)="SPRZEDAŻ",IF(L383&lt;&gt;"",L383,I383*M383),0))</f>
        <v/>
      </c>
      <c r="AL383" s="21">
        <f>AE383*Q383</f>
        <v/>
      </c>
      <c r="AM383">
        <f>IF(R383="","",IF(LOWER(R383)="brak","Brak",IF(OR(ISNUMBER(SEARCH("własn",LOWER(R383))),ISNUMBER(SEARCH("wlasn",LOWER(R383))),ISNUMBER(SEARCH("wojciechowski",LOWER(R383)))),"Własny","Zewnętrzny")))</f>
        <v/>
      </c>
      <c r="AN383" s="24">
        <f>IF(C383="","",YEAR(C383))</f>
        <v/>
      </c>
      <c r="AO383" s="24">
        <f>IF(C383="","",MONTH(C383))</f>
        <v/>
      </c>
      <c r="AP383">
        <f>IF(C383="","",UPPER(TEXT(C383,"mmmm")))</f>
        <v/>
      </c>
      <c r="AQ383">
        <f>IF(C383="","","Q"&amp;ROUNDUP(MONTH(C383)/3,0))</f>
        <v/>
      </c>
    </row>
    <row r="384">
      <c r="A384" s="19" t="n">
        <v>46248</v>
      </c>
      <c r="C384" s="19" t="n">
        <v>46248</v>
      </c>
      <c r="D384" t="inlineStr">
        <is>
          <t>Lander Agro</t>
        </is>
      </c>
      <c r="E384" t="inlineStr">
        <is>
          <t>ZAKUP</t>
        </is>
      </c>
      <c r="F384" t="inlineStr">
        <is>
          <t>PZ/36/D</t>
        </is>
      </c>
      <c r="G384" t="inlineStr">
        <is>
          <t>TAK</t>
        </is>
      </c>
      <c r="H384" t="inlineStr">
        <is>
          <t>KZR</t>
        </is>
      </c>
      <c r="I384" s="20" t="n">
        <v>29.11</v>
      </c>
      <c r="J384" t="inlineStr">
        <is>
          <t>M3</t>
        </is>
      </c>
      <c r="K384" s="21" t="n">
        <v>230</v>
      </c>
      <c r="L384" s="21" t="n">
        <v>6695.3</v>
      </c>
      <c r="M384" s="21" t="n">
        <v>0</v>
      </c>
      <c r="N384" t="inlineStr">
        <is>
          <t>Drewno opałowe z lasu</t>
        </is>
      </c>
      <c r="Q384" s="21" t="n">
        <v>0</v>
      </c>
      <c r="T384" s="22" t="n">
        <v>0</v>
      </c>
      <c r="U384" s="21" t="n">
        <v>0</v>
      </c>
      <c r="V384" s="21" t="n">
        <v>0</v>
      </c>
      <c r="W384" t="inlineStr">
        <is>
          <t>Magazyn Zabrze</t>
        </is>
      </c>
      <c r="Y384" t="inlineStr">
        <is>
          <t>Waga b/d</t>
        </is>
      </c>
      <c r="Z384" t="inlineStr">
        <is>
          <t>Roesner Mateusz</t>
        </is>
      </c>
      <c r="AA384" s="23" t="n">
        <v>46249.88282407408</v>
      </c>
      <c r="AB384" t="inlineStr">
        <is>
          <t>OP-MIGR-00383</t>
        </is>
      </c>
      <c r="AD384" t="inlineStr">
        <is>
          <t>AKTYWNY</t>
        </is>
      </c>
      <c r="AE384" s="20">
        <f>IF(I384="",0,IF(ISNUMBER(SEARCH("MP",UPPER(J384))),I384,IF(ISNUMBER(SEARCH("TON",UPPER(J384))),I384/Przelicznik_MP_tona,IF(ISNUMBER(SEARCH("M3",UPPER(J384))),I384*Przelicznik_M3_MP,IF(ISNUMBER(SEARCH("GJ",UPPER(J384))),I384/Przelicznik_GJ_tona/Przelicznik_MP_tona,I384)))))</f>
        <v/>
      </c>
      <c r="AF384" s="20">
        <f>IF(I384="",0,IF(ISNUMBER(SEARCH("TON",UPPER(J384))),I384,IF(ISNUMBER(SEARCH("GJ",UPPER(J384))),I384/Przelicznik_GJ_tona,AE384*Przelicznik_MP_tona)))</f>
        <v/>
      </c>
      <c r="AG384" s="20">
        <f>AF384*Przelicznik_GJ_tona</f>
        <v/>
      </c>
      <c r="AH384" s="20">
        <f>IF(UPPER(AD384)="SKORYGOWANY",0,IF(OR(UPPER(E384)="TRANSPORT",UPPER(E384)="MM"),0,IF(UPPER(G384)&lt;&gt;"TAK",0,IF(OR(UPPER(E384)="ZAKUP",UPPER(E384)="PRODUKCJA"),AE384,IF(OR(UPPER(E384)="SPRZEDAŻ",UPPER(E384)="ZUŻYCIE"),-AE384,0)))))</f>
        <v/>
      </c>
      <c r="AI384" s="20">
        <f>IF(UPPER(AD384)="SKORYGOWANY",0,IF(OR(UPPER(E384)="TRANSPORT",UPPER(E384)="MM"),0,IF(UPPER(G384)&lt;&gt;"TAK",0,IF(OR(UPPER(E384)="ZAKUP",UPPER(E384)="PRODUKCJA"),AF384,IF(OR(UPPER(E384)="SPRZEDAŻ",UPPER(E384)="ZUŻYCIE"),-AF384,0)))))</f>
        <v/>
      </c>
      <c r="AJ384" s="21">
        <f>IF(UPPER(AD384)="SKORYGOWANY",0,IF(UPPER(E384)="ZAKUP",IF(L384&lt;&gt;"",L384,I384*K384),0))</f>
        <v/>
      </c>
      <c r="AK384" s="21">
        <f>IF(UPPER(AD384)="SKORYGOWANY",0,IF(UPPER(E384)="SPRZEDAŻ",IF(L384&lt;&gt;"",L384,I384*M384),0))</f>
        <v/>
      </c>
      <c r="AL384" s="21">
        <f>AE384*Q384</f>
        <v/>
      </c>
      <c r="AM384">
        <f>IF(R384="","",IF(LOWER(R384)="brak","Brak",IF(OR(ISNUMBER(SEARCH("własn",LOWER(R384))),ISNUMBER(SEARCH("wlasn",LOWER(R384))),ISNUMBER(SEARCH("wojciechowski",LOWER(R384)))),"Własny","Zewnętrzny")))</f>
        <v/>
      </c>
      <c r="AN384" s="24">
        <f>IF(C384="","",YEAR(C384))</f>
        <v/>
      </c>
      <c r="AO384" s="24">
        <f>IF(C384="","",MONTH(C384))</f>
        <v/>
      </c>
      <c r="AP384">
        <f>IF(C384="","",UPPER(TEXT(C384,"mmmm")))</f>
        <v/>
      </c>
      <c r="AQ384">
        <f>IF(C384="","","Q"&amp;ROUNDUP(MONTH(C384)/3,0))</f>
        <v/>
      </c>
    </row>
    <row r="385">
      <c r="A385" s="19" t="n">
        <v>46248</v>
      </c>
      <c r="C385" s="19" t="n">
        <v>46248</v>
      </c>
      <c r="D385" t="inlineStr">
        <is>
          <t>Lander Agro</t>
        </is>
      </c>
      <c r="E385" t="inlineStr">
        <is>
          <t>ZAKUP</t>
        </is>
      </c>
      <c r="F385" t="inlineStr">
        <is>
          <t>PZ/37/D</t>
        </is>
      </c>
      <c r="G385" t="inlineStr">
        <is>
          <t>TAK</t>
        </is>
      </c>
      <c r="H385" t="inlineStr">
        <is>
          <t>KZR</t>
        </is>
      </c>
      <c r="I385" s="20" t="n">
        <v>31.7</v>
      </c>
      <c r="J385" t="inlineStr">
        <is>
          <t>M3</t>
        </is>
      </c>
      <c r="K385" s="21" t="n">
        <v>230</v>
      </c>
      <c r="L385" s="21" t="n">
        <v>7291</v>
      </c>
      <c r="M385" s="21" t="n">
        <v>0</v>
      </c>
      <c r="N385" t="inlineStr">
        <is>
          <t>Drewno opałowe z lasu</t>
        </is>
      </c>
      <c r="Q385" s="21" t="n">
        <v>0</v>
      </c>
      <c r="T385" s="22" t="n">
        <v>0</v>
      </c>
      <c r="U385" s="21" t="n">
        <v>0</v>
      </c>
      <c r="V385" s="21" t="n">
        <v>0</v>
      </c>
      <c r="W385" t="inlineStr">
        <is>
          <t>Magazyn Zabrze</t>
        </is>
      </c>
      <c r="Y385" t="inlineStr">
        <is>
          <t>Waga: 21 260 kg</t>
        </is>
      </c>
      <c r="Z385" t="inlineStr">
        <is>
          <t>Marcin Kwiatkowski</t>
        </is>
      </c>
      <c r="AA385" s="23" t="n">
        <v>46257.81418981482</v>
      </c>
      <c r="AB385" t="inlineStr">
        <is>
          <t>OP-MIGR-00384</t>
        </is>
      </c>
      <c r="AD385" t="inlineStr">
        <is>
          <t>AKTYWNY</t>
        </is>
      </c>
      <c r="AE385" s="20">
        <f>IF(I385="",0,IF(ISNUMBER(SEARCH("MP",UPPER(J385))),I385,IF(ISNUMBER(SEARCH("TON",UPPER(J385))),I385/Przelicznik_MP_tona,IF(ISNUMBER(SEARCH("M3",UPPER(J385))),I385*Przelicznik_M3_MP,IF(ISNUMBER(SEARCH("GJ",UPPER(J385))),I385/Przelicznik_GJ_tona/Przelicznik_MP_tona,I385)))))</f>
        <v/>
      </c>
      <c r="AF385" s="20">
        <f>IF(I385="",0,IF(ISNUMBER(SEARCH("TON",UPPER(J385))),I385,IF(ISNUMBER(SEARCH("GJ",UPPER(J385))),I385/Przelicznik_GJ_tona,AE385*Przelicznik_MP_tona)))</f>
        <v/>
      </c>
      <c r="AG385" s="20">
        <f>AF385*Przelicznik_GJ_tona</f>
        <v/>
      </c>
      <c r="AH385" s="20">
        <f>IF(UPPER(AD385)="SKORYGOWANY",0,IF(OR(UPPER(E385)="TRANSPORT",UPPER(E385)="MM"),0,IF(UPPER(G385)&lt;&gt;"TAK",0,IF(OR(UPPER(E385)="ZAKUP",UPPER(E385)="PRODUKCJA"),AE385,IF(OR(UPPER(E385)="SPRZEDAŻ",UPPER(E385)="ZUŻYCIE"),-AE385,0)))))</f>
        <v/>
      </c>
      <c r="AI385" s="20">
        <f>IF(UPPER(AD385)="SKORYGOWANY",0,IF(OR(UPPER(E385)="TRANSPORT",UPPER(E385)="MM"),0,IF(UPPER(G385)&lt;&gt;"TAK",0,IF(OR(UPPER(E385)="ZAKUP",UPPER(E385)="PRODUKCJA"),AF385,IF(OR(UPPER(E385)="SPRZEDAŻ",UPPER(E385)="ZUŻYCIE"),-AF385,0)))))</f>
        <v/>
      </c>
      <c r="AJ385" s="21">
        <f>IF(UPPER(AD385)="SKORYGOWANY",0,IF(UPPER(E385)="ZAKUP",IF(L385&lt;&gt;"",L385,I385*K385),0))</f>
        <v/>
      </c>
      <c r="AK385" s="21">
        <f>IF(UPPER(AD385)="SKORYGOWANY",0,IF(UPPER(E385)="SPRZEDAŻ",IF(L385&lt;&gt;"",L385,I385*M385),0))</f>
        <v/>
      </c>
      <c r="AL385" s="21">
        <f>AE385*Q385</f>
        <v/>
      </c>
      <c r="AM385">
        <f>IF(R385="","",IF(LOWER(R385)="brak","Brak",IF(OR(ISNUMBER(SEARCH("własn",LOWER(R385))),ISNUMBER(SEARCH("wlasn",LOWER(R385))),ISNUMBER(SEARCH("wojciechowski",LOWER(R385)))),"Własny","Zewnętrzny")))</f>
        <v/>
      </c>
      <c r="AN385" s="24">
        <f>IF(C385="","",YEAR(C385))</f>
        <v/>
      </c>
      <c r="AO385" s="24">
        <f>IF(C385="","",MONTH(C385))</f>
        <v/>
      </c>
      <c r="AP385">
        <f>IF(C385="","",UPPER(TEXT(C385,"mmmm")))</f>
        <v/>
      </c>
      <c r="AQ385">
        <f>IF(C385="","","Q"&amp;ROUNDUP(MONTH(C385)/3,0))</f>
        <v/>
      </c>
    </row>
    <row r="386">
      <c r="A386" s="19" t="n">
        <v>46251</v>
      </c>
      <c r="B386" t="inlineStr">
        <is>
          <t>Brąszewice</t>
        </is>
      </c>
      <c r="C386" s="19" t="n">
        <v>46251</v>
      </c>
      <c r="D386" t="inlineStr">
        <is>
          <t>Magazyn Brąszewice</t>
        </is>
      </c>
      <c r="E386" t="inlineStr">
        <is>
          <t>MM</t>
        </is>
      </c>
      <c r="F386" t="inlineStr">
        <is>
          <t>MM-75</t>
        </is>
      </c>
      <c r="G386" t="inlineStr">
        <is>
          <t>TAK</t>
        </is>
      </c>
      <c r="I386" s="20" t="n">
        <v>84</v>
      </c>
      <c r="J386" t="inlineStr">
        <is>
          <t>MP</t>
        </is>
      </c>
      <c r="K386" s="21" t="n">
        <v>0</v>
      </c>
      <c r="L386" s="21" t="n">
        <v>0</v>
      </c>
      <c r="M386" s="21" t="n">
        <v>0</v>
      </c>
      <c r="N386" t="inlineStr">
        <is>
          <t>Zrębka Produkcyjna Drzewna</t>
        </is>
      </c>
      <c r="O386" t="inlineStr">
        <is>
          <t>B</t>
        </is>
      </c>
      <c r="Q386" s="21" t="n">
        <v>0</v>
      </c>
      <c r="R386" t="inlineStr">
        <is>
          <t>własny (Chrzan)</t>
        </is>
      </c>
      <c r="S386" t="inlineStr">
        <is>
          <t>SK 5L809</t>
        </is>
      </c>
      <c r="T386" s="22" t="n">
        <v>340</v>
      </c>
      <c r="U386" s="21" t="n">
        <v>5</v>
      </c>
      <c r="V386" s="21" t="n">
        <v>1700</v>
      </c>
      <c r="W386" t="inlineStr">
        <is>
          <t>Magazyn Zabrze</t>
        </is>
      </c>
      <c r="Y386" t="inlineStr">
        <is>
          <t>Waga: 24 420 kg</t>
        </is>
      </c>
      <c r="Z386" t="inlineStr">
        <is>
          <t>Marcin Kwiatkowski</t>
        </is>
      </c>
      <c r="AA386" s="23" t="n">
        <v>46255.55105324074</v>
      </c>
      <c r="AB386" t="inlineStr">
        <is>
          <t>OP-MIGR-00385</t>
        </is>
      </c>
      <c r="AD386" t="inlineStr">
        <is>
          <t>AKTYWNY</t>
        </is>
      </c>
      <c r="AE386" s="20">
        <f>IF(I386="",0,IF(ISNUMBER(SEARCH("MP",UPPER(J386))),I386,IF(ISNUMBER(SEARCH("TON",UPPER(J386))),I386/Przelicznik_MP_tona,IF(ISNUMBER(SEARCH("M3",UPPER(J386))),I386*Przelicznik_M3_MP,IF(ISNUMBER(SEARCH("GJ",UPPER(J386))),I386/Przelicznik_GJ_tona/Przelicznik_MP_tona,I386)))))</f>
        <v/>
      </c>
      <c r="AF386" s="20">
        <f>IF(I386="",0,IF(ISNUMBER(SEARCH("TON",UPPER(J386))),I386,IF(ISNUMBER(SEARCH("GJ",UPPER(J386))),I386/Przelicznik_GJ_tona,AE386*Przelicznik_MP_tona)))</f>
        <v/>
      </c>
      <c r="AG386" s="20">
        <f>AF386*Przelicznik_GJ_tona</f>
        <v/>
      </c>
      <c r="AH386" s="20">
        <f>IF(UPPER(AD386)="SKORYGOWANY",0,IF(OR(UPPER(E386)="TRANSPORT",UPPER(E386)="MM"),0,IF(UPPER(G386)&lt;&gt;"TAK",0,IF(OR(UPPER(E386)="ZAKUP",UPPER(E386)="PRODUKCJA"),AE386,IF(OR(UPPER(E386)="SPRZEDAŻ",UPPER(E386)="ZUŻYCIE"),-AE386,0)))))</f>
        <v/>
      </c>
      <c r="AI386" s="20">
        <f>IF(UPPER(AD386)="SKORYGOWANY",0,IF(OR(UPPER(E386)="TRANSPORT",UPPER(E386)="MM"),0,IF(UPPER(G386)&lt;&gt;"TAK",0,IF(OR(UPPER(E386)="ZAKUP",UPPER(E386)="PRODUKCJA"),AF386,IF(OR(UPPER(E386)="SPRZEDAŻ",UPPER(E386)="ZUŻYCIE"),-AF386,0)))))</f>
        <v/>
      </c>
      <c r="AJ386" s="21">
        <f>IF(UPPER(AD386)="SKORYGOWANY",0,IF(UPPER(E386)="ZAKUP",IF(L386&lt;&gt;"",L386,I386*K386),0))</f>
        <v/>
      </c>
      <c r="AK386" s="21">
        <f>IF(UPPER(AD386)="SKORYGOWANY",0,IF(UPPER(E386)="SPRZEDAŻ",IF(L386&lt;&gt;"",L386,I386*M386),0))</f>
        <v/>
      </c>
      <c r="AL386" s="21">
        <f>AE386*Q386</f>
        <v/>
      </c>
      <c r="AM386">
        <f>IF(R386="","",IF(LOWER(R386)="brak","Brak",IF(OR(ISNUMBER(SEARCH("własn",LOWER(R386))),ISNUMBER(SEARCH("wlasn",LOWER(R386))),ISNUMBER(SEARCH("wojciechowski",LOWER(R386)))),"Własny","Zewnętrzny")))</f>
        <v/>
      </c>
      <c r="AN386" s="24">
        <f>IF(C386="","",YEAR(C386))</f>
        <v/>
      </c>
      <c r="AO386" s="24">
        <f>IF(C386="","",MONTH(C386))</f>
        <v/>
      </c>
      <c r="AP386">
        <f>IF(C386="","",UPPER(TEXT(C386,"mmmm")))</f>
        <v/>
      </c>
      <c r="AQ386">
        <f>IF(C386="","","Q"&amp;ROUNDUP(MONTH(C386)/3,0))</f>
        <v/>
      </c>
    </row>
    <row r="387">
      <c r="A387" s="19" t="n">
        <v>46251</v>
      </c>
      <c r="B387" t="inlineStr">
        <is>
          <t>Brąszewice</t>
        </is>
      </c>
      <c r="C387" s="19" t="n">
        <v>46251</v>
      </c>
      <c r="D387" t="inlineStr">
        <is>
          <t>Magazyn Brąszewice</t>
        </is>
      </c>
      <c r="E387" t="inlineStr">
        <is>
          <t>MM</t>
        </is>
      </c>
      <c r="F387" t="inlineStr">
        <is>
          <t>MM-76</t>
        </is>
      </c>
      <c r="G387" t="inlineStr">
        <is>
          <t>TAK</t>
        </is>
      </c>
      <c r="I387" s="20" t="n">
        <v>87</v>
      </c>
      <c r="J387" t="inlineStr">
        <is>
          <t>MP</t>
        </is>
      </c>
      <c r="K387" s="21" t="n">
        <v>0</v>
      </c>
      <c r="L387" s="21" t="n">
        <v>0</v>
      </c>
      <c r="M387" s="21" t="n">
        <v>0</v>
      </c>
      <c r="N387" t="inlineStr">
        <is>
          <t>Zrębka Produkcyjna Drzewna</t>
        </is>
      </c>
      <c r="O387" t="inlineStr">
        <is>
          <t>B</t>
        </is>
      </c>
      <c r="Q387" s="21" t="n">
        <v>0</v>
      </c>
      <c r="R387" t="inlineStr">
        <is>
          <t>własny (Adrian Wojciechowski)</t>
        </is>
      </c>
      <c r="S387" t="inlineStr">
        <is>
          <t>SK 5J756</t>
        </is>
      </c>
      <c r="T387" s="22" t="n">
        <v>340</v>
      </c>
      <c r="U387" s="21" t="n">
        <v>5</v>
      </c>
      <c r="V387" s="21" t="n">
        <v>1700</v>
      </c>
      <c r="W387" t="inlineStr">
        <is>
          <t>Magazyn Zabrze</t>
        </is>
      </c>
      <c r="Y387" t="inlineStr">
        <is>
          <t>Kierowca z Brąszewic Waga: 28 800 kg Utwotzył: Marcin Kwiatkowski</t>
        </is>
      </c>
      <c r="AA387" s="23" t="n">
        <v>46255.55372685185</v>
      </c>
      <c r="AB387" t="inlineStr">
        <is>
          <t>OP-MIGR-00386</t>
        </is>
      </c>
      <c r="AD387" t="inlineStr">
        <is>
          <t>AKTYWNY</t>
        </is>
      </c>
      <c r="AE387" s="20">
        <f>IF(I387="",0,IF(ISNUMBER(SEARCH("MP",UPPER(J387))),I387,IF(ISNUMBER(SEARCH("TON",UPPER(J387))),I387/Przelicznik_MP_tona,IF(ISNUMBER(SEARCH("M3",UPPER(J387))),I387*Przelicznik_M3_MP,IF(ISNUMBER(SEARCH("GJ",UPPER(J387))),I387/Przelicznik_GJ_tona/Przelicznik_MP_tona,I387)))))</f>
        <v/>
      </c>
      <c r="AF387" s="20">
        <f>IF(I387="",0,IF(ISNUMBER(SEARCH("TON",UPPER(J387))),I387,IF(ISNUMBER(SEARCH("GJ",UPPER(J387))),I387/Przelicznik_GJ_tona,AE387*Przelicznik_MP_tona)))</f>
        <v/>
      </c>
      <c r="AG387" s="20">
        <f>AF387*Przelicznik_GJ_tona</f>
        <v/>
      </c>
      <c r="AH387" s="20">
        <f>IF(UPPER(AD387)="SKORYGOWANY",0,IF(OR(UPPER(E387)="TRANSPORT",UPPER(E387)="MM"),0,IF(UPPER(G387)&lt;&gt;"TAK",0,IF(OR(UPPER(E387)="ZAKUP",UPPER(E387)="PRODUKCJA"),AE387,IF(OR(UPPER(E387)="SPRZEDAŻ",UPPER(E387)="ZUŻYCIE"),-AE387,0)))))</f>
        <v/>
      </c>
      <c r="AI387" s="20">
        <f>IF(UPPER(AD387)="SKORYGOWANY",0,IF(OR(UPPER(E387)="TRANSPORT",UPPER(E387)="MM"),0,IF(UPPER(G387)&lt;&gt;"TAK",0,IF(OR(UPPER(E387)="ZAKUP",UPPER(E387)="PRODUKCJA"),AF387,IF(OR(UPPER(E387)="SPRZEDAŻ",UPPER(E387)="ZUŻYCIE"),-AF387,0)))))</f>
        <v/>
      </c>
      <c r="AJ387" s="21">
        <f>IF(UPPER(AD387)="SKORYGOWANY",0,IF(UPPER(E387)="ZAKUP",IF(L387&lt;&gt;"",L387,I387*K387),0))</f>
        <v/>
      </c>
      <c r="AK387" s="21">
        <f>IF(UPPER(AD387)="SKORYGOWANY",0,IF(UPPER(E387)="SPRZEDAŻ",IF(L387&lt;&gt;"",L387,I387*M387),0))</f>
        <v/>
      </c>
      <c r="AL387" s="21">
        <f>AE387*Q387</f>
        <v/>
      </c>
      <c r="AM387">
        <f>IF(R387="","",IF(LOWER(R387)="brak","Brak",IF(OR(ISNUMBER(SEARCH("własn",LOWER(R387))),ISNUMBER(SEARCH("wlasn",LOWER(R387))),ISNUMBER(SEARCH("wojciechowski",LOWER(R387)))),"Własny","Zewnętrzny")))</f>
        <v/>
      </c>
      <c r="AN387" s="24">
        <f>IF(C387="","",YEAR(C387))</f>
        <v/>
      </c>
      <c r="AO387" s="24">
        <f>IF(C387="","",MONTH(C387))</f>
        <v/>
      </c>
      <c r="AP387">
        <f>IF(C387="","",UPPER(TEXT(C387,"mmmm")))</f>
        <v/>
      </c>
      <c r="AQ387">
        <f>IF(C387="","","Q"&amp;ROUNDUP(MONTH(C387)/3,0))</f>
        <v/>
      </c>
    </row>
    <row r="388">
      <c r="A388" s="19" t="n">
        <v>46251</v>
      </c>
      <c r="C388" s="19" t="n">
        <v>46251</v>
      </c>
      <c r="D388" t="inlineStr">
        <is>
          <t>NDL Świerklaniec, Leśnictwo Mieczysko</t>
        </is>
      </c>
      <c r="E388" t="inlineStr">
        <is>
          <t>ZAKUP</t>
        </is>
      </c>
      <c r="F388" t="inlineStr">
        <is>
          <t>PZ/76   3/202632708/6671</t>
        </is>
      </c>
      <c r="G388" t="inlineStr">
        <is>
          <t>TAK</t>
        </is>
      </c>
      <c r="H388" t="inlineStr">
        <is>
          <t>Deklaracja</t>
        </is>
      </c>
      <c r="I388" s="20" t="n">
        <v>20</v>
      </c>
      <c r="J388" t="inlineStr">
        <is>
          <t>M3</t>
        </is>
      </c>
      <c r="K388" s="21" t="n">
        <v>112</v>
      </c>
      <c r="L388" s="21" t="n">
        <v>2240</v>
      </c>
      <c r="M388" s="21" t="n">
        <v>0</v>
      </c>
      <c r="N388" t="inlineStr">
        <is>
          <t>Drewno opałowe z lasu</t>
        </is>
      </c>
      <c r="Q388" s="21" t="n">
        <v>0</v>
      </c>
      <c r="T388" s="22" t="n">
        <v>0</v>
      </c>
      <c r="U388" s="21" t="n">
        <v>0</v>
      </c>
      <c r="V388" s="21" t="n">
        <v>0</v>
      </c>
      <c r="W388" t="inlineStr">
        <is>
          <t>Magazyn Zabrze</t>
        </is>
      </c>
      <c r="Y388" t="inlineStr">
        <is>
          <t>Waga: 22 880 kg</t>
        </is>
      </c>
      <c r="Z388" t="inlineStr">
        <is>
          <t>Marcin Kwiatkowski</t>
        </is>
      </c>
      <c r="AA388" s="23" t="n">
        <v>46255.55608796296</v>
      </c>
      <c r="AB388" t="inlineStr">
        <is>
          <t>OP-MIGR-00387</t>
        </is>
      </c>
      <c r="AD388" t="inlineStr">
        <is>
          <t>AKTYWNY</t>
        </is>
      </c>
      <c r="AE388" s="20">
        <f>IF(I388="",0,IF(ISNUMBER(SEARCH("MP",UPPER(J388))),I388,IF(ISNUMBER(SEARCH("TON",UPPER(J388))),I388/Przelicznik_MP_tona,IF(ISNUMBER(SEARCH("M3",UPPER(J388))),I388*Przelicznik_M3_MP,IF(ISNUMBER(SEARCH("GJ",UPPER(J388))),I388/Przelicznik_GJ_tona/Przelicznik_MP_tona,I388)))))</f>
        <v/>
      </c>
      <c r="AF388" s="20">
        <f>IF(I388="",0,IF(ISNUMBER(SEARCH("TON",UPPER(J388))),I388,IF(ISNUMBER(SEARCH("GJ",UPPER(J388))),I388/Przelicznik_GJ_tona,AE388*Przelicznik_MP_tona)))</f>
        <v/>
      </c>
      <c r="AG388" s="20">
        <f>AF388*Przelicznik_GJ_tona</f>
        <v/>
      </c>
      <c r="AH388" s="20">
        <f>IF(UPPER(AD388)="SKORYGOWANY",0,IF(OR(UPPER(E388)="TRANSPORT",UPPER(E388)="MM"),0,IF(UPPER(G388)&lt;&gt;"TAK",0,IF(OR(UPPER(E388)="ZAKUP",UPPER(E388)="PRODUKCJA"),AE388,IF(OR(UPPER(E388)="SPRZEDAŻ",UPPER(E388)="ZUŻYCIE"),-AE388,0)))))</f>
        <v/>
      </c>
      <c r="AI388" s="20">
        <f>IF(UPPER(AD388)="SKORYGOWANY",0,IF(OR(UPPER(E388)="TRANSPORT",UPPER(E388)="MM"),0,IF(UPPER(G388)&lt;&gt;"TAK",0,IF(OR(UPPER(E388)="ZAKUP",UPPER(E388)="PRODUKCJA"),AF388,IF(OR(UPPER(E388)="SPRZEDAŻ",UPPER(E388)="ZUŻYCIE"),-AF388,0)))))</f>
        <v/>
      </c>
      <c r="AJ388" s="21">
        <f>IF(UPPER(AD388)="SKORYGOWANY",0,IF(UPPER(E388)="ZAKUP",IF(L388&lt;&gt;"",L388,I388*K388),0))</f>
        <v/>
      </c>
      <c r="AK388" s="21">
        <f>IF(UPPER(AD388)="SKORYGOWANY",0,IF(UPPER(E388)="SPRZEDAŻ",IF(L388&lt;&gt;"",L388,I388*M388),0))</f>
        <v/>
      </c>
      <c r="AL388" s="21">
        <f>AE388*Q388</f>
        <v/>
      </c>
      <c r="AM388">
        <f>IF(R388="","",IF(LOWER(R388)="brak","Brak",IF(OR(ISNUMBER(SEARCH("własn",LOWER(R388))),ISNUMBER(SEARCH("wlasn",LOWER(R388))),ISNUMBER(SEARCH("wojciechowski",LOWER(R388)))),"Własny","Zewnętrzny")))</f>
        <v/>
      </c>
      <c r="AN388" s="24">
        <f>IF(C388="","",YEAR(C388))</f>
        <v/>
      </c>
      <c r="AO388" s="24">
        <f>IF(C388="","",MONTH(C388))</f>
        <v/>
      </c>
      <c r="AP388">
        <f>IF(C388="","",UPPER(TEXT(C388,"mmmm")))</f>
        <v/>
      </c>
      <c r="AQ388">
        <f>IF(C388="","","Q"&amp;ROUNDUP(MONTH(C388)/3,0))</f>
        <v/>
      </c>
    </row>
    <row r="389">
      <c r="A389" s="19" t="n">
        <v>46251</v>
      </c>
      <c r="C389" s="19" t="n">
        <v>46251</v>
      </c>
      <c r="D389" t="inlineStr">
        <is>
          <t>Magazyn Zabrze</t>
        </is>
      </c>
      <c r="E389" t="inlineStr">
        <is>
          <t>PRODUKCJA</t>
        </is>
      </c>
      <c r="F389" t="inlineStr">
        <is>
          <t>PZ/76</t>
        </is>
      </c>
      <c r="G389" t="inlineStr">
        <is>
          <t>TAK</t>
        </is>
      </c>
      <c r="H389" t="inlineStr">
        <is>
          <t>Deklaracja</t>
        </is>
      </c>
      <c r="I389" s="20" t="n">
        <v>80</v>
      </c>
      <c r="J389" t="inlineStr">
        <is>
          <t>MP</t>
        </is>
      </c>
      <c r="K389" s="21" t="n">
        <v>0</v>
      </c>
      <c r="L389" s="21" t="n">
        <v>0</v>
      </c>
      <c r="M389" s="21" t="n">
        <v>0</v>
      </c>
      <c r="N389" t="inlineStr">
        <is>
          <t>Zrębka Produkcyjna Leśna</t>
        </is>
      </c>
      <c r="O389" t="inlineStr">
        <is>
          <t>B</t>
        </is>
      </c>
      <c r="P389" t="inlineStr">
        <is>
          <t>własne</t>
        </is>
      </c>
      <c r="Q389" s="21" t="n">
        <v>10</v>
      </c>
      <c r="T389" s="22" t="n">
        <v>0</v>
      </c>
      <c r="U389" s="21" t="n">
        <v>0</v>
      </c>
      <c r="V389" s="21" t="n">
        <v>0</v>
      </c>
      <c r="W389" t="inlineStr">
        <is>
          <t>Magazyn Zabrze</t>
        </is>
      </c>
      <c r="X389" t="inlineStr">
        <is>
          <t>Magazyn Zabrze</t>
        </is>
      </c>
      <c r="Y389" t="inlineStr">
        <is>
          <t>Rębak z Brąszewic, rębakowy Łukasz Kempski</t>
        </is>
      </c>
      <c r="Z389" t="inlineStr">
        <is>
          <t>Marcin Kwiatkowski</t>
        </is>
      </c>
      <c r="AA389" s="23" t="n">
        <v>46255.55716435185</v>
      </c>
      <c r="AB389" t="inlineStr">
        <is>
          <t>OP-MIGR-00388</t>
        </is>
      </c>
      <c r="AD389" t="inlineStr">
        <is>
          <t>AKTYWNY</t>
        </is>
      </c>
      <c r="AE389" s="20">
        <f>IF(I389="",0,IF(ISNUMBER(SEARCH("MP",UPPER(J389))),I389,IF(ISNUMBER(SEARCH("TON",UPPER(J389))),I389/Przelicznik_MP_tona,IF(ISNUMBER(SEARCH("M3",UPPER(J389))),I389*Przelicznik_M3_MP,IF(ISNUMBER(SEARCH("GJ",UPPER(J389))),I389/Przelicznik_GJ_tona/Przelicznik_MP_tona,I389)))))</f>
        <v/>
      </c>
      <c r="AF389" s="20">
        <f>IF(I389="",0,IF(ISNUMBER(SEARCH("TON",UPPER(J389))),I389,IF(ISNUMBER(SEARCH("GJ",UPPER(J389))),I389/Przelicznik_GJ_tona,AE389*Przelicznik_MP_tona)))</f>
        <v/>
      </c>
      <c r="AG389" s="20">
        <f>AF389*Przelicznik_GJ_tona</f>
        <v/>
      </c>
      <c r="AH389" s="20">
        <f>IF(UPPER(AD389)="SKORYGOWANY",0,IF(OR(UPPER(E389)="TRANSPORT",UPPER(E389)="MM"),0,IF(UPPER(G389)&lt;&gt;"TAK",0,IF(OR(UPPER(E389)="ZAKUP",UPPER(E389)="PRODUKCJA"),AE389,IF(OR(UPPER(E389)="SPRZEDAŻ",UPPER(E389)="ZUŻYCIE"),-AE389,0)))))</f>
        <v/>
      </c>
      <c r="AI389" s="20">
        <f>IF(UPPER(AD389)="SKORYGOWANY",0,IF(OR(UPPER(E389)="TRANSPORT",UPPER(E389)="MM"),0,IF(UPPER(G389)&lt;&gt;"TAK",0,IF(OR(UPPER(E389)="ZAKUP",UPPER(E389)="PRODUKCJA"),AF389,IF(OR(UPPER(E389)="SPRZEDAŻ",UPPER(E389)="ZUŻYCIE"),-AF389,0)))))</f>
        <v/>
      </c>
      <c r="AJ389" s="21">
        <f>IF(UPPER(AD389)="SKORYGOWANY",0,IF(UPPER(E389)="ZAKUP",IF(L389&lt;&gt;"",L389,I389*K389),0))</f>
        <v/>
      </c>
      <c r="AK389" s="21">
        <f>IF(UPPER(AD389)="SKORYGOWANY",0,IF(UPPER(E389)="SPRZEDAŻ",IF(L389&lt;&gt;"",L389,I389*M389),0))</f>
        <v/>
      </c>
      <c r="AL389" s="21">
        <f>AE389*Q389</f>
        <v/>
      </c>
      <c r="AM389">
        <f>IF(R389="","",IF(LOWER(R389)="brak","Brak",IF(OR(ISNUMBER(SEARCH("własn",LOWER(R389))),ISNUMBER(SEARCH("wlasn",LOWER(R389))),ISNUMBER(SEARCH("wojciechowski",LOWER(R389)))),"Własny","Zewnętrzny")))</f>
        <v/>
      </c>
      <c r="AN389" s="24">
        <f>IF(C389="","",YEAR(C389))</f>
        <v/>
      </c>
      <c r="AO389" s="24">
        <f>IF(C389="","",MONTH(C389))</f>
        <v/>
      </c>
      <c r="AP389">
        <f>IF(C389="","",UPPER(TEXT(C389,"mmmm")))</f>
        <v/>
      </c>
      <c r="AQ389">
        <f>IF(C389="","","Q"&amp;ROUNDUP(MONTH(C389)/3,0))</f>
        <v/>
      </c>
    </row>
    <row r="390">
      <c r="A390" s="19" t="n">
        <v>46251</v>
      </c>
      <c r="C390" s="19" t="n">
        <v>46251</v>
      </c>
      <c r="D390" t="inlineStr">
        <is>
          <t>Magazyn Zabrze</t>
        </is>
      </c>
      <c r="E390" t="inlineStr">
        <is>
          <t>ZUŻYCIE</t>
        </is>
      </c>
      <c r="F390" t="inlineStr">
        <is>
          <t>PZ/76</t>
        </is>
      </c>
      <c r="G390" t="inlineStr">
        <is>
          <t>TAK</t>
        </is>
      </c>
      <c r="H390" t="inlineStr">
        <is>
          <t>Deklaracja</t>
        </is>
      </c>
      <c r="I390" s="20" t="n">
        <v>80</v>
      </c>
      <c r="J390" t="inlineStr">
        <is>
          <t>MP</t>
        </is>
      </c>
      <c r="K390" s="21" t="n">
        <v>0</v>
      </c>
      <c r="L390" s="21" t="n">
        <v>0</v>
      </c>
      <c r="M390" s="21" t="n">
        <v>0</v>
      </c>
      <c r="N390" t="inlineStr">
        <is>
          <t>Zrębka Produkcyjna Leśna</t>
        </is>
      </c>
      <c r="O390" t="inlineStr">
        <is>
          <t>B</t>
        </is>
      </c>
      <c r="P390" t="inlineStr">
        <is>
          <t>własne</t>
        </is>
      </c>
      <c r="Q390" s="21" t="n">
        <v>10</v>
      </c>
      <c r="T390" s="22" t="n">
        <v>0</v>
      </c>
      <c r="U390" s="21" t="n">
        <v>0</v>
      </c>
      <c r="V390" s="21" t="n">
        <v>0</v>
      </c>
      <c r="W390" t="inlineStr">
        <is>
          <t>Magazyn Zabrze</t>
        </is>
      </c>
      <c r="X390" t="inlineStr">
        <is>
          <t>Magazyn Zabrze</t>
        </is>
      </c>
      <c r="Y390" t="inlineStr">
        <is>
          <t>Automatyczne zużycie surowca do produkcji</t>
        </is>
      </c>
      <c r="AA390" s="23" t="n">
        <v>46255.55716435185</v>
      </c>
      <c r="AB390" t="inlineStr">
        <is>
          <t>OP-MIGR-00389</t>
        </is>
      </c>
      <c r="AD390" t="inlineStr">
        <is>
          <t>AKTYWNY</t>
        </is>
      </c>
      <c r="AE390" s="20">
        <f>IF(I390="",0,IF(ISNUMBER(SEARCH("MP",UPPER(J390))),I390,IF(ISNUMBER(SEARCH("TON",UPPER(J390))),I390/Przelicznik_MP_tona,IF(ISNUMBER(SEARCH("M3",UPPER(J390))),I390*Przelicznik_M3_MP,IF(ISNUMBER(SEARCH("GJ",UPPER(J390))),I390/Przelicznik_GJ_tona/Przelicznik_MP_tona,I390)))))</f>
        <v/>
      </c>
      <c r="AF390" s="20">
        <f>IF(I390="",0,IF(ISNUMBER(SEARCH("TON",UPPER(J390))),I390,IF(ISNUMBER(SEARCH("GJ",UPPER(J390))),I390/Przelicznik_GJ_tona,AE390*Przelicznik_MP_tona)))</f>
        <v/>
      </c>
      <c r="AG390" s="20">
        <f>AF390*Przelicznik_GJ_tona</f>
        <v/>
      </c>
      <c r="AH390" s="20">
        <f>IF(UPPER(AD390)="SKORYGOWANY",0,IF(OR(UPPER(E390)="TRANSPORT",UPPER(E390)="MM"),0,IF(UPPER(G390)&lt;&gt;"TAK",0,IF(OR(UPPER(E390)="ZAKUP",UPPER(E390)="PRODUKCJA"),AE390,IF(OR(UPPER(E390)="SPRZEDAŻ",UPPER(E390)="ZUŻYCIE"),-AE390,0)))))</f>
        <v/>
      </c>
      <c r="AI390" s="20">
        <f>IF(UPPER(AD390)="SKORYGOWANY",0,IF(OR(UPPER(E390)="TRANSPORT",UPPER(E390)="MM"),0,IF(UPPER(G390)&lt;&gt;"TAK",0,IF(OR(UPPER(E390)="ZAKUP",UPPER(E390)="PRODUKCJA"),AF390,IF(OR(UPPER(E390)="SPRZEDAŻ",UPPER(E390)="ZUŻYCIE"),-AF390,0)))))</f>
        <v/>
      </c>
      <c r="AJ390" s="21">
        <f>IF(UPPER(AD390)="SKORYGOWANY",0,IF(UPPER(E390)="ZAKUP",IF(L390&lt;&gt;"",L390,I390*K390),0))</f>
        <v/>
      </c>
      <c r="AK390" s="21">
        <f>IF(UPPER(AD390)="SKORYGOWANY",0,IF(UPPER(E390)="SPRZEDAŻ",IF(L390&lt;&gt;"",L390,I390*M390),0))</f>
        <v/>
      </c>
      <c r="AL390" s="21">
        <f>AE390*Q390</f>
        <v/>
      </c>
      <c r="AM390">
        <f>IF(R390="","",IF(LOWER(R390)="brak","Brak",IF(OR(ISNUMBER(SEARCH("własn",LOWER(R390))),ISNUMBER(SEARCH("wlasn",LOWER(R390))),ISNUMBER(SEARCH("wojciechowski",LOWER(R390)))),"Własny","Zewnętrzny")))</f>
        <v/>
      </c>
      <c r="AN390" s="24">
        <f>IF(C390="","",YEAR(C390))</f>
        <v/>
      </c>
      <c r="AO390" s="24">
        <f>IF(C390="","",MONTH(C390))</f>
        <v/>
      </c>
      <c r="AP390">
        <f>IF(C390="","",UPPER(TEXT(C390,"mmmm")))</f>
        <v/>
      </c>
      <c r="AQ390">
        <f>IF(C390="","","Q"&amp;ROUNDUP(MONTH(C390)/3,0))</f>
        <v/>
      </c>
    </row>
    <row r="391">
      <c r="A391" s="19" t="n">
        <v>46251</v>
      </c>
      <c r="B391" t="inlineStr">
        <is>
          <t>Mieczysko</t>
        </is>
      </c>
      <c r="C391" s="19" t="n">
        <v>46251</v>
      </c>
      <c r="D391" t="inlineStr">
        <is>
          <t>Magazyn Zabrze</t>
        </is>
      </c>
      <c r="E391" t="inlineStr">
        <is>
          <t>ZAKUP</t>
        </is>
      </c>
      <c r="F391" t="inlineStr">
        <is>
          <t>PZ/76</t>
        </is>
      </c>
      <c r="G391" t="inlineStr">
        <is>
          <t>TAK</t>
        </is>
      </c>
      <c r="H391" t="inlineStr">
        <is>
          <t>Deklaracja</t>
        </is>
      </c>
      <c r="I391" s="20" t="n">
        <v>80</v>
      </c>
      <c r="J391" t="inlineStr">
        <is>
          <t>MP</t>
        </is>
      </c>
      <c r="K391" s="21" t="n">
        <v>0</v>
      </c>
      <c r="L391" s="21" t="n">
        <v>0</v>
      </c>
      <c r="M391" s="21" t="n">
        <v>0</v>
      </c>
      <c r="N391" t="inlineStr">
        <is>
          <t>Zrębka Produkcyjna Leśna</t>
        </is>
      </c>
      <c r="O391" t="inlineStr">
        <is>
          <t>B</t>
        </is>
      </c>
      <c r="Q391" s="21" t="n">
        <v>0</v>
      </c>
      <c r="R391" t="inlineStr">
        <is>
          <t>własny (Kretek)</t>
        </is>
      </c>
      <c r="S391" t="inlineStr">
        <is>
          <t>SK 7J885</t>
        </is>
      </c>
      <c r="T391" s="22" t="n">
        <v>62</v>
      </c>
      <c r="U391" s="21" t="n">
        <v>5</v>
      </c>
      <c r="V391" s="21" t="n">
        <v>310</v>
      </c>
      <c r="W391" t="inlineStr">
        <is>
          <t>Magazyn Zabrze</t>
        </is>
      </c>
      <c r="Z391" t="inlineStr">
        <is>
          <t>Marcin Kwiatkowski</t>
        </is>
      </c>
      <c r="AA391" s="23" t="n">
        <v>46255.56280092592</v>
      </c>
      <c r="AB391" t="inlineStr">
        <is>
          <t>OP-MIGR-00390</t>
        </is>
      </c>
      <c r="AD391" t="inlineStr">
        <is>
          <t>AKTYWNY</t>
        </is>
      </c>
      <c r="AE391" s="20">
        <f>IF(I391="",0,IF(ISNUMBER(SEARCH("MP",UPPER(J391))),I391,IF(ISNUMBER(SEARCH("TON",UPPER(J391))),I391/Przelicznik_MP_tona,IF(ISNUMBER(SEARCH("M3",UPPER(J391))),I391*Przelicznik_M3_MP,IF(ISNUMBER(SEARCH("GJ",UPPER(J391))),I391/Przelicznik_GJ_tona/Przelicznik_MP_tona,I391)))))</f>
        <v/>
      </c>
      <c r="AF391" s="20">
        <f>IF(I391="",0,IF(ISNUMBER(SEARCH("TON",UPPER(J391))),I391,IF(ISNUMBER(SEARCH("GJ",UPPER(J391))),I391/Przelicznik_GJ_tona,AE391*Przelicznik_MP_tona)))</f>
        <v/>
      </c>
      <c r="AG391" s="20">
        <f>AF391*Przelicznik_GJ_tona</f>
        <v/>
      </c>
      <c r="AH391" s="20">
        <f>IF(UPPER(AD391)="SKORYGOWANY",0,IF(OR(UPPER(E391)="TRANSPORT",UPPER(E391)="MM"),0,IF(UPPER(G391)&lt;&gt;"TAK",0,IF(OR(UPPER(E391)="ZAKUP",UPPER(E391)="PRODUKCJA"),AE391,IF(OR(UPPER(E391)="SPRZEDAŻ",UPPER(E391)="ZUŻYCIE"),-AE391,0)))))</f>
        <v/>
      </c>
      <c r="AI391" s="20">
        <f>IF(UPPER(AD391)="SKORYGOWANY",0,IF(OR(UPPER(E391)="TRANSPORT",UPPER(E391)="MM"),0,IF(UPPER(G391)&lt;&gt;"TAK",0,IF(OR(UPPER(E391)="ZAKUP",UPPER(E391)="PRODUKCJA"),AF391,IF(OR(UPPER(E391)="SPRZEDAŻ",UPPER(E391)="ZUŻYCIE"),-AF391,0)))))</f>
        <v/>
      </c>
      <c r="AJ391" s="21">
        <f>IF(UPPER(AD391)="SKORYGOWANY",0,IF(UPPER(E391)="ZAKUP",IF(L391&lt;&gt;"",L391,I391*K391),0))</f>
        <v/>
      </c>
      <c r="AK391" s="21">
        <f>IF(UPPER(AD391)="SKORYGOWANY",0,IF(UPPER(E391)="SPRZEDAŻ",IF(L391&lt;&gt;"",L391,I391*M391),0))</f>
        <v/>
      </c>
      <c r="AL391" s="21">
        <f>AE391*Q391</f>
        <v/>
      </c>
      <c r="AM391">
        <f>IF(R391="","",IF(LOWER(R391)="brak","Brak",IF(OR(ISNUMBER(SEARCH("własn",LOWER(R391))),ISNUMBER(SEARCH("wlasn",LOWER(R391))),ISNUMBER(SEARCH("wojciechowski",LOWER(R391)))),"Własny","Zewnętrzny")))</f>
        <v/>
      </c>
      <c r="AN391" s="24">
        <f>IF(C391="","",YEAR(C391))</f>
        <v/>
      </c>
      <c r="AO391" s="24">
        <f>IF(C391="","",MONTH(C391))</f>
        <v/>
      </c>
      <c r="AP391">
        <f>IF(C391="","",UPPER(TEXT(C391,"mmmm")))</f>
        <v/>
      </c>
      <c r="AQ391">
        <f>IF(C391="","","Q"&amp;ROUNDUP(MONTH(C391)/3,0))</f>
        <v/>
      </c>
    </row>
    <row r="392">
      <c r="A392" s="19" t="n">
        <v>46251</v>
      </c>
      <c r="C392" s="19" t="n">
        <v>46251</v>
      </c>
      <c r="D392" t="inlineStr">
        <is>
          <t>NDL Świerklaniec, Leśnictwo Mieczysko</t>
        </is>
      </c>
      <c r="E392" t="inlineStr">
        <is>
          <t>ZAKUP</t>
        </is>
      </c>
      <c r="F392" t="inlineStr">
        <is>
          <t>PZ/77   3/202632708/6672</t>
        </is>
      </c>
      <c r="G392" t="inlineStr">
        <is>
          <t>TAK</t>
        </is>
      </c>
      <c r="H392" t="inlineStr">
        <is>
          <t>Deklaracja</t>
        </is>
      </c>
      <c r="I392" s="20" t="n">
        <v>20</v>
      </c>
      <c r="J392" t="inlineStr">
        <is>
          <t>M3</t>
        </is>
      </c>
      <c r="K392" s="21" t="n">
        <v>112</v>
      </c>
      <c r="L392" s="21" t="n">
        <v>2240</v>
      </c>
      <c r="M392" s="21" t="n">
        <v>0</v>
      </c>
      <c r="N392" t="inlineStr">
        <is>
          <t>Drewno opałowe z lasu</t>
        </is>
      </c>
      <c r="Q392" s="21" t="n">
        <v>0</v>
      </c>
      <c r="T392" s="22" t="n">
        <v>0</v>
      </c>
      <c r="U392" s="21" t="n">
        <v>0</v>
      </c>
      <c r="V392" s="21" t="n">
        <v>0</v>
      </c>
      <c r="W392" t="inlineStr">
        <is>
          <t>Magazyn Zabrze</t>
        </is>
      </c>
      <c r="Y392" t="inlineStr">
        <is>
          <t>Waga: 20 400 kg</t>
        </is>
      </c>
      <c r="Z392" t="inlineStr">
        <is>
          <t>Marcin Kwiatkowski</t>
        </is>
      </c>
      <c r="AA392" s="23" t="n">
        <v>46255.57108796296</v>
      </c>
      <c r="AB392" t="inlineStr">
        <is>
          <t>OP-MIGR-00391</t>
        </is>
      </c>
      <c r="AD392" t="inlineStr">
        <is>
          <t>AKTYWNY</t>
        </is>
      </c>
      <c r="AE392" s="20">
        <f>IF(I392="",0,IF(ISNUMBER(SEARCH("MP",UPPER(J392))),I392,IF(ISNUMBER(SEARCH("TON",UPPER(J392))),I392/Przelicznik_MP_tona,IF(ISNUMBER(SEARCH("M3",UPPER(J392))),I392*Przelicznik_M3_MP,IF(ISNUMBER(SEARCH("GJ",UPPER(J392))),I392/Przelicznik_GJ_tona/Przelicznik_MP_tona,I392)))))</f>
        <v/>
      </c>
      <c r="AF392" s="20">
        <f>IF(I392="",0,IF(ISNUMBER(SEARCH("TON",UPPER(J392))),I392,IF(ISNUMBER(SEARCH("GJ",UPPER(J392))),I392/Przelicznik_GJ_tona,AE392*Przelicznik_MP_tona)))</f>
        <v/>
      </c>
      <c r="AG392" s="20">
        <f>AF392*Przelicznik_GJ_tona</f>
        <v/>
      </c>
      <c r="AH392" s="20">
        <f>IF(UPPER(AD392)="SKORYGOWANY",0,IF(OR(UPPER(E392)="TRANSPORT",UPPER(E392)="MM"),0,IF(UPPER(G392)&lt;&gt;"TAK",0,IF(OR(UPPER(E392)="ZAKUP",UPPER(E392)="PRODUKCJA"),AE392,IF(OR(UPPER(E392)="SPRZEDAŻ",UPPER(E392)="ZUŻYCIE"),-AE392,0)))))</f>
        <v/>
      </c>
      <c r="AI392" s="20">
        <f>IF(UPPER(AD392)="SKORYGOWANY",0,IF(OR(UPPER(E392)="TRANSPORT",UPPER(E392)="MM"),0,IF(UPPER(G392)&lt;&gt;"TAK",0,IF(OR(UPPER(E392)="ZAKUP",UPPER(E392)="PRODUKCJA"),AF392,IF(OR(UPPER(E392)="SPRZEDAŻ",UPPER(E392)="ZUŻYCIE"),-AF392,0)))))</f>
        <v/>
      </c>
      <c r="AJ392" s="21">
        <f>IF(UPPER(AD392)="SKORYGOWANY",0,IF(UPPER(E392)="ZAKUP",IF(L392&lt;&gt;"",L392,I392*K392),0))</f>
        <v/>
      </c>
      <c r="AK392" s="21">
        <f>IF(UPPER(AD392)="SKORYGOWANY",0,IF(UPPER(E392)="SPRZEDAŻ",IF(L392&lt;&gt;"",L392,I392*M392),0))</f>
        <v/>
      </c>
      <c r="AL392" s="21">
        <f>AE392*Q392</f>
        <v/>
      </c>
      <c r="AM392">
        <f>IF(R392="","",IF(LOWER(R392)="brak","Brak",IF(OR(ISNUMBER(SEARCH("własn",LOWER(R392))),ISNUMBER(SEARCH("wlasn",LOWER(R392))),ISNUMBER(SEARCH("wojciechowski",LOWER(R392)))),"Własny","Zewnętrzny")))</f>
        <v/>
      </c>
      <c r="AN392" s="24">
        <f>IF(C392="","",YEAR(C392))</f>
        <v/>
      </c>
      <c r="AO392" s="24">
        <f>IF(C392="","",MONTH(C392))</f>
        <v/>
      </c>
      <c r="AP392">
        <f>IF(C392="","",UPPER(TEXT(C392,"mmmm")))</f>
        <v/>
      </c>
      <c r="AQ392">
        <f>IF(C392="","","Q"&amp;ROUNDUP(MONTH(C392)/3,0))</f>
        <v/>
      </c>
    </row>
    <row r="393">
      <c r="A393" s="19" t="n">
        <v>46251</v>
      </c>
      <c r="C393" s="19" t="n">
        <v>46251</v>
      </c>
      <c r="D393" t="inlineStr">
        <is>
          <t>Magazyn Zabrze</t>
        </is>
      </c>
      <c r="E393" t="inlineStr">
        <is>
          <t>PRODUKCJA</t>
        </is>
      </c>
      <c r="F393" t="inlineStr">
        <is>
          <t>PZ/77</t>
        </is>
      </c>
      <c r="G393" t="inlineStr">
        <is>
          <t>TAK</t>
        </is>
      </c>
      <c r="H393" t="inlineStr">
        <is>
          <t>Deklaracja</t>
        </is>
      </c>
      <c r="I393" s="20" t="n">
        <v>80</v>
      </c>
      <c r="J393" t="inlineStr">
        <is>
          <t>MP</t>
        </is>
      </c>
      <c r="K393" s="21" t="n">
        <v>0</v>
      </c>
      <c r="L393" s="21" t="n">
        <v>0</v>
      </c>
      <c r="M393" s="21" t="n">
        <v>0</v>
      </c>
      <c r="N393" t="inlineStr">
        <is>
          <t>Zrębka Produkcyjna Leśna</t>
        </is>
      </c>
      <c r="O393" t="inlineStr">
        <is>
          <t>B</t>
        </is>
      </c>
      <c r="P393" t="inlineStr">
        <is>
          <t>własne</t>
        </is>
      </c>
      <c r="Q393" s="21" t="n">
        <v>10</v>
      </c>
      <c r="T393" s="22" t="n">
        <v>0</v>
      </c>
      <c r="U393" s="21" t="n">
        <v>0</v>
      </c>
      <c r="V393" s="21" t="n">
        <v>0</v>
      </c>
      <c r="W393" t="inlineStr">
        <is>
          <t>Magazyn Zabrze</t>
        </is>
      </c>
      <c r="X393" t="inlineStr">
        <is>
          <t>Magazyn Zabrze</t>
        </is>
      </c>
      <c r="Y393" t="inlineStr">
        <is>
          <t>Rębak z Brąszewic, rębakowy Łukasz Kempski</t>
        </is>
      </c>
      <c r="Z393" t="inlineStr">
        <is>
          <t>Marcin Kwiatkowski</t>
        </is>
      </c>
      <c r="AA393" s="23" t="n">
        <v>46255.57202546296</v>
      </c>
      <c r="AB393" t="inlineStr">
        <is>
          <t>OP-MIGR-00392</t>
        </is>
      </c>
      <c r="AD393" t="inlineStr">
        <is>
          <t>AKTYWNY</t>
        </is>
      </c>
      <c r="AE393" s="20">
        <f>IF(I393="",0,IF(ISNUMBER(SEARCH("MP",UPPER(J393))),I393,IF(ISNUMBER(SEARCH("TON",UPPER(J393))),I393/Przelicznik_MP_tona,IF(ISNUMBER(SEARCH("M3",UPPER(J393))),I393*Przelicznik_M3_MP,IF(ISNUMBER(SEARCH("GJ",UPPER(J393))),I393/Przelicznik_GJ_tona/Przelicznik_MP_tona,I393)))))</f>
        <v/>
      </c>
      <c r="AF393" s="20">
        <f>IF(I393="",0,IF(ISNUMBER(SEARCH("TON",UPPER(J393))),I393,IF(ISNUMBER(SEARCH("GJ",UPPER(J393))),I393/Przelicznik_GJ_tona,AE393*Przelicznik_MP_tona)))</f>
        <v/>
      </c>
      <c r="AG393" s="20">
        <f>AF393*Przelicznik_GJ_tona</f>
        <v/>
      </c>
      <c r="AH393" s="20">
        <f>IF(UPPER(AD393)="SKORYGOWANY",0,IF(OR(UPPER(E393)="TRANSPORT",UPPER(E393)="MM"),0,IF(UPPER(G393)&lt;&gt;"TAK",0,IF(OR(UPPER(E393)="ZAKUP",UPPER(E393)="PRODUKCJA"),AE393,IF(OR(UPPER(E393)="SPRZEDAŻ",UPPER(E393)="ZUŻYCIE"),-AE393,0)))))</f>
        <v/>
      </c>
      <c r="AI393" s="20">
        <f>IF(UPPER(AD393)="SKORYGOWANY",0,IF(OR(UPPER(E393)="TRANSPORT",UPPER(E393)="MM"),0,IF(UPPER(G393)&lt;&gt;"TAK",0,IF(OR(UPPER(E393)="ZAKUP",UPPER(E393)="PRODUKCJA"),AF393,IF(OR(UPPER(E393)="SPRZEDAŻ",UPPER(E393)="ZUŻYCIE"),-AF393,0)))))</f>
        <v/>
      </c>
      <c r="AJ393" s="21">
        <f>IF(UPPER(AD393)="SKORYGOWANY",0,IF(UPPER(E393)="ZAKUP",IF(L393&lt;&gt;"",L393,I393*K393),0))</f>
        <v/>
      </c>
      <c r="AK393" s="21">
        <f>IF(UPPER(AD393)="SKORYGOWANY",0,IF(UPPER(E393)="SPRZEDAŻ",IF(L393&lt;&gt;"",L393,I393*M393),0))</f>
        <v/>
      </c>
      <c r="AL393" s="21">
        <f>AE393*Q393</f>
        <v/>
      </c>
      <c r="AM393">
        <f>IF(R393="","",IF(LOWER(R393)="brak","Brak",IF(OR(ISNUMBER(SEARCH("własn",LOWER(R393))),ISNUMBER(SEARCH("wlasn",LOWER(R393))),ISNUMBER(SEARCH("wojciechowski",LOWER(R393)))),"Własny","Zewnętrzny")))</f>
        <v/>
      </c>
      <c r="AN393" s="24">
        <f>IF(C393="","",YEAR(C393))</f>
        <v/>
      </c>
      <c r="AO393" s="24">
        <f>IF(C393="","",MONTH(C393))</f>
        <v/>
      </c>
      <c r="AP393">
        <f>IF(C393="","",UPPER(TEXT(C393,"mmmm")))</f>
        <v/>
      </c>
      <c r="AQ393">
        <f>IF(C393="","","Q"&amp;ROUNDUP(MONTH(C393)/3,0))</f>
        <v/>
      </c>
    </row>
    <row r="394">
      <c r="A394" s="19" t="n">
        <v>46251</v>
      </c>
      <c r="C394" s="19" t="n">
        <v>46251</v>
      </c>
      <c r="D394" t="inlineStr">
        <is>
          <t>Magazyn Zabrze</t>
        </is>
      </c>
      <c r="E394" t="inlineStr">
        <is>
          <t>ZUŻYCIE</t>
        </is>
      </c>
      <c r="F394" t="inlineStr">
        <is>
          <t>PZ/77</t>
        </is>
      </c>
      <c r="G394" t="inlineStr">
        <is>
          <t>TAK</t>
        </is>
      </c>
      <c r="H394" t="inlineStr">
        <is>
          <t>Deklaracja</t>
        </is>
      </c>
      <c r="I394" s="20" t="n">
        <v>80</v>
      </c>
      <c r="J394" t="inlineStr">
        <is>
          <t>MP</t>
        </is>
      </c>
      <c r="K394" s="21" t="n">
        <v>0</v>
      </c>
      <c r="L394" s="21" t="n">
        <v>0</v>
      </c>
      <c r="M394" s="21" t="n">
        <v>0</v>
      </c>
      <c r="N394" t="inlineStr">
        <is>
          <t>Zrębka Produkcyjna Leśna</t>
        </is>
      </c>
      <c r="O394" t="inlineStr">
        <is>
          <t>B</t>
        </is>
      </c>
      <c r="P394" t="inlineStr">
        <is>
          <t>własne</t>
        </is>
      </c>
      <c r="Q394" s="21" t="n">
        <v>10</v>
      </c>
      <c r="T394" s="22" t="n">
        <v>0</v>
      </c>
      <c r="U394" s="21" t="n">
        <v>0</v>
      </c>
      <c r="V394" s="21" t="n">
        <v>0</v>
      </c>
      <c r="W394" t="inlineStr">
        <is>
          <t>Magazyn Zabrze</t>
        </is>
      </c>
      <c r="X394" t="inlineStr">
        <is>
          <t>Magazyn Zabrze</t>
        </is>
      </c>
      <c r="Y394" t="inlineStr">
        <is>
          <t>Automatyczne zużycie surowca do produkcji</t>
        </is>
      </c>
      <c r="AA394" s="23" t="n">
        <v>46255.57202546296</v>
      </c>
      <c r="AB394" t="inlineStr">
        <is>
          <t>OP-MIGR-00393</t>
        </is>
      </c>
      <c r="AD394" t="inlineStr">
        <is>
          <t>AKTYWNY</t>
        </is>
      </c>
      <c r="AE394" s="20">
        <f>IF(I394="",0,IF(ISNUMBER(SEARCH("MP",UPPER(J394))),I394,IF(ISNUMBER(SEARCH("TON",UPPER(J394))),I394/Przelicznik_MP_tona,IF(ISNUMBER(SEARCH("M3",UPPER(J394))),I394*Przelicznik_M3_MP,IF(ISNUMBER(SEARCH("GJ",UPPER(J394))),I394/Przelicznik_GJ_tona/Przelicznik_MP_tona,I394)))))</f>
        <v/>
      </c>
      <c r="AF394" s="20">
        <f>IF(I394="",0,IF(ISNUMBER(SEARCH("TON",UPPER(J394))),I394,IF(ISNUMBER(SEARCH("GJ",UPPER(J394))),I394/Przelicznik_GJ_tona,AE394*Przelicznik_MP_tona)))</f>
        <v/>
      </c>
      <c r="AG394" s="20">
        <f>AF394*Przelicznik_GJ_tona</f>
        <v/>
      </c>
      <c r="AH394" s="20">
        <f>IF(UPPER(AD394)="SKORYGOWANY",0,IF(OR(UPPER(E394)="TRANSPORT",UPPER(E394)="MM"),0,IF(UPPER(G394)&lt;&gt;"TAK",0,IF(OR(UPPER(E394)="ZAKUP",UPPER(E394)="PRODUKCJA"),AE394,IF(OR(UPPER(E394)="SPRZEDAŻ",UPPER(E394)="ZUŻYCIE"),-AE394,0)))))</f>
        <v/>
      </c>
      <c r="AI394" s="20">
        <f>IF(UPPER(AD394)="SKORYGOWANY",0,IF(OR(UPPER(E394)="TRANSPORT",UPPER(E394)="MM"),0,IF(UPPER(G394)&lt;&gt;"TAK",0,IF(OR(UPPER(E394)="ZAKUP",UPPER(E394)="PRODUKCJA"),AF394,IF(OR(UPPER(E394)="SPRZEDAŻ",UPPER(E394)="ZUŻYCIE"),-AF394,0)))))</f>
        <v/>
      </c>
      <c r="AJ394" s="21">
        <f>IF(UPPER(AD394)="SKORYGOWANY",0,IF(UPPER(E394)="ZAKUP",IF(L394&lt;&gt;"",L394,I394*K394),0))</f>
        <v/>
      </c>
      <c r="AK394" s="21">
        <f>IF(UPPER(AD394)="SKORYGOWANY",0,IF(UPPER(E394)="SPRZEDAŻ",IF(L394&lt;&gt;"",L394,I394*M394),0))</f>
        <v/>
      </c>
      <c r="AL394" s="21">
        <f>AE394*Q394</f>
        <v/>
      </c>
      <c r="AM394">
        <f>IF(R394="","",IF(LOWER(R394)="brak","Brak",IF(OR(ISNUMBER(SEARCH("własn",LOWER(R394))),ISNUMBER(SEARCH("wlasn",LOWER(R394))),ISNUMBER(SEARCH("wojciechowski",LOWER(R394)))),"Własny","Zewnętrzny")))</f>
        <v/>
      </c>
      <c r="AN394" s="24">
        <f>IF(C394="","",YEAR(C394))</f>
        <v/>
      </c>
      <c r="AO394" s="24">
        <f>IF(C394="","",MONTH(C394))</f>
        <v/>
      </c>
      <c r="AP394">
        <f>IF(C394="","",UPPER(TEXT(C394,"mmmm")))</f>
        <v/>
      </c>
      <c r="AQ394">
        <f>IF(C394="","","Q"&amp;ROUNDUP(MONTH(C394)/3,0))</f>
        <v/>
      </c>
    </row>
    <row r="395">
      <c r="A395" s="19" t="n">
        <v>46251</v>
      </c>
      <c r="B395" t="inlineStr">
        <is>
          <t>Mieczysko</t>
        </is>
      </c>
      <c r="C395" s="19" t="n">
        <v>46251</v>
      </c>
      <c r="D395" t="inlineStr">
        <is>
          <t>Magazyn Zabrze</t>
        </is>
      </c>
      <c r="E395" t="inlineStr">
        <is>
          <t>ZAKUP</t>
        </is>
      </c>
      <c r="F395" t="inlineStr">
        <is>
          <t>PZ/77</t>
        </is>
      </c>
      <c r="G395" t="inlineStr">
        <is>
          <t>TAK</t>
        </is>
      </c>
      <c r="H395" t="inlineStr">
        <is>
          <t>Deklaracja</t>
        </is>
      </c>
      <c r="I395" s="20" t="n">
        <v>80</v>
      </c>
      <c r="J395" t="inlineStr">
        <is>
          <t>MP</t>
        </is>
      </c>
      <c r="K395" s="21" t="n">
        <v>0</v>
      </c>
      <c r="L395" s="21" t="n">
        <v>0</v>
      </c>
      <c r="M395" s="21" t="n">
        <v>0</v>
      </c>
      <c r="N395" t="inlineStr">
        <is>
          <t>Zrębka Produkcyjna Leśna</t>
        </is>
      </c>
      <c r="O395" t="inlineStr">
        <is>
          <t>B</t>
        </is>
      </c>
      <c r="Q395" s="21" t="n">
        <v>0</v>
      </c>
      <c r="R395" t="inlineStr">
        <is>
          <t>własny (Wilczak)</t>
        </is>
      </c>
      <c r="S395" t="inlineStr">
        <is>
          <t>SK 7J884</t>
        </is>
      </c>
      <c r="T395" s="22" t="n">
        <v>62</v>
      </c>
      <c r="U395" s="21" t="n">
        <v>5</v>
      </c>
      <c r="V395" s="21" t="n">
        <v>310</v>
      </c>
      <c r="W395" t="inlineStr">
        <is>
          <t>Magazyn Zabrze</t>
        </is>
      </c>
      <c r="Z395" t="inlineStr">
        <is>
          <t>Marcin Kwiatkowski</t>
        </is>
      </c>
      <c r="AA395" s="23" t="n">
        <v>46255.57297453703</v>
      </c>
      <c r="AB395" t="inlineStr">
        <is>
          <t>OP-MIGR-00394</t>
        </is>
      </c>
      <c r="AD395" t="inlineStr">
        <is>
          <t>AKTYWNY</t>
        </is>
      </c>
      <c r="AE395" s="20">
        <f>IF(I395="",0,IF(ISNUMBER(SEARCH("MP",UPPER(J395))),I395,IF(ISNUMBER(SEARCH("TON",UPPER(J395))),I395/Przelicznik_MP_tona,IF(ISNUMBER(SEARCH("M3",UPPER(J395))),I395*Przelicznik_M3_MP,IF(ISNUMBER(SEARCH("GJ",UPPER(J395))),I395/Przelicznik_GJ_tona/Przelicznik_MP_tona,I395)))))</f>
        <v/>
      </c>
      <c r="AF395" s="20">
        <f>IF(I395="",0,IF(ISNUMBER(SEARCH("TON",UPPER(J395))),I395,IF(ISNUMBER(SEARCH("GJ",UPPER(J395))),I395/Przelicznik_GJ_tona,AE395*Przelicznik_MP_tona)))</f>
        <v/>
      </c>
      <c r="AG395" s="20">
        <f>AF395*Przelicznik_GJ_tona</f>
        <v/>
      </c>
      <c r="AH395" s="20">
        <f>IF(UPPER(AD395)="SKORYGOWANY",0,IF(OR(UPPER(E395)="TRANSPORT",UPPER(E395)="MM"),0,IF(UPPER(G395)&lt;&gt;"TAK",0,IF(OR(UPPER(E395)="ZAKUP",UPPER(E395)="PRODUKCJA"),AE395,IF(OR(UPPER(E395)="SPRZEDAŻ",UPPER(E395)="ZUŻYCIE"),-AE395,0)))))</f>
        <v/>
      </c>
      <c r="AI395" s="20">
        <f>IF(UPPER(AD395)="SKORYGOWANY",0,IF(OR(UPPER(E395)="TRANSPORT",UPPER(E395)="MM"),0,IF(UPPER(G395)&lt;&gt;"TAK",0,IF(OR(UPPER(E395)="ZAKUP",UPPER(E395)="PRODUKCJA"),AF395,IF(OR(UPPER(E395)="SPRZEDAŻ",UPPER(E395)="ZUŻYCIE"),-AF395,0)))))</f>
        <v/>
      </c>
      <c r="AJ395" s="21">
        <f>IF(UPPER(AD395)="SKORYGOWANY",0,IF(UPPER(E395)="ZAKUP",IF(L395&lt;&gt;"",L395,I395*K395),0))</f>
        <v/>
      </c>
      <c r="AK395" s="21">
        <f>IF(UPPER(AD395)="SKORYGOWANY",0,IF(UPPER(E395)="SPRZEDAŻ",IF(L395&lt;&gt;"",L395,I395*M395),0))</f>
        <v/>
      </c>
      <c r="AL395" s="21">
        <f>AE395*Q395</f>
        <v/>
      </c>
      <c r="AM395">
        <f>IF(R395="","",IF(LOWER(R395)="brak","Brak",IF(OR(ISNUMBER(SEARCH("własn",LOWER(R395))),ISNUMBER(SEARCH("wlasn",LOWER(R395))),ISNUMBER(SEARCH("wojciechowski",LOWER(R395)))),"Własny","Zewnętrzny")))</f>
        <v/>
      </c>
      <c r="AN395" s="24">
        <f>IF(C395="","",YEAR(C395))</f>
        <v/>
      </c>
      <c r="AO395" s="24">
        <f>IF(C395="","",MONTH(C395))</f>
        <v/>
      </c>
      <c r="AP395">
        <f>IF(C395="","",UPPER(TEXT(C395,"mmmm")))</f>
        <v/>
      </c>
      <c r="AQ395">
        <f>IF(C395="","","Q"&amp;ROUNDUP(MONTH(C395)/3,0))</f>
        <v/>
      </c>
    </row>
    <row r="396">
      <c r="A396" s="19" t="n">
        <v>46251</v>
      </c>
      <c r="C396" s="19" t="n">
        <v>46251</v>
      </c>
      <c r="D396" t="inlineStr">
        <is>
          <t>NDL Świerklaniec, Leśnictwo Mieczysko</t>
        </is>
      </c>
      <c r="E396" t="inlineStr">
        <is>
          <t>ZAKUP</t>
        </is>
      </c>
      <c r="F396" t="inlineStr">
        <is>
          <t>PZ/78   3/202632708/6673</t>
        </is>
      </c>
      <c r="G396" t="inlineStr">
        <is>
          <t>TAK</t>
        </is>
      </c>
      <c r="H396" t="inlineStr">
        <is>
          <t>Deklaracja</t>
        </is>
      </c>
      <c r="I396" s="20" t="n">
        <v>20</v>
      </c>
      <c r="J396" t="inlineStr">
        <is>
          <t>M3</t>
        </is>
      </c>
      <c r="K396" s="21" t="n">
        <v>112</v>
      </c>
      <c r="L396" s="21" t="n">
        <v>2240</v>
      </c>
      <c r="M396" s="21" t="n">
        <v>0</v>
      </c>
      <c r="N396" t="inlineStr">
        <is>
          <t>Drewno opałowe z lasu</t>
        </is>
      </c>
      <c r="Q396" s="21" t="n">
        <v>0</v>
      </c>
      <c r="T396" s="22" t="n">
        <v>0</v>
      </c>
      <c r="U396" s="21" t="n">
        <v>0</v>
      </c>
      <c r="V396" s="21" t="n">
        <v>0</v>
      </c>
      <c r="W396" t="inlineStr">
        <is>
          <t>Magazyn Zabrze</t>
        </is>
      </c>
      <c r="Y396" t="inlineStr">
        <is>
          <t>Waga: 21 340 kg</t>
        </is>
      </c>
      <c r="Z396" t="inlineStr">
        <is>
          <t>Marcin Kwiatkowski</t>
        </is>
      </c>
      <c r="AA396" s="23" t="n">
        <v>46255.57453703704</v>
      </c>
      <c r="AB396" t="inlineStr">
        <is>
          <t>OP-MIGR-00395</t>
        </is>
      </c>
      <c r="AD396" t="inlineStr">
        <is>
          <t>AKTYWNY</t>
        </is>
      </c>
      <c r="AE396" s="20">
        <f>IF(I396="",0,IF(ISNUMBER(SEARCH("MP",UPPER(J396))),I396,IF(ISNUMBER(SEARCH("TON",UPPER(J396))),I396/Przelicznik_MP_tona,IF(ISNUMBER(SEARCH("M3",UPPER(J396))),I396*Przelicznik_M3_MP,IF(ISNUMBER(SEARCH("GJ",UPPER(J396))),I396/Przelicznik_GJ_tona/Przelicznik_MP_tona,I396)))))</f>
        <v/>
      </c>
      <c r="AF396" s="20">
        <f>IF(I396="",0,IF(ISNUMBER(SEARCH("TON",UPPER(J396))),I396,IF(ISNUMBER(SEARCH("GJ",UPPER(J396))),I396/Przelicznik_GJ_tona,AE396*Przelicznik_MP_tona)))</f>
        <v/>
      </c>
      <c r="AG396" s="20">
        <f>AF396*Przelicznik_GJ_tona</f>
        <v/>
      </c>
      <c r="AH396" s="20">
        <f>IF(UPPER(AD396)="SKORYGOWANY",0,IF(OR(UPPER(E396)="TRANSPORT",UPPER(E396)="MM"),0,IF(UPPER(G396)&lt;&gt;"TAK",0,IF(OR(UPPER(E396)="ZAKUP",UPPER(E396)="PRODUKCJA"),AE396,IF(OR(UPPER(E396)="SPRZEDAŻ",UPPER(E396)="ZUŻYCIE"),-AE396,0)))))</f>
        <v/>
      </c>
      <c r="AI396" s="20">
        <f>IF(UPPER(AD396)="SKORYGOWANY",0,IF(OR(UPPER(E396)="TRANSPORT",UPPER(E396)="MM"),0,IF(UPPER(G396)&lt;&gt;"TAK",0,IF(OR(UPPER(E396)="ZAKUP",UPPER(E396)="PRODUKCJA"),AF396,IF(OR(UPPER(E396)="SPRZEDAŻ",UPPER(E396)="ZUŻYCIE"),-AF396,0)))))</f>
        <v/>
      </c>
      <c r="AJ396" s="21">
        <f>IF(UPPER(AD396)="SKORYGOWANY",0,IF(UPPER(E396)="ZAKUP",IF(L396&lt;&gt;"",L396,I396*K396),0))</f>
        <v/>
      </c>
      <c r="AK396" s="21">
        <f>IF(UPPER(AD396)="SKORYGOWANY",0,IF(UPPER(E396)="SPRZEDAŻ",IF(L396&lt;&gt;"",L396,I396*M396),0))</f>
        <v/>
      </c>
      <c r="AL396" s="21">
        <f>AE396*Q396</f>
        <v/>
      </c>
      <c r="AM396">
        <f>IF(R396="","",IF(LOWER(R396)="brak","Brak",IF(OR(ISNUMBER(SEARCH("własn",LOWER(R396))),ISNUMBER(SEARCH("wlasn",LOWER(R396))),ISNUMBER(SEARCH("wojciechowski",LOWER(R396)))),"Własny","Zewnętrzny")))</f>
        <v/>
      </c>
      <c r="AN396" s="24">
        <f>IF(C396="","",YEAR(C396))</f>
        <v/>
      </c>
      <c r="AO396" s="24">
        <f>IF(C396="","",MONTH(C396))</f>
        <v/>
      </c>
      <c r="AP396">
        <f>IF(C396="","",UPPER(TEXT(C396,"mmmm")))</f>
        <v/>
      </c>
      <c r="AQ396">
        <f>IF(C396="","","Q"&amp;ROUNDUP(MONTH(C396)/3,0))</f>
        <v/>
      </c>
    </row>
    <row r="397">
      <c r="A397" s="19" t="n">
        <v>46251</v>
      </c>
      <c r="C397" s="19" t="n">
        <v>46251</v>
      </c>
      <c r="D397" t="inlineStr">
        <is>
          <t>Magazyn Zabrze</t>
        </is>
      </c>
      <c r="E397" t="inlineStr">
        <is>
          <t>PRODUKCJA</t>
        </is>
      </c>
      <c r="F397" t="inlineStr">
        <is>
          <t>PZ/78</t>
        </is>
      </c>
      <c r="G397" t="inlineStr">
        <is>
          <t>TAK</t>
        </is>
      </c>
      <c r="H397" t="inlineStr">
        <is>
          <t>Deklaracja</t>
        </is>
      </c>
      <c r="I397" s="20" t="n">
        <v>80</v>
      </c>
      <c r="J397" t="inlineStr">
        <is>
          <t>MP</t>
        </is>
      </c>
      <c r="K397" s="21" t="n">
        <v>0</v>
      </c>
      <c r="L397" s="21" t="n">
        <v>0</v>
      </c>
      <c r="M397" s="21" t="n">
        <v>0</v>
      </c>
      <c r="N397" t="inlineStr">
        <is>
          <t>Zrębka Produkcyjna Leśna</t>
        </is>
      </c>
      <c r="O397" t="inlineStr">
        <is>
          <t>B</t>
        </is>
      </c>
      <c r="P397" t="inlineStr">
        <is>
          <t>własne</t>
        </is>
      </c>
      <c r="Q397" s="21" t="n">
        <v>10</v>
      </c>
      <c r="T397" s="22" t="n">
        <v>0</v>
      </c>
      <c r="U397" s="21" t="n">
        <v>0</v>
      </c>
      <c r="V397" s="21" t="n">
        <v>0</v>
      </c>
      <c r="W397" t="inlineStr">
        <is>
          <t>Magazyn Zabrze</t>
        </is>
      </c>
      <c r="X397" t="inlineStr">
        <is>
          <t>Magazyn Zabrze</t>
        </is>
      </c>
      <c r="Y397" t="inlineStr">
        <is>
          <t>Rębak z Brąszewic, rębakowy Łukasz Kempski</t>
        </is>
      </c>
      <c r="Z397" t="inlineStr">
        <is>
          <t>Marcin Kwiatkowski</t>
        </is>
      </c>
      <c r="AA397" s="23" t="n">
        <v>46255.57679398148</v>
      </c>
      <c r="AB397" t="inlineStr">
        <is>
          <t>OP-MIGR-00396</t>
        </is>
      </c>
      <c r="AD397" t="inlineStr">
        <is>
          <t>AKTYWNY</t>
        </is>
      </c>
      <c r="AE397" s="20">
        <f>IF(I397="",0,IF(ISNUMBER(SEARCH("MP",UPPER(J397))),I397,IF(ISNUMBER(SEARCH("TON",UPPER(J397))),I397/Przelicznik_MP_tona,IF(ISNUMBER(SEARCH("M3",UPPER(J397))),I397*Przelicznik_M3_MP,IF(ISNUMBER(SEARCH("GJ",UPPER(J397))),I397/Przelicznik_GJ_tona/Przelicznik_MP_tona,I397)))))</f>
        <v/>
      </c>
      <c r="AF397" s="20">
        <f>IF(I397="",0,IF(ISNUMBER(SEARCH("TON",UPPER(J397))),I397,IF(ISNUMBER(SEARCH("GJ",UPPER(J397))),I397/Przelicznik_GJ_tona,AE397*Przelicznik_MP_tona)))</f>
        <v/>
      </c>
      <c r="AG397" s="20">
        <f>AF397*Przelicznik_GJ_tona</f>
        <v/>
      </c>
      <c r="AH397" s="20">
        <f>IF(UPPER(AD397)="SKORYGOWANY",0,IF(OR(UPPER(E397)="TRANSPORT",UPPER(E397)="MM"),0,IF(UPPER(G397)&lt;&gt;"TAK",0,IF(OR(UPPER(E397)="ZAKUP",UPPER(E397)="PRODUKCJA"),AE397,IF(OR(UPPER(E397)="SPRZEDAŻ",UPPER(E397)="ZUŻYCIE"),-AE397,0)))))</f>
        <v/>
      </c>
      <c r="AI397" s="20">
        <f>IF(UPPER(AD397)="SKORYGOWANY",0,IF(OR(UPPER(E397)="TRANSPORT",UPPER(E397)="MM"),0,IF(UPPER(G397)&lt;&gt;"TAK",0,IF(OR(UPPER(E397)="ZAKUP",UPPER(E397)="PRODUKCJA"),AF397,IF(OR(UPPER(E397)="SPRZEDAŻ",UPPER(E397)="ZUŻYCIE"),-AF397,0)))))</f>
        <v/>
      </c>
      <c r="AJ397" s="21">
        <f>IF(UPPER(AD397)="SKORYGOWANY",0,IF(UPPER(E397)="ZAKUP",IF(L397&lt;&gt;"",L397,I397*K397),0))</f>
        <v/>
      </c>
      <c r="AK397" s="21">
        <f>IF(UPPER(AD397)="SKORYGOWANY",0,IF(UPPER(E397)="SPRZEDAŻ",IF(L397&lt;&gt;"",L397,I397*M397),0))</f>
        <v/>
      </c>
      <c r="AL397" s="21">
        <f>AE397*Q397</f>
        <v/>
      </c>
      <c r="AM397">
        <f>IF(R397="","",IF(LOWER(R397)="brak","Brak",IF(OR(ISNUMBER(SEARCH("własn",LOWER(R397))),ISNUMBER(SEARCH("wlasn",LOWER(R397))),ISNUMBER(SEARCH("wojciechowski",LOWER(R397)))),"Własny","Zewnętrzny")))</f>
        <v/>
      </c>
      <c r="AN397" s="24">
        <f>IF(C397="","",YEAR(C397))</f>
        <v/>
      </c>
      <c r="AO397" s="24">
        <f>IF(C397="","",MONTH(C397))</f>
        <v/>
      </c>
      <c r="AP397">
        <f>IF(C397="","",UPPER(TEXT(C397,"mmmm")))</f>
        <v/>
      </c>
      <c r="AQ397">
        <f>IF(C397="","","Q"&amp;ROUNDUP(MONTH(C397)/3,0))</f>
        <v/>
      </c>
    </row>
    <row r="398">
      <c r="A398" s="19" t="n">
        <v>46251</v>
      </c>
      <c r="C398" s="19" t="n">
        <v>46251</v>
      </c>
      <c r="D398" t="inlineStr">
        <is>
          <t>Magazyn Zabrze</t>
        </is>
      </c>
      <c r="E398" t="inlineStr">
        <is>
          <t>ZUŻYCIE</t>
        </is>
      </c>
      <c r="F398" t="inlineStr">
        <is>
          <t>PZ/78</t>
        </is>
      </c>
      <c r="G398" t="inlineStr">
        <is>
          <t>TAK</t>
        </is>
      </c>
      <c r="H398" t="inlineStr">
        <is>
          <t>Deklaracja</t>
        </is>
      </c>
      <c r="I398" s="20" t="n">
        <v>80</v>
      </c>
      <c r="J398" t="inlineStr">
        <is>
          <t>MP</t>
        </is>
      </c>
      <c r="K398" s="21" t="n">
        <v>0</v>
      </c>
      <c r="L398" s="21" t="n">
        <v>0</v>
      </c>
      <c r="M398" s="21" t="n">
        <v>0</v>
      </c>
      <c r="N398" t="inlineStr">
        <is>
          <t>Zrębka Produkcyjna Leśna</t>
        </is>
      </c>
      <c r="O398" t="inlineStr">
        <is>
          <t>B</t>
        </is>
      </c>
      <c r="P398" t="inlineStr">
        <is>
          <t>własne</t>
        </is>
      </c>
      <c r="Q398" s="21" t="n">
        <v>10</v>
      </c>
      <c r="T398" s="22" t="n">
        <v>0</v>
      </c>
      <c r="U398" s="21" t="n">
        <v>0</v>
      </c>
      <c r="V398" s="21" t="n">
        <v>0</v>
      </c>
      <c r="W398" t="inlineStr">
        <is>
          <t>Magazyn Zabrze</t>
        </is>
      </c>
      <c r="X398" t="inlineStr">
        <is>
          <t>Magazyn Zabrze</t>
        </is>
      </c>
      <c r="Y398" t="inlineStr">
        <is>
          <t>Automatyczne zużycie surowca do produkcji</t>
        </is>
      </c>
      <c r="AA398" s="23" t="n">
        <v>46255.57679398148</v>
      </c>
      <c r="AB398" t="inlineStr">
        <is>
          <t>OP-MIGR-00397</t>
        </is>
      </c>
      <c r="AD398" t="inlineStr">
        <is>
          <t>AKTYWNY</t>
        </is>
      </c>
      <c r="AE398" s="20">
        <f>IF(I398="",0,IF(ISNUMBER(SEARCH("MP",UPPER(J398))),I398,IF(ISNUMBER(SEARCH("TON",UPPER(J398))),I398/Przelicznik_MP_tona,IF(ISNUMBER(SEARCH("M3",UPPER(J398))),I398*Przelicznik_M3_MP,IF(ISNUMBER(SEARCH("GJ",UPPER(J398))),I398/Przelicznik_GJ_tona/Przelicznik_MP_tona,I398)))))</f>
        <v/>
      </c>
      <c r="AF398" s="20">
        <f>IF(I398="",0,IF(ISNUMBER(SEARCH("TON",UPPER(J398))),I398,IF(ISNUMBER(SEARCH("GJ",UPPER(J398))),I398/Przelicznik_GJ_tona,AE398*Przelicznik_MP_tona)))</f>
        <v/>
      </c>
      <c r="AG398" s="20">
        <f>AF398*Przelicznik_GJ_tona</f>
        <v/>
      </c>
      <c r="AH398" s="20">
        <f>IF(UPPER(AD398)="SKORYGOWANY",0,IF(OR(UPPER(E398)="TRANSPORT",UPPER(E398)="MM"),0,IF(UPPER(G398)&lt;&gt;"TAK",0,IF(OR(UPPER(E398)="ZAKUP",UPPER(E398)="PRODUKCJA"),AE398,IF(OR(UPPER(E398)="SPRZEDAŻ",UPPER(E398)="ZUŻYCIE"),-AE398,0)))))</f>
        <v/>
      </c>
      <c r="AI398" s="20">
        <f>IF(UPPER(AD398)="SKORYGOWANY",0,IF(OR(UPPER(E398)="TRANSPORT",UPPER(E398)="MM"),0,IF(UPPER(G398)&lt;&gt;"TAK",0,IF(OR(UPPER(E398)="ZAKUP",UPPER(E398)="PRODUKCJA"),AF398,IF(OR(UPPER(E398)="SPRZEDAŻ",UPPER(E398)="ZUŻYCIE"),-AF398,0)))))</f>
        <v/>
      </c>
      <c r="AJ398" s="21">
        <f>IF(UPPER(AD398)="SKORYGOWANY",0,IF(UPPER(E398)="ZAKUP",IF(L398&lt;&gt;"",L398,I398*K398),0))</f>
        <v/>
      </c>
      <c r="AK398" s="21">
        <f>IF(UPPER(AD398)="SKORYGOWANY",0,IF(UPPER(E398)="SPRZEDAŻ",IF(L398&lt;&gt;"",L398,I398*M398),0))</f>
        <v/>
      </c>
      <c r="AL398" s="21">
        <f>AE398*Q398</f>
        <v/>
      </c>
      <c r="AM398">
        <f>IF(R398="","",IF(LOWER(R398)="brak","Brak",IF(OR(ISNUMBER(SEARCH("własn",LOWER(R398))),ISNUMBER(SEARCH("wlasn",LOWER(R398))),ISNUMBER(SEARCH("wojciechowski",LOWER(R398)))),"Własny","Zewnętrzny")))</f>
        <v/>
      </c>
      <c r="AN398" s="24">
        <f>IF(C398="","",YEAR(C398))</f>
        <v/>
      </c>
      <c r="AO398" s="24">
        <f>IF(C398="","",MONTH(C398))</f>
        <v/>
      </c>
      <c r="AP398">
        <f>IF(C398="","",UPPER(TEXT(C398,"mmmm")))</f>
        <v/>
      </c>
      <c r="AQ398">
        <f>IF(C398="","","Q"&amp;ROUNDUP(MONTH(C398)/3,0))</f>
        <v/>
      </c>
    </row>
    <row r="399">
      <c r="A399" s="19" t="n">
        <v>46251</v>
      </c>
      <c r="B399" t="inlineStr">
        <is>
          <t>Mieczysko</t>
        </is>
      </c>
      <c r="C399" s="19" t="n">
        <v>46251</v>
      </c>
      <c r="D399" t="inlineStr">
        <is>
          <t>Magazyn Zabrze</t>
        </is>
      </c>
      <c r="E399" t="inlineStr">
        <is>
          <t>ZAKUP</t>
        </is>
      </c>
      <c r="F399" t="inlineStr">
        <is>
          <t>PZ/78</t>
        </is>
      </c>
      <c r="G399" t="inlineStr">
        <is>
          <t>TAK</t>
        </is>
      </c>
      <c r="H399" t="inlineStr">
        <is>
          <t>Deklaracja</t>
        </is>
      </c>
      <c r="I399" s="20" t="n">
        <v>80</v>
      </c>
      <c r="J399" t="inlineStr">
        <is>
          <t>MP</t>
        </is>
      </c>
      <c r="K399" s="21" t="n">
        <v>0</v>
      </c>
      <c r="L399" s="21" t="n">
        <v>0</v>
      </c>
      <c r="M399" s="21" t="n">
        <v>0</v>
      </c>
      <c r="N399" t="inlineStr">
        <is>
          <t>Zrębka Produkcyjna Leśna</t>
        </is>
      </c>
      <c r="O399" t="inlineStr">
        <is>
          <t>B</t>
        </is>
      </c>
      <c r="Q399" s="21" t="n">
        <v>0</v>
      </c>
      <c r="R399" t="inlineStr">
        <is>
          <t>własny (Chrzan)</t>
        </is>
      </c>
      <c r="S399" t="inlineStr">
        <is>
          <t>SK 5L809</t>
        </is>
      </c>
      <c r="T399" s="22" t="n">
        <v>62</v>
      </c>
      <c r="U399" s="21" t="n">
        <v>5</v>
      </c>
      <c r="V399" s="21" t="n">
        <v>310</v>
      </c>
      <c r="W399" t="inlineStr">
        <is>
          <t>Magazyn Zabrze</t>
        </is>
      </c>
      <c r="Z399" t="inlineStr">
        <is>
          <t>Marcin Kwiatkowski</t>
        </is>
      </c>
      <c r="AA399" s="23" t="n">
        <v>46255.58067129629</v>
      </c>
      <c r="AB399" t="inlineStr">
        <is>
          <t>OP-MIGR-00398</t>
        </is>
      </c>
      <c r="AD399" t="inlineStr">
        <is>
          <t>AKTYWNY</t>
        </is>
      </c>
      <c r="AE399" s="20">
        <f>IF(I399="",0,IF(ISNUMBER(SEARCH("MP",UPPER(J399))),I399,IF(ISNUMBER(SEARCH("TON",UPPER(J399))),I399/Przelicznik_MP_tona,IF(ISNUMBER(SEARCH("M3",UPPER(J399))),I399*Przelicznik_M3_MP,IF(ISNUMBER(SEARCH("GJ",UPPER(J399))),I399/Przelicznik_GJ_tona/Przelicznik_MP_tona,I399)))))</f>
        <v/>
      </c>
      <c r="AF399" s="20">
        <f>IF(I399="",0,IF(ISNUMBER(SEARCH("TON",UPPER(J399))),I399,IF(ISNUMBER(SEARCH("GJ",UPPER(J399))),I399/Przelicznik_GJ_tona,AE399*Przelicznik_MP_tona)))</f>
        <v/>
      </c>
      <c r="AG399" s="20">
        <f>AF399*Przelicznik_GJ_tona</f>
        <v/>
      </c>
      <c r="AH399" s="20">
        <f>IF(UPPER(AD399)="SKORYGOWANY",0,IF(OR(UPPER(E399)="TRANSPORT",UPPER(E399)="MM"),0,IF(UPPER(G399)&lt;&gt;"TAK",0,IF(OR(UPPER(E399)="ZAKUP",UPPER(E399)="PRODUKCJA"),AE399,IF(OR(UPPER(E399)="SPRZEDAŻ",UPPER(E399)="ZUŻYCIE"),-AE399,0)))))</f>
        <v/>
      </c>
      <c r="AI399" s="20">
        <f>IF(UPPER(AD399)="SKORYGOWANY",0,IF(OR(UPPER(E399)="TRANSPORT",UPPER(E399)="MM"),0,IF(UPPER(G399)&lt;&gt;"TAK",0,IF(OR(UPPER(E399)="ZAKUP",UPPER(E399)="PRODUKCJA"),AF399,IF(OR(UPPER(E399)="SPRZEDAŻ",UPPER(E399)="ZUŻYCIE"),-AF399,0)))))</f>
        <v/>
      </c>
      <c r="AJ399" s="21">
        <f>IF(UPPER(AD399)="SKORYGOWANY",0,IF(UPPER(E399)="ZAKUP",IF(L399&lt;&gt;"",L399,I399*K399),0))</f>
        <v/>
      </c>
      <c r="AK399" s="21">
        <f>IF(UPPER(AD399)="SKORYGOWANY",0,IF(UPPER(E399)="SPRZEDAŻ",IF(L399&lt;&gt;"",L399,I399*M399),0))</f>
        <v/>
      </c>
      <c r="AL399" s="21">
        <f>AE399*Q399</f>
        <v/>
      </c>
      <c r="AM399">
        <f>IF(R399="","",IF(LOWER(R399)="brak","Brak",IF(OR(ISNUMBER(SEARCH("własn",LOWER(R399))),ISNUMBER(SEARCH("wlasn",LOWER(R399))),ISNUMBER(SEARCH("wojciechowski",LOWER(R399)))),"Własny","Zewnętrzny")))</f>
        <v/>
      </c>
      <c r="AN399" s="24">
        <f>IF(C399="","",YEAR(C399))</f>
        <v/>
      </c>
      <c r="AO399" s="24">
        <f>IF(C399="","",MONTH(C399))</f>
        <v/>
      </c>
      <c r="AP399">
        <f>IF(C399="","",UPPER(TEXT(C399,"mmmm")))</f>
        <v/>
      </c>
      <c r="AQ399">
        <f>IF(C399="","","Q"&amp;ROUNDUP(MONTH(C399)/3,0))</f>
        <v/>
      </c>
    </row>
    <row r="400">
      <c r="A400" s="19" t="n">
        <v>46251</v>
      </c>
      <c r="C400" s="19" t="n">
        <v>46251</v>
      </c>
      <c r="D400" t="inlineStr">
        <is>
          <t>NDL Świerklaniec, Leśnictwo Mieczysko</t>
        </is>
      </c>
      <c r="E400" t="inlineStr">
        <is>
          <t>ZAKUP</t>
        </is>
      </c>
      <c r="F400" t="inlineStr">
        <is>
          <t>PZ/79   3/202632708/6674</t>
        </is>
      </c>
      <c r="G400" t="inlineStr">
        <is>
          <t>TAK</t>
        </is>
      </c>
      <c r="H400" t="inlineStr">
        <is>
          <t>Deklaracja</t>
        </is>
      </c>
      <c r="I400" s="20" t="n">
        <v>20</v>
      </c>
      <c r="J400" t="inlineStr">
        <is>
          <t>M3</t>
        </is>
      </c>
      <c r="K400" s="21" t="n">
        <v>112</v>
      </c>
      <c r="L400" s="21" t="n">
        <v>2240</v>
      </c>
      <c r="M400" s="21" t="n">
        <v>0</v>
      </c>
      <c r="N400" t="inlineStr">
        <is>
          <t>Drewno opałowe z lasu</t>
        </is>
      </c>
      <c r="Q400" s="21" t="n">
        <v>0</v>
      </c>
      <c r="T400" s="22" t="n">
        <v>0</v>
      </c>
      <c r="U400" s="21" t="n">
        <v>0</v>
      </c>
      <c r="V400" s="21" t="n">
        <v>0</v>
      </c>
      <c r="W400" t="inlineStr">
        <is>
          <t>Magazyn Zabrze</t>
        </is>
      </c>
      <c r="Y400" t="inlineStr">
        <is>
          <t>Waga: 20 760 kg</t>
        </is>
      </c>
      <c r="Z400" t="inlineStr">
        <is>
          <t>Marcin Kwiatkowski</t>
        </is>
      </c>
      <c r="AA400" s="23" t="n">
        <v>46255.61609953704</v>
      </c>
      <c r="AB400" t="inlineStr">
        <is>
          <t>OP-MIGR-00399</t>
        </is>
      </c>
      <c r="AD400" t="inlineStr">
        <is>
          <t>AKTYWNY</t>
        </is>
      </c>
      <c r="AE400" s="20">
        <f>IF(I400="",0,IF(ISNUMBER(SEARCH("MP",UPPER(J400))),I400,IF(ISNUMBER(SEARCH("TON",UPPER(J400))),I400/Przelicznik_MP_tona,IF(ISNUMBER(SEARCH("M3",UPPER(J400))),I400*Przelicznik_M3_MP,IF(ISNUMBER(SEARCH("GJ",UPPER(J400))),I400/Przelicznik_GJ_tona/Przelicznik_MP_tona,I400)))))</f>
        <v/>
      </c>
      <c r="AF400" s="20">
        <f>IF(I400="",0,IF(ISNUMBER(SEARCH("TON",UPPER(J400))),I400,IF(ISNUMBER(SEARCH("GJ",UPPER(J400))),I400/Przelicznik_GJ_tona,AE400*Przelicznik_MP_tona)))</f>
        <v/>
      </c>
      <c r="AG400" s="20">
        <f>AF400*Przelicznik_GJ_tona</f>
        <v/>
      </c>
      <c r="AH400" s="20">
        <f>IF(UPPER(AD400)="SKORYGOWANY",0,IF(OR(UPPER(E400)="TRANSPORT",UPPER(E400)="MM"),0,IF(UPPER(G400)&lt;&gt;"TAK",0,IF(OR(UPPER(E400)="ZAKUP",UPPER(E400)="PRODUKCJA"),AE400,IF(OR(UPPER(E400)="SPRZEDAŻ",UPPER(E400)="ZUŻYCIE"),-AE400,0)))))</f>
        <v/>
      </c>
      <c r="AI400" s="20">
        <f>IF(UPPER(AD400)="SKORYGOWANY",0,IF(OR(UPPER(E400)="TRANSPORT",UPPER(E400)="MM"),0,IF(UPPER(G400)&lt;&gt;"TAK",0,IF(OR(UPPER(E400)="ZAKUP",UPPER(E400)="PRODUKCJA"),AF400,IF(OR(UPPER(E400)="SPRZEDAŻ",UPPER(E400)="ZUŻYCIE"),-AF400,0)))))</f>
        <v/>
      </c>
      <c r="AJ400" s="21">
        <f>IF(UPPER(AD400)="SKORYGOWANY",0,IF(UPPER(E400)="ZAKUP",IF(L400&lt;&gt;"",L400,I400*K400),0))</f>
        <v/>
      </c>
      <c r="AK400" s="21">
        <f>IF(UPPER(AD400)="SKORYGOWANY",0,IF(UPPER(E400)="SPRZEDAŻ",IF(L400&lt;&gt;"",L400,I400*M400),0))</f>
        <v/>
      </c>
      <c r="AL400" s="21">
        <f>AE400*Q400</f>
        <v/>
      </c>
      <c r="AM400">
        <f>IF(R400="","",IF(LOWER(R400)="brak","Brak",IF(OR(ISNUMBER(SEARCH("własn",LOWER(R400))),ISNUMBER(SEARCH("wlasn",LOWER(R400))),ISNUMBER(SEARCH("wojciechowski",LOWER(R400)))),"Własny","Zewnętrzny")))</f>
        <v/>
      </c>
      <c r="AN400" s="24">
        <f>IF(C400="","",YEAR(C400))</f>
        <v/>
      </c>
      <c r="AO400" s="24">
        <f>IF(C400="","",MONTH(C400))</f>
        <v/>
      </c>
      <c r="AP400">
        <f>IF(C400="","",UPPER(TEXT(C400,"mmmm")))</f>
        <v/>
      </c>
      <c r="AQ400">
        <f>IF(C400="","","Q"&amp;ROUNDUP(MONTH(C400)/3,0))</f>
        <v/>
      </c>
    </row>
    <row r="401">
      <c r="A401" s="19" t="n">
        <v>46251</v>
      </c>
      <c r="C401" s="19" t="n">
        <v>46251</v>
      </c>
      <c r="D401" t="inlineStr">
        <is>
          <t>Magazyn Zabrze</t>
        </is>
      </c>
      <c r="E401" t="inlineStr">
        <is>
          <t>PRODUKCJA</t>
        </is>
      </c>
      <c r="F401" t="inlineStr">
        <is>
          <t>PZ/79</t>
        </is>
      </c>
      <c r="G401" t="inlineStr">
        <is>
          <t>TAK</t>
        </is>
      </c>
      <c r="H401" t="inlineStr">
        <is>
          <t>Deklaracja</t>
        </is>
      </c>
      <c r="I401" s="20" t="n">
        <v>80</v>
      </c>
      <c r="J401" t="inlineStr">
        <is>
          <t>MP</t>
        </is>
      </c>
      <c r="K401" s="21" t="n">
        <v>0</v>
      </c>
      <c r="L401" s="21" t="n">
        <v>0</v>
      </c>
      <c r="M401" s="21" t="n">
        <v>0</v>
      </c>
      <c r="N401" t="inlineStr">
        <is>
          <t>Zrębka Produkcyjna Leśna</t>
        </is>
      </c>
      <c r="O401" t="inlineStr">
        <is>
          <t>B</t>
        </is>
      </c>
      <c r="P401" t="inlineStr">
        <is>
          <t>własne</t>
        </is>
      </c>
      <c r="Q401" s="21" t="n">
        <v>10</v>
      </c>
      <c r="T401" s="22" t="n">
        <v>0</v>
      </c>
      <c r="U401" s="21" t="n">
        <v>0</v>
      </c>
      <c r="V401" s="21" t="n">
        <v>0</v>
      </c>
      <c r="W401" t="inlineStr">
        <is>
          <t>Magazyn Zabrze</t>
        </is>
      </c>
      <c r="X401" t="inlineStr">
        <is>
          <t>Magazyn Zabrze</t>
        </is>
      </c>
      <c r="Y401" t="inlineStr">
        <is>
          <t>Rębak z Brąszewic, rębakowy Łukasz Kempski</t>
        </is>
      </c>
      <c r="Z401" t="inlineStr">
        <is>
          <t>Marcin Kwiatkowski</t>
        </is>
      </c>
      <c r="AA401" s="23" t="n">
        <v>46255.6199537037</v>
      </c>
      <c r="AB401" t="inlineStr">
        <is>
          <t>OP-MIGR-00400</t>
        </is>
      </c>
      <c r="AD401" t="inlineStr">
        <is>
          <t>AKTYWNY</t>
        </is>
      </c>
      <c r="AE401" s="20">
        <f>IF(I401="",0,IF(ISNUMBER(SEARCH("MP",UPPER(J401))),I401,IF(ISNUMBER(SEARCH("TON",UPPER(J401))),I401/Przelicznik_MP_tona,IF(ISNUMBER(SEARCH("M3",UPPER(J401))),I401*Przelicznik_M3_MP,IF(ISNUMBER(SEARCH("GJ",UPPER(J401))),I401/Przelicznik_GJ_tona/Przelicznik_MP_tona,I401)))))</f>
        <v/>
      </c>
      <c r="AF401" s="20">
        <f>IF(I401="",0,IF(ISNUMBER(SEARCH("TON",UPPER(J401))),I401,IF(ISNUMBER(SEARCH("GJ",UPPER(J401))),I401/Przelicznik_GJ_tona,AE401*Przelicznik_MP_tona)))</f>
        <v/>
      </c>
      <c r="AG401" s="20">
        <f>AF401*Przelicznik_GJ_tona</f>
        <v/>
      </c>
      <c r="AH401" s="20">
        <f>IF(UPPER(AD401)="SKORYGOWANY",0,IF(OR(UPPER(E401)="TRANSPORT",UPPER(E401)="MM"),0,IF(UPPER(G401)&lt;&gt;"TAK",0,IF(OR(UPPER(E401)="ZAKUP",UPPER(E401)="PRODUKCJA"),AE401,IF(OR(UPPER(E401)="SPRZEDAŻ",UPPER(E401)="ZUŻYCIE"),-AE401,0)))))</f>
        <v/>
      </c>
      <c r="AI401" s="20">
        <f>IF(UPPER(AD401)="SKORYGOWANY",0,IF(OR(UPPER(E401)="TRANSPORT",UPPER(E401)="MM"),0,IF(UPPER(G401)&lt;&gt;"TAK",0,IF(OR(UPPER(E401)="ZAKUP",UPPER(E401)="PRODUKCJA"),AF401,IF(OR(UPPER(E401)="SPRZEDAŻ",UPPER(E401)="ZUŻYCIE"),-AF401,0)))))</f>
        <v/>
      </c>
      <c r="AJ401" s="21">
        <f>IF(UPPER(AD401)="SKORYGOWANY",0,IF(UPPER(E401)="ZAKUP",IF(L401&lt;&gt;"",L401,I401*K401),0))</f>
        <v/>
      </c>
      <c r="AK401" s="21">
        <f>IF(UPPER(AD401)="SKORYGOWANY",0,IF(UPPER(E401)="SPRZEDAŻ",IF(L401&lt;&gt;"",L401,I401*M401),0))</f>
        <v/>
      </c>
      <c r="AL401" s="21">
        <f>AE401*Q401</f>
        <v/>
      </c>
      <c r="AM401">
        <f>IF(R401="","",IF(LOWER(R401)="brak","Brak",IF(OR(ISNUMBER(SEARCH("własn",LOWER(R401))),ISNUMBER(SEARCH("wlasn",LOWER(R401))),ISNUMBER(SEARCH("wojciechowski",LOWER(R401)))),"Własny","Zewnętrzny")))</f>
        <v/>
      </c>
      <c r="AN401" s="24">
        <f>IF(C401="","",YEAR(C401))</f>
        <v/>
      </c>
      <c r="AO401" s="24">
        <f>IF(C401="","",MONTH(C401))</f>
        <v/>
      </c>
      <c r="AP401">
        <f>IF(C401="","",UPPER(TEXT(C401,"mmmm")))</f>
        <v/>
      </c>
      <c r="AQ401">
        <f>IF(C401="","","Q"&amp;ROUNDUP(MONTH(C401)/3,0))</f>
        <v/>
      </c>
    </row>
    <row r="402">
      <c r="A402" s="19" t="n">
        <v>46251</v>
      </c>
      <c r="C402" s="19" t="n">
        <v>46251</v>
      </c>
      <c r="D402" t="inlineStr">
        <is>
          <t>Magazyn Zabrze</t>
        </is>
      </c>
      <c r="E402" t="inlineStr">
        <is>
          <t>ZUŻYCIE</t>
        </is>
      </c>
      <c r="F402" t="inlineStr">
        <is>
          <t>PZ/79</t>
        </is>
      </c>
      <c r="G402" t="inlineStr">
        <is>
          <t>TAK</t>
        </is>
      </c>
      <c r="H402" t="inlineStr">
        <is>
          <t>Deklaracja</t>
        </is>
      </c>
      <c r="I402" s="20" t="n">
        <v>80</v>
      </c>
      <c r="J402" t="inlineStr">
        <is>
          <t>MP</t>
        </is>
      </c>
      <c r="K402" s="21" t="n">
        <v>0</v>
      </c>
      <c r="L402" s="21" t="n">
        <v>0</v>
      </c>
      <c r="M402" s="21" t="n">
        <v>0</v>
      </c>
      <c r="N402" t="inlineStr">
        <is>
          <t>Zrębka Produkcyjna Leśna</t>
        </is>
      </c>
      <c r="O402" t="inlineStr">
        <is>
          <t>B</t>
        </is>
      </c>
      <c r="P402" t="inlineStr">
        <is>
          <t>własne</t>
        </is>
      </c>
      <c r="Q402" s="21" t="n">
        <v>10</v>
      </c>
      <c r="T402" s="22" t="n">
        <v>0</v>
      </c>
      <c r="U402" s="21" t="n">
        <v>0</v>
      </c>
      <c r="V402" s="21" t="n">
        <v>0</v>
      </c>
      <c r="W402" t="inlineStr">
        <is>
          <t>Magazyn Zabrze</t>
        </is>
      </c>
      <c r="X402" t="inlineStr">
        <is>
          <t>Magazyn Zabrze</t>
        </is>
      </c>
      <c r="Y402" t="inlineStr">
        <is>
          <t>Automatyczne zużycie surowca do produkcji</t>
        </is>
      </c>
      <c r="AA402" s="23" t="n">
        <v>46255.6199537037</v>
      </c>
      <c r="AB402" t="inlineStr">
        <is>
          <t>OP-MIGR-00401</t>
        </is>
      </c>
      <c r="AD402" t="inlineStr">
        <is>
          <t>AKTYWNY</t>
        </is>
      </c>
      <c r="AE402" s="20">
        <f>IF(I402="",0,IF(ISNUMBER(SEARCH("MP",UPPER(J402))),I402,IF(ISNUMBER(SEARCH("TON",UPPER(J402))),I402/Przelicznik_MP_tona,IF(ISNUMBER(SEARCH("M3",UPPER(J402))),I402*Przelicznik_M3_MP,IF(ISNUMBER(SEARCH("GJ",UPPER(J402))),I402/Przelicznik_GJ_tona/Przelicznik_MP_tona,I402)))))</f>
        <v/>
      </c>
      <c r="AF402" s="20">
        <f>IF(I402="",0,IF(ISNUMBER(SEARCH("TON",UPPER(J402))),I402,IF(ISNUMBER(SEARCH("GJ",UPPER(J402))),I402/Przelicznik_GJ_tona,AE402*Przelicznik_MP_tona)))</f>
        <v/>
      </c>
      <c r="AG402" s="20">
        <f>AF402*Przelicznik_GJ_tona</f>
        <v/>
      </c>
      <c r="AH402" s="20">
        <f>IF(UPPER(AD402)="SKORYGOWANY",0,IF(OR(UPPER(E402)="TRANSPORT",UPPER(E402)="MM"),0,IF(UPPER(G402)&lt;&gt;"TAK",0,IF(OR(UPPER(E402)="ZAKUP",UPPER(E402)="PRODUKCJA"),AE402,IF(OR(UPPER(E402)="SPRZEDAŻ",UPPER(E402)="ZUŻYCIE"),-AE402,0)))))</f>
        <v/>
      </c>
      <c r="AI402" s="20">
        <f>IF(UPPER(AD402)="SKORYGOWANY",0,IF(OR(UPPER(E402)="TRANSPORT",UPPER(E402)="MM"),0,IF(UPPER(G402)&lt;&gt;"TAK",0,IF(OR(UPPER(E402)="ZAKUP",UPPER(E402)="PRODUKCJA"),AF402,IF(OR(UPPER(E402)="SPRZEDAŻ",UPPER(E402)="ZUŻYCIE"),-AF402,0)))))</f>
        <v/>
      </c>
      <c r="AJ402" s="21">
        <f>IF(UPPER(AD402)="SKORYGOWANY",0,IF(UPPER(E402)="ZAKUP",IF(L402&lt;&gt;"",L402,I402*K402),0))</f>
        <v/>
      </c>
      <c r="AK402" s="21">
        <f>IF(UPPER(AD402)="SKORYGOWANY",0,IF(UPPER(E402)="SPRZEDAŻ",IF(L402&lt;&gt;"",L402,I402*M402),0))</f>
        <v/>
      </c>
      <c r="AL402" s="21">
        <f>AE402*Q402</f>
        <v/>
      </c>
      <c r="AM402">
        <f>IF(R402="","",IF(LOWER(R402)="brak","Brak",IF(OR(ISNUMBER(SEARCH("własn",LOWER(R402))),ISNUMBER(SEARCH("wlasn",LOWER(R402))),ISNUMBER(SEARCH("wojciechowski",LOWER(R402)))),"Własny","Zewnętrzny")))</f>
        <v/>
      </c>
      <c r="AN402" s="24">
        <f>IF(C402="","",YEAR(C402))</f>
        <v/>
      </c>
      <c r="AO402" s="24">
        <f>IF(C402="","",MONTH(C402))</f>
        <v/>
      </c>
      <c r="AP402">
        <f>IF(C402="","",UPPER(TEXT(C402,"mmmm")))</f>
        <v/>
      </c>
      <c r="AQ402">
        <f>IF(C402="","","Q"&amp;ROUNDUP(MONTH(C402)/3,0))</f>
        <v/>
      </c>
    </row>
    <row r="403">
      <c r="A403" s="19" t="n">
        <v>46251</v>
      </c>
      <c r="B403" t="inlineStr">
        <is>
          <t>Mieczysko</t>
        </is>
      </c>
      <c r="C403" s="19" t="n">
        <v>46251</v>
      </c>
      <c r="D403" t="inlineStr">
        <is>
          <t>Magazyn Zabrze</t>
        </is>
      </c>
      <c r="E403" t="inlineStr">
        <is>
          <t>ZAKUP</t>
        </is>
      </c>
      <c r="F403" t="inlineStr">
        <is>
          <t>PZ/79</t>
        </is>
      </c>
      <c r="G403" t="inlineStr">
        <is>
          <t>TAK</t>
        </is>
      </c>
      <c r="H403" t="inlineStr">
        <is>
          <t>Deklaracja</t>
        </is>
      </c>
      <c r="I403" s="20" t="n">
        <v>80</v>
      </c>
      <c r="J403" t="inlineStr">
        <is>
          <t>MP</t>
        </is>
      </c>
      <c r="K403" s="21" t="n">
        <v>0</v>
      </c>
      <c r="L403" s="21" t="n">
        <v>0</v>
      </c>
      <c r="M403" s="21" t="n">
        <v>0</v>
      </c>
      <c r="N403" t="inlineStr">
        <is>
          <t>Zrębka Produkcyjna Leśna</t>
        </is>
      </c>
      <c r="O403" t="inlineStr">
        <is>
          <t>B</t>
        </is>
      </c>
      <c r="Q403" s="21" t="n">
        <v>0</v>
      </c>
      <c r="R403" t="inlineStr">
        <is>
          <t>własny (Adrian Wojciechowski)</t>
        </is>
      </c>
      <c r="S403" t="inlineStr">
        <is>
          <t>SK 5J756</t>
        </is>
      </c>
      <c r="T403" s="22" t="n">
        <v>62</v>
      </c>
      <c r="U403" s="21" t="n">
        <v>5</v>
      </c>
      <c r="V403" s="21" t="n">
        <v>310</v>
      </c>
      <c r="W403" t="inlineStr">
        <is>
          <t>Magazyn Zabrze</t>
        </is>
      </c>
      <c r="Y403" t="inlineStr">
        <is>
          <t>Kierowca z Brąszewic</t>
        </is>
      </c>
      <c r="Z403" t="inlineStr">
        <is>
          <t>Marcin Kwiatkowski</t>
        </is>
      </c>
      <c r="AA403" s="23" t="n">
        <v>46255.62268518518</v>
      </c>
      <c r="AB403" t="inlineStr">
        <is>
          <t>OP-MIGR-00402</t>
        </is>
      </c>
      <c r="AD403" t="inlineStr">
        <is>
          <t>AKTYWNY</t>
        </is>
      </c>
      <c r="AE403" s="20">
        <f>IF(I403="",0,IF(ISNUMBER(SEARCH("MP",UPPER(J403))),I403,IF(ISNUMBER(SEARCH("TON",UPPER(J403))),I403/Przelicznik_MP_tona,IF(ISNUMBER(SEARCH("M3",UPPER(J403))),I403*Przelicznik_M3_MP,IF(ISNUMBER(SEARCH("GJ",UPPER(J403))),I403/Przelicznik_GJ_tona/Przelicznik_MP_tona,I403)))))</f>
        <v/>
      </c>
      <c r="AF403" s="20">
        <f>IF(I403="",0,IF(ISNUMBER(SEARCH("TON",UPPER(J403))),I403,IF(ISNUMBER(SEARCH("GJ",UPPER(J403))),I403/Przelicznik_GJ_tona,AE403*Przelicznik_MP_tona)))</f>
        <v/>
      </c>
      <c r="AG403" s="20">
        <f>AF403*Przelicznik_GJ_tona</f>
        <v/>
      </c>
      <c r="AH403" s="20">
        <f>IF(UPPER(AD403)="SKORYGOWANY",0,IF(OR(UPPER(E403)="TRANSPORT",UPPER(E403)="MM"),0,IF(UPPER(G403)&lt;&gt;"TAK",0,IF(OR(UPPER(E403)="ZAKUP",UPPER(E403)="PRODUKCJA"),AE403,IF(OR(UPPER(E403)="SPRZEDAŻ",UPPER(E403)="ZUŻYCIE"),-AE403,0)))))</f>
        <v/>
      </c>
      <c r="AI403" s="20">
        <f>IF(UPPER(AD403)="SKORYGOWANY",0,IF(OR(UPPER(E403)="TRANSPORT",UPPER(E403)="MM"),0,IF(UPPER(G403)&lt;&gt;"TAK",0,IF(OR(UPPER(E403)="ZAKUP",UPPER(E403)="PRODUKCJA"),AF403,IF(OR(UPPER(E403)="SPRZEDAŻ",UPPER(E403)="ZUŻYCIE"),-AF403,0)))))</f>
        <v/>
      </c>
      <c r="AJ403" s="21">
        <f>IF(UPPER(AD403)="SKORYGOWANY",0,IF(UPPER(E403)="ZAKUP",IF(L403&lt;&gt;"",L403,I403*K403),0))</f>
        <v/>
      </c>
      <c r="AK403" s="21">
        <f>IF(UPPER(AD403)="SKORYGOWANY",0,IF(UPPER(E403)="SPRZEDAŻ",IF(L403&lt;&gt;"",L403,I403*M403),0))</f>
        <v/>
      </c>
      <c r="AL403" s="21">
        <f>AE403*Q403</f>
        <v/>
      </c>
      <c r="AM403">
        <f>IF(R403="","",IF(LOWER(R403)="brak","Brak",IF(OR(ISNUMBER(SEARCH("własn",LOWER(R403))),ISNUMBER(SEARCH("wlasn",LOWER(R403))),ISNUMBER(SEARCH("wojciechowski",LOWER(R403)))),"Własny","Zewnętrzny")))</f>
        <v/>
      </c>
      <c r="AN403" s="24">
        <f>IF(C403="","",YEAR(C403))</f>
        <v/>
      </c>
      <c r="AO403" s="24">
        <f>IF(C403="","",MONTH(C403))</f>
        <v/>
      </c>
      <c r="AP403">
        <f>IF(C403="","",UPPER(TEXT(C403,"mmmm")))</f>
        <v/>
      </c>
      <c r="AQ403">
        <f>IF(C403="","","Q"&amp;ROUNDUP(MONTH(C403)/3,0))</f>
        <v/>
      </c>
    </row>
    <row r="404">
      <c r="A404" s="19" t="n">
        <v>46251</v>
      </c>
      <c r="C404" s="19" t="n">
        <v>46251</v>
      </c>
      <c r="D404" t="inlineStr">
        <is>
          <t>NDL Świerklaniec, Leśnictwo Mieczysko</t>
        </is>
      </c>
      <c r="E404" t="inlineStr">
        <is>
          <t>ZAKUP</t>
        </is>
      </c>
      <c r="F404" t="inlineStr">
        <is>
          <t>PZ/80   3/202632708/6675</t>
        </is>
      </c>
      <c r="G404" t="inlineStr">
        <is>
          <t>TAK</t>
        </is>
      </c>
      <c r="H404" t="inlineStr">
        <is>
          <t>Deklaracja</t>
        </is>
      </c>
      <c r="I404" s="20" t="n">
        <v>10</v>
      </c>
      <c r="J404" t="inlineStr">
        <is>
          <t>M3</t>
        </is>
      </c>
      <c r="K404" s="21" t="n">
        <v>112</v>
      </c>
      <c r="L404" s="21" t="n">
        <v>1120</v>
      </c>
      <c r="M404" s="21" t="n">
        <v>0</v>
      </c>
      <c r="N404" t="inlineStr">
        <is>
          <t>Drewno opałowe z lasu</t>
        </is>
      </c>
      <c r="Q404" s="21" t="n">
        <v>0</v>
      </c>
      <c r="T404" s="22" t="n">
        <v>0</v>
      </c>
      <c r="U404" s="21" t="n">
        <v>0</v>
      </c>
      <c r="V404" s="21" t="n">
        <v>0</v>
      </c>
      <c r="W404" t="inlineStr">
        <is>
          <t>Magazyn Zabrze</t>
        </is>
      </c>
      <c r="Y404" t="inlineStr">
        <is>
          <t>Waga: 16 360 kg</t>
        </is>
      </c>
      <c r="Z404" t="inlineStr">
        <is>
          <t>Marcin Kwiatkowski</t>
        </is>
      </c>
      <c r="AA404" s="23" t="n">
        <v>46255.62909722222</v>
      </c>
      <c r="AB404" t="inlineStr">
        <is>
          <t>OP-MIGR-00403</t>
        </is>
      </c>
      <c r="AD404" t="inlineStr">
        <is>
          <t>AKTYWNY</t>
        </is>
      </c>
      <c r="AE404" s="20">
        <f>IF(I404="",0,IF(ISNUMBER(SEARCH("MP",UPPER(J404))),I404,IF(ISNUMBER(SEARCH("TON",UPPER(J404))),I404/Przelicznik_MP_tona,IF(ISNUMBER(SEARCH("M3",UPPER(J404))),I404*Przelicznik_M3_MP,IF(ISNUMBER(SEARCH("GJ",UPPER(J404))),I404/Przelicznik_GJ_tona/Przelicznik_MP_tona,I404)))))</f>
        <v/>
      </c>
      <c r="AF404" s="20">
        <f>IF(I404="",0,IF(ISNUMBER(SEARCH("TON",UPPER(J404))),I404,IF(ISNUMBER(SEARCH("GJ",UPPER(J404))),I404/Przelicznik_GJ_tona,AE404*Przelicznik_MP_tona)))</f>
        <v/>
      </c>
      <c r="AG404" s="20">
        <f>AF404*Przelicznik_GJ_tona</f>
        <v/>
      </c>
      <c r="AH404" s="20">
        <f>IF(UPPER(AD404)="SKORYGOWANY",0,IF(OR(UPPER(E404)="TRANSPORT",UPPER(E404)="MM"),0,IF(UPPER(G404)&lt;&gt;"TAK",0,IF(OR(UPPER(E404)="ZAKUP",UPPER(E404)="PRODUKCJA"),AE404,IF(OR(UPPER(E404)="SPRZEDAŻ",UPPER(E404)="ZUŻYCIE"),-AE404,0)))))</f>
        <v/>
      </c>
      <c r="AI404" s="20">
        <f>IF(UPPER(AD404)="SKORYGOWANY",0,IF(OR(UPPER(E404)="TRANSPORT",UPPER(E404)="MM"),0,IF(UPPER(G404)&lt;&gt;"TAK",0,IF(OR(UPPER(E404)="ZAKUP",UPPER(E404)="PRODUKCJA"),AF404,IF(OR(UPPER(E404)="SPRZEDAŻ",UPPER(E404)="ZUŻYCIE"),-AF404,0)))))</f>
        <v/>
      </c>
      <c r="AJ404" s="21">
        <f>IF(UPPER(AD404)="SKORYGOWANY",0,IF(UPPER(E404)="ZAKUP",IF(L404&lt;&gt;"",L404,I404*K404),0))</f>
        <v/>
      </c>
      <c r="AK404" s="21">
        <f>IF(UPPER(AD404)="SKORYGOWANY",0,IF(UPPER(E404)="SPRZEDAŻ",IF(L404&lt;&gt;"",L404,I404*M404),0))</f>
        <v/>
      </c>
      <c r="AL404" s="21">
        <f>AE404*Q404</f>
        <v/>
      </c>
      <c r="AM404">
        <f>IF(R404="","",IF(LOWER(R404)="brak","Brak",IF(OR(ISNUMBER(SEARCH("własn",LOWER(R404))),ISNUMBER(SEARCH("wlasn",LOWER(R404))),ISNUMBER(SEARCH("wojciechowski",LOWER(R404)))),"Własny","Zewnętrzny")))</f>
        <v/>
      </c>
      <c r="AN404" s="24">
        <f>IF(C404="","",YEAR(C404))</f>
        <v/>
      </c>
      <c r="AO404" s="24">
        <f>IF(C404="","",MONTH(C404))</f>
        <v/>
      </c>
      <c r="AP404">
        <f>IF(C404="","",UPPER(TEXT(C404,"mmmm")))</f>
        <v/>
      </c>
      <c r="AQ404">
        <f>IF(C404="","","Q"&amp;ROUNDUP(MONTH(C404)/3,0))</f>
        <v/>
      </c>
    </row>
    <row r="405">
      <c r="A405" s="19" t="n">
        <v>46251</v>
      </c>
      <c r="C405" s="19" t="n">
        <v>46251</v>
      </c>
      <c r="D405" t="inlineStr">
        <is>
          <t>Magazyn Zabrze</t>
        </is>
      </c>
      <c r="E405" t="inlineStr">
        <is>
          <t>PRODUKCJA</t>
        </is>
      </c>
      <c r="F405" t="inlineStr">
        <is>
          <t>PZ/80</t>
        </is>
      </c>
      <c r="G405" t="inlineStr">
        <is>
          <t>TAK</t>
        </is>
      </c>
      <c r="H405" t="inlineStr">
        <is>
          <t>Deklaracja</t>
        </is>
      </c>
      <c r="I405" s="20" t="n">
        <v>40</v>
      </c>
      <c r="J405" t="inlineStr">
        <is>
          <t>MP</t>
        </is>
      </c>
      <c r="K405" s="21" t="n">
        <v>0</v>
      </c>
      <c r="L405" s="21" t="n">
        <v>0</v>
      </c>
      <c r="M405" s="21" t="n">
        <v>0</v>
      </c>
      <c r="N405" t="inlineStr">
        <is>
          <t>Zrębka Produkcyjna Leśna</t>
        </is>
      </c>
      <c r="O405" t="inlineStr">
        <is>
          <t>B</t>
        </is>
      </c>
      <c r="P405" t="inlineStr">
        <is>
          <t>własne</t>
        </is>
      </c>
      <c r="Q405" s="21" t="n">
        <v>10</v>
      </c>
      <c r="T405" s="22" t="n">
        <v>0</v>
      </c>
      <c r="U405" s="21" t="n">
        <v>0</v>
      </c>
      <c r="V405" s="21" t="n">
        <v>0</v>
      </c>
      <c r="W405" t="inlineStr">
        <is>
          <t>Magazyn Zabrze</t>
        </is>
      </c>
      <c r="X405" t="inlineStr">
        <is>
          <t>Magazyn Zabrze</t>
        </is>
      </c>
      <c r="Y405" t="inlineStr">
        <is>
          <t>Rębak z Brąszewic, rębakowy Łukasz Kempski</t>
        </is>
      </c>
      <c r="Z405" t="inlineStr">
        <is>
          <t>Marcin Kwiatkowski</t>
        </is>
      </c>
      <c r="AA405" s="23" t="n">
        <v>46257.794375</v>
      </c>
      <c r="AB405" t="inlineStr">
        <is>
          <t>OP-MIGR-00404</t>
        </is>
      </c>
      <c r="AD405" t="inlineStr">
        <is>
          <t>AKTYWNY</t>
        </is>
      </c>
      <c r="AE405" s="20">
        <f>IF(I405="",0,IF(ISNUMBER(SEARCH("MP",UPPER(J405))),I405,IF(ISNUMBER(SEARCH("TON",UPPER(J405))),I405/Przelicznik_MP_tona,IF(ISNUMBER(SEARCH("M3",UPPER(J405))),I405*Przelicznik_M3_MP,IF(ISNUMBER(SEARCH("GJ",UPPER(J405))),I405/Przelicznik_GJ_tona/Przelicznik_MP_tona,I405)))))</f>
        <v/>
      </c>
      <c r="AF405" s="20">
        <f>IF(I405="",0,IF(ISNUMBER(SEARCH("TON",UPPER(J405))),I405,IF(ISNUMBER(SEARCH("GJ",UPPER(J405))),I405/Przelicznik_GJ_tona,AE405*Przelicznik_MP_tona)))</f>
        <v/>
      </c>
      <c r="AG405" s="20">
        <f>AF405*Przelicznik_GJ_tona</f>
        <v/>
      </c>
      <c r="AH405" s="20">
        <f>IF(UPPER(AD405)="SKORYGOWANY",0,IF(OR(UPPER(E405)="TRANSPORT",UPPER(E405)="MM"),0,IF(UPPER(G405)&lt;&gt;"TAK",0,IF(OR(UPPER(E405)="ZAKUP",UPPER(E405)="PRODUKCJA"),AE405,IF(OR(UPPER(E405)="SPRZEDAŻ",UPPER(E405)="ZUŻYCIE"),-AE405,0)))))</f>
        <v/>
      </c>
      <c r="AI405" s="20">
        <f>IF(UPPER(AD405)="SKORYGOWANY",0,IF(OR(UPPER(E405)="TRANSPORT",UPPER(E405)="MM"),0,IF(UPPER(G405)&lt;&gt;"TAK",0,IF(OR(UPPER(E405)="ZAKUP",UPPER(E405)="PRODUKCJA"),AF405,IF(OR(UPPER(E405)="SPRZEDAŻ",UPPER(E405)="ZUŻYCIE"),-AF405,0)))))</f>
        <v/>
      </c>
      <c r="AJ405" s="21">
        <f>IF(UPPER(AD405)="SKORYGOWANY",0,IF(UPPER(E405)="ZAKUP",IF(L405&lt;&gt;"",L405,I405*K405),0))</f>
        <v/>
      </c>
      <c r="AK405" s="21">
        <f>IF(UPPER(AD405)="SKORYGOWANY",0,IF(UPPER(E405)="SPRZEDAŻ",IF(L405&lt;&gt;"",L405,I405*M405),0))</f>
        <v/>
      </c>
      <c r="AL405" s="21">
        <f>AE405*Q405</f>
        <v/>
      </c>
      <c r="AM405">
        <f>IF(R405="","",IF(LOWER(R405)="brak","Brak",IF(OR(ISNUMBER(SEARCH("własn",LOWER(R405))),ISNUMBER(SEARCH("wlasn",LOWER(R405))),ISNUMBER(SEARCH("wojciechowski",LOWER(R405)))),"Własny","Zewnętrzny")))</f>
        <v/>
      </c>
      <c r="AN405" s="24">
        <f>IF(C405="","",YEAR(C405))</f>
        <v/>
      </c>
      <c r="AO405" s="24">
        <f>IF(C405="","",MONTH(C405))</f>
        <v/>
      </c>
      <c r="AP405">
        <f>IF(C405="","",UPPER(TEXT(C405,"mmmm")))</f>
        <v/>
      </c>
      <c r="AQ405">
        <f>IF(C405="","","Q"&amp;ROUNDUP(MONTH(C405)/3,0))</f>
        <v/>
      </c>
    </row>
    <row r="406">
      <c r="A406" s="19" t="n">
        <v>46251</v>
      </c>
      <c r="C406" s="19" t="n">
        <v>46251</v>
      </c>
      <c r="D406" t="inlineStr">
        <is>
          <t>Magazyn Zabrze</t>
        </is>
      </c>
      <c r="E406" t="inlineStr">
        <is>
          <t>ZUŻYCIE</t>
        </is>
      </c>
      <c r="F406" t="inlineStr">
        <is>
          <t>PZ/80</t>
        </is>
      </c>
      <c r="G406" t="inlineStr">
        <is>
          <t>TAK</t>
        </is>
      </c>
      <c r="H406" t="inlineStr">
        <is>
          <t>Deklaracja</t>
        </is>
      </c>
      <c r="I406" s="20" t="n">
        <v>40</v>
      </c>
      <c r="J406" t="inlineStr">
        <is>
          <t>MP</t>
        </is>
      </c>
      <c r="K406" s="21" t="n">
        <v>0</v>
      </c>
      <c r="L406" s="21" t="n">
        <v>0</v>
      </c>
      <c r="M406" s="21" t="n">
        <v>0</v>
      </c>
      <c r="N406" t="inlineStr">
        <is>
          <t>Zrębka Produkcyjna Leśna</t>
        </is>
      </c>
      <c r="O406" t="inlineStr">
        <is>
          <t>B</t>
        </is>
      </c>
      <c r="P406" t="inlineStr">
        <is>
          <t>własne</t>
        </is>
      </c>
      <c r="Q406" s="21" t="n">
        <v>10</v>
      </c>
      <c r="T406" s="22" t="n">
        <v>0</v>
      </c>
      <c r="U406" s="21" t="n">
        <v>0</v>
      </c>
      <c r="V406" s="21" t="n">
        <v>0</v>
      </c>
      <c r="W406" t="inlineStr">
        <is>
          <t>Magazyn Zabrze</t>
        </is>
      </c>
      <c r="X406" t="inlineStr">
        <is>
          <t>Magazyn Zabrze</t>
        </is>
      </c>
      <c r="Y406" t="inlineStr">
        <is>
          <t>Automatyczne zużycie surowca do produkcji</t>
        </is>
      </c>
      <c r="AA406" s="23" t="n">
        <v>46257.794375</v>
      </c>
      <c r="AB406" t="inlineStr">
        <is>
          <t>OP-MIGR-00405</t>
        </is>
      </c>
      <c r="AD406" t="inlineStr">
        <is>
          <t>AKTYWNY</t>
        </is>
      </c>
      <c r="AE406" s="20">
        <f>IF(I406="",0,IF(ISNUMBER(SEARCH("MP",UPPER(J406))),I406,IF(ISNUMBER(SEARCH("TON",UPPER(J406))),I406/Przelicznik_MP_tona,IF(ISNUMBER(SEARCH("M3",UPPER(J406))),I406*Przelicznik_M3_MP,IF(ISNUMBER(SEARCH("GJ",UPPER(J406))),I406/Przelicznik_GJ_tona/Przelicznik_MP_tona,I406)))))</f>
        <v/>
      </c>
      <c r="AF406" s="20">
        <f>IF(I406="",0,IF(ISNUMBER(SEARCH("TON",UPPER(J406))),I406,IF(ISNUMBER(SEARCH("GJ",UPPER(J406))),I406/Przelicznik_GJ_tona,AE406*Przelicznik_MP_tona)))</f>
        <v/>
      </c>
      <c r="AG406" s="20">
        <f>AF406*Przelicznik_GJ_tona</f>
        <v/>
      </c>
      <c r="AH406" s="20">
        <f>IF(UPPER(AD406)="SKORYGOWANY",0,IF(OR(UPPER(E406)="TRANSPORT",UPPER(E406)="MM"),0,IF(UPPER(G406)&lt;&gt;"TAK",0,IF(OR(UPPER(E406)="ZAKUP",UPPER(E406)="PRODUKCJA"),AE406,IF(OR(UPPER(E406)="SPRZEDAŻ",UPPER(E406)="ZUŻYCIE"),-AE406,0)))))</f>
        <v/>
      </c>
      <c r="AI406" s="20">
        <f>IF(UPPER(AD406)="SKORYGOWANY",0,IF(OR(UPPER(E406)="TRANSPORT",UPPER(E406)="MM"),0,IF(UPPER(G406)&lt;&gt;"TAK",0,IF(OR(UPPER(E406)="ZAKUP",UPPER(E406)="PRODUKCJA"),AF406,IF(OR(UPPER(E406)="SPRZEDAŻ",UPPER(E406)="ZUŻYCIE"),-AF406,0)))))</f>
        <v/>
      </c>
      <c r="AJ406" s="21">
        <f>IF(UPPER(AD406)="SKORYGOWANY",0,IF(UPPER(E406)="ZAKUP",IF(L406&lt;&gt;"",L406,I406*K406),0))</f>
        <v/>
      </c>
      <c r="AK406" s="21">
        <f>IF(UPPER(AD406)="SKORYGOWANY",0,IF(UPPER(E406)="SPRZEDAŻ",IF(L406&lt;&gt;"",L406,I406*M406),0))</f>
        <v/>
      </c>
      <c r="AL406" s="21">
        <f>AE406*Q406</f>
        <v/>
      </c>
      <c r="AM406">
        <f>IF(R406="","",IF(LOWER(R406)="brak","Brak",IF(OR(ISNUMBER(SEARCH("własn",LOWER(R406))),ISNUMBER(SEARCH("wlasn",LOWER(R406))),ISNUMBER(SEARCH("wojciechowski",LOWER(R406)))),"Własny","Zewnętrzny")))</f>
        <v/>
      </c>
      <c r="AN406" s="24">
        <f>IF(C406="","",YEAR(C406))</f>
        <v/>
      </c>
      <c r="AO406" s="24">
        <f>IF(C406="","",MONTH(C406))</f>
        <v/>
      </c>
      <c r="AP406">
        <f>IF(C406="","",UPPER(TEXT(C406,"mmmm")))</f>
        <v/>
      </c>
      <c r="AQ406">
        <f>IF(C406="","","Q"&amp;ROUNDUP(MONTH(C406)/3,0))</f>
        <v/>
      </c>
    </row>
    <row r="407">
      <c r="A407" s="19" t="n">
        <v>46251</v>
      </c>
      <c r="B407" t="inlineStr">
        <is>
          <t>Mieczysko</t>
        </is>
      </c>
      <c r="C407" s="19" t="n">
        <v>46251</v>
      </c>
      <c r="D407" t="inlineStr">
        <is>
          <t>Magazyn Zabrze</t>
        </is>
      </c>
      <c r="E407" t="inlineStr">
        <is>
          <t>ZAKUP</t>
        </is>
      </c>
      <c r="F407" t="inlineStr">
        <is>
          <t>PZ/80</t>
        </is>
      </c>
      <c r="G407" t="inlineStr">
        <is>
          <t>TAK</t>
        </is>
      </c>
      <c r="H407" t="inlineStr">
        <is>
          <t>Deklaracja</t>
        </is>
      </c>
      <c r="I407" s="20" t="n">
        <v>40</v>
      </c>
      <c r="J407" t="inlineStr">
        <is>
          <t>MP</t>
        </is>
      </c>
      <c r="K407" s="21" t="n">
        <v>0</v>
      </c>
      <c r="L407" s="21" t="n">
        <v>0</v>
      </c>
      <c r="M407" s="21" t="n">
        <v>0</v>
      </c>
      <c r="N407" t="inlineStr">
        <is>
          <t>Zrębka Produkcyjna Leśna</t>
        </is>
      </c>
      <c r="O407" t="inlineStr">
        <is>
          <t>B</t>
        </is>
      </c>
      <c r="Q407" s="21" t="n">
        <v>0</v>
      </c>
      <c r="R407" t="inlineStr">
        <is>
          <t>własny (Kretek)</t>
        </is>
      </c>
      <c r="S407" t="inlineStr">
        <is>
          <t>SK 7J885</t>
        </is>
      </c>
      <c r="T407" s="22" t="n">
        <v>62</v>
      </c>
      <c r="U407" s="21" t="n">
        <v>5</v>
      </c>
      <c r="V407" s="21" t="n">
        <v>310</v>
      </c>
      <c r="W407" t="inlineStr">
        <is>
          <t>Magazyn Zabrze</t>
        </is>
      </c>
      <c r="Z407" t="inlineStr">
        <is>
          <t>Marcin Kwiatkowski</t>
        </is>
      </c>
      <c r="AA407" s="23" t="n">
        <v>46257.79583333333</v>
      </c>
      <c r="AB407" t="inlineStr">
        <is>
          <t>OP-MIGR-00406</t>
        </is>
      </c>
      <c r="AD407" t="inlineStr">
        <is>
          <t>AKTYWNY</t>
        </is>
      </c>
      <c r="AE407" s="20">
        <f>IF(I407="",0,IF(ISNUMBER(SEARCH("MP",UPPER(J407))),I407,IF(ISNUMBER(SEARCH("TON",UPPER(J407))),I407/Przelicznik_MP_tona,IF(ISNUMBER(SEARCH("M3",UPPER(J407))),I407*Przelicznik_M3_MP,IF(ISNUMBER(SEARCH("GJ",UPPER(J407))),I407/Przelicznik_GJ_tona/Przelicznik_MP_tona,I407)))))</f>
        <v/>
      </c>
      <c r="AF407" s="20">
        <f>IF(I407="",0,IF(ISNUMBER(SEARCH("TON",UPPER(J407))),I407,IF(ISNUMBER(SEARCH("GJ",UPPER(J407))),I407/Przelicznik_GJ_tona,AE407*Przelicznik_MP_tona)))</f>
        <v/>
      </c>
      <c r="AG407" s="20">
        <f>AF407*Przelicznik_GJ_tona</f>
        <v/>
      </c>
      <c r="AH407" s="20">
        <f>IF(UPPER(AD407)="SKORYGOWANY",0,IF(OR(UPPER(E407)="TRANSPORT",UPPER(E407)="MM"),0,IF(UPPER(G407)&lt;&gt;"TAK",0,IF(OR(UPPER(E407)="ZAKUP",UPPER(E407)="PRODUKCJA"),AE407,IF(OR(UPPER(E407)="SPRZEDAŻ",UPPER(E407)="ZUŻYCIE"),-AE407,0)))))</f>
        <v/>
      </c>
      <c r="AI407" s="20">
        <f>IF(UPPER(AD407)="SKORYGOWANY",0,IF(OR(UPPER(E407)="TRANSPORT",UPPER(E407)="MM"),0,IF(UPPER(G407)&lt;&gt;"TAK",0,IF(OR(UPPER(E407)="ZAKUP",UPPER(E407)="PRODUKCJA"),AF407,IF(OR(UPPER(E407)="SPRZEDAŻ",UPPER(E407)="ZUŻYCIE"),-AF407,0)))))</f>
        <v/>
      </c>
      <c r="AJ407" s="21">
        <f>IF(UPPER(AD407)="SKORYGOWANY",0,IF(UPPER(E407)="ZAKUP",IF(L407&lt;&gt;"",L407,I407*K407),0))</f>
        <v/>
      </c>
      <c r="AK407" s="21">
        <f>IF(UPPER(AD407)="SKORYGOWANY",0,IF(UPPER(E407)="SPRZEDAŻ",IF(L407&lt;&gt;"",L407,I407*M407),0))</f>
        <v/>
      </c>
      <c r="AL407" s="21">
        <f>AE407*Q407</f>
        <v/>
      </c>
      <c r="AM407">
        <f>IF(R407="","",IF(LOWER(R407)="brak","Brak",IF(OR(ISNUMBER(SEARCH("własn",LOWER(R407))),ISNUMBER(SEARCH("wlasn",LOWER(R407))),ISNUMBER(SEARCH("wojciechowski",LOWER(R407)))),"Własny","Zewnętrzny")))</f>
        <v/>
      </c>
      <c r="AN407" s="24">
        <f>IF(C407="","",YEAR(C407))</f>
        <v/>
      </c>
      <c r="AO407" s="24">
        <f>IF(C407="","",MONTH(C407))</f>
        <v/>
      </c>
      <c r="AP407">
        <f>IF(C407="","",UPPER(TEXT(C407,"mmmm")))</f>
        <v/>
      </c>
      <c r="AQ407">
        <f>IF(C407="","","Q"&amp;ROUNDUP(MONTH(C407)/3,0))</f>
        <v/>
      </c>
    </row>
    <row r="408">
      <c r="A408" s="19" t="n">
        <v>46252</v>
      </c>
      <c r="C408" s="19" t="n">
        <v>46252</v>
      </c>
      <c r="D408" t="inlineStr">
        <is>
          <t>Lander Agro</t>
        </is>
      </c>
      <c r="E408" t="inlineStr">
        <is>
          <t>ZAKUP</t>
        </is>
      </c>
      <c r="F408" t="inlineStr">
        <is>
          <t>PZ/38/D</t>
        </is>
      </c>
      <c r="G408" t="inlineStr">
        <is>
          <t>TAK</t>
        </is>
      </c>
      <c r="H408" t="inlineStr">
        <is>
          <t>KZR</t>
        </is>
      </c>
      <c r="I408" s="20" t="n">
        <v>29.68</v>
      </c>
      <c r="J408" t="inlineStr">
        <is>
          <t>MP</t>
        </is>
      </c>
      <c r="K408" s="21" t="n">
        <v>230</v>
      </c>
      <c r="L408" s="21" t="n">
        <v>6826.4</v>
      </c>
      <c r="M408" s="21" t="n">
        <v>0</v>
      </c>
      <c r="N408" t="inlineStr">
        <is>
          <t>Drewno opałowe z lasu</t>
        </is>
      </c>
      <c r="Q408" s="21" t="n">
        <v>0</v>
      </c>
      <c r="T408" s="22" t="n">
        <v>0</v>
      </c>
      <c r="U408" s="21" t="n">
        <v>0</v>
      </c>
      <c r="V408" s="21" t="n">
        <v>0</v>
      </c>
      <c r="W408" t="inlineStr">
        <is>
          <t>Magazyn Zabrze</t>
        </is>
      </c>
      <c r="Y408" t="inlineStr">
        <is>
          <t>Waga: 22 300 kg</t>
        </is>
      </c>
      <c r="Z408" t="inlineStr">
        <is>
          <t>Marcin Kwiatkowski</t>
        </is>
      </c>
      <c r="AA408" s="23" t="n">
        <v>46257.81928240741</v>
      </c>
      <c r="AB408" t="inlineStr">
        <is>
          <t>OP-MIGR-00407</t>
        </is>
      </c>
      <c r="AD408" t="inlineStr">
        <is>
          <t>AKTYWNY</t>
        </is>
      </c>
      <c r="AE408" s="20">
        <f>IF(I408="",0,IF(ISNUMBER(SEARCH("MP",UPPER(J408))),I408,IF(ISNUMBER(SEARCH("TON",UPPER(J408))),I408/Przelicznik_MP_tona,IF(ISNUMBER(SEARCH("M3",UPPER(J408))),I408*Przelicznik_M3_MP,IF(ISNUMBER(SEARCH("GJ",UPPER(J408))),I408/Przelicznik_GJ_tona/Przelicznik_MP_tona,I408)))))</f>
        <v/>
      </c>
      <c r="AF408" s="20">
        <f>IF(I408="",0,IF(ISNUMBER(SEARCH("TON",UPPER(J408))),I408,IF(ISNUMBER(SEARCH("GJ",UPPER(J408))),I408/Przelicznik_GJ_tona,AE408*Przelicznik_MP_tona)))</f>
        <v/>
      </c>
      <c r="AG408" s="20">
        <f>AF408*Przelicznik_GJ_tona</f>
        <v/>
      </c>
      <c r="AH408" s="20">
        <f>IF(UPPER(AD408)="SKORYGOWANY",0,IF(OR(UPPER(E408)="TRANSPORT",UPPER(E408)="MM"),0,IF(UPPER(G408)&lt;&gt;"TAK",0,IF(OR(UPPER(E408)="ZAKUP",UPPER(E408)="PRODUKCJA"),AE408,IF(OR(UPPER(E408)="SPRZEDAŻ",UPPER(E408)="ZUŻYCIE"),-AE408,0)))))</f>
        <v/>
      </c>
      <c r="AI408" s="20">
        <f>IF(UPPER(AD408)="SKORYGOWANY",0,IF(OR(UPPER(E408)="TRANSPORT",UPPER(E408)="MM"),0,IF(UPPER(G408)&lt;&gt;"TAK",0,IF(OR(UPPER(E408)="ZAKUP",UPPER(E408)="PRODUKCJA"),AF408,IF(OR(UPPER(E408)="SPRZEDAŻ",UPPER(E408)="ZUŻYCIE"),-AF408,0)))))</f>
        <v/>
      </c>
      <c r="AJ408" s="21">
        <f>IF(UPPER(AD408)="SKORYGOWANY",0,IF(UPPER(E408)="ZAKUP",IF(L408&lt;&gt;"",L408,I408*K408),0))</f>
        <v/>
      </c>
      <c r="AK408" s="21">
        <f>IF(UPPER(AD408)="SKORYGOWANY",0,IF(UPPER(E408)="SPRZEDAŻ",IF(L408&lt;&gt;"",L408,I408*M408),0))</f>
        <v/>
      </c>
      <c r="AL408" s="21">
        <f>AE408*Q408</f>
        <v/>
      </c>
      <c r="AM408">
        <f>IF(R408="","",IF(LOWER(R408)="brak","Brak",IF(OR(ISNUMBER(SEARCH("własn",LOWER(R408))),ISNUMBER(SEARCH("wlasn",LOWER(R408))),ISNUMBER(SEARCH("wojciechowski",LOWER(R408)))),"Własny","Zewnętrzny")))</f>
        <v/>
      </c>
      <c r="AN408" s="24">
        <f>IF(C408="","",YEAR(C408))</f>
        <v/>
      </c>
      <c r="AO408" s="24">
        <f>IF(C408="","",MONTH(C408))</f>
        <v/>
      </c>
      <c r="AP408">
        <f>IF(C408="","",UPPER(TEXT(C408,"mmmm")))</f>
        <v/>
      </c>
      <c r="AQ408">
        <f>IF(C408="","","Q"&amp;ROUNDUP(MONTH(C408)/3,0))</f>
        <v/>
      </c>
    </row>
    <row r="409">
      <c r="A409" s="19" t="n">
        <v>46252</v>
      </c>
      <c r="C409" s="19" t="n">
        <v>46252</v>
      </c>
      <c r="D409" t="inlineStr">
        <is>
          <t>Lander Agro</t>
        </is>
      </c>
      <c r="E409" t="inlineStr">
        <is>
          <t>ZAKUP</t>
        </is>
      </c>
      <c r="F409" t="inlineStr">
        <is>
          <t>PZ/39/D</t>
        </is>
      </c>
      <c r="G409" t="inlineStr">
        <is>
          <t>TAK</t>
        </is>
      </c>
      <c r="H409" t="inlineStr">
        <is>
          <t>KZR</t>
        </is>
      </c>
      <c r="I409" s="20" t="n">
        <v>29.82</v>
      </c>
      <c r="J409" t="inlineStr">
        <is>
          <t>M3</t>
        </is>
      </c>
      <c r="K409" s="21" t="n">
        <v>230</v>
      </c>
      <c r="L409" s="21" t="n">
        <v>6858.6</v>
      </c>
      <c r="M409" s="21" t="n">
        <v>0</v>
      </c>
      <c r="N409" t="inlineStr">
        <is>
          <t>Drewno opałowe z lasu</t>
        </is>
      </c>
      <c r="Q409" s="21" t="n">
        <v>0</v>
      </c>
      <c r="T409" s="22" t="n">
        <v>0</v>
      </c>
      <c r="U409" s="21" t="n">
        <v>0</v>
      </c>
      <c r="V409" s="21" t="n">
        <v>0</v>
      </c>
      <c r="W409" t="inlineStr">
        <is>
          <t>Magazyn Zabrze</t>
        </is>
      </c>
      <c r="Y409" t="inlineStr">
        <is>
          <t>Waga: 22 400 kg</t>
        </is>
      </c>
      <c r="Z409" t="inlineStr">
        <is>
          <t>Marcin Kwiatkowski</t>
        </is>
      </c>
      <c r="AA409" s="23" t="n">
        <v>46257.82103009259</v>
      </c>
      <c r="AB409" t="inlineStr">
        <is>
          <t>OP-MIGR-00408</t>
        </is>
      </c>
      <c r="AD409" t="inlineStr">
        <is>
          <t>AKTYWNY</t>
        </is>
      </c>
      <c r="AE409" s="20">
        <f>IF(I409="",0,IF(ISNUMBER(SEARCH("MP",UPPER(J409))),I409,IF(ISNUMBER(SEARCH("TON",UPPER(J409))),I409/Przelicznik_MP_tona,IF(ISNUMBER(SEARCH("M3",UPPER(J409))),I409*Przelicznik_M3_MP,IF(ISNUMBER(SEARCH("GJ",UPPER(J409))),I409/Przelicznik_GJ_tona/Przelicznik_MP_tona,I409)))))</f>
        <v/>
      </c>
      <c r="AF409" s="20">
        <f>IF(I409="",0,IF(ISNUMBER(SEARCH("TON",UPPER(J409))),I409,IF(ISNUMBER(SEARCH("GJ",UPPER(J409))),I409/Przelicznik_GJ_tona,AE409*Przelicznik_MP_tona)))</f>
        <v/>
      </c>
      <c r="AG409" s="20">
        <f>AF409*Przelicznik_GJ_tona</f>
        <v/>
      </c>
      <c r="AH409" s="20">
        <f>IF(UPPER(AD409)="SKORYGOWANY",0,IF(OR(UPPER(E409)="TRANSPORT",UPPER(E409)="MM"),0,IF(UPPER(G409)&lt;&gt;"TAK",0,IF(OR(UPPER(E409)="ZAKUP",UPPER(E409)="PRODUKCJA"),AE409,IF(OR(UPPER(E409)="SPRZEDAŻ",UPPER(E409)="ZUŻYCIE"),-AE409,0)))))</f>
        <v/>
      </c>
      <c r="AI409" s="20">
        <f>IF(UPPER(AD409)="SKORYGOWANY",0,IF(OR(UPPER(E409)="TRANSPORT",UPPER(E409)="MM"),0,IF(UPPER(G409)&lt;&gt;"TAK",0,IF(OR(UPPER(E409)="ZAKUP",UPPER(E409)="PRODUKCJA"),AF409,IF(OR(UPPER(E409)="SPRZEDAŻ",UPPER(E409)="ZUŻYCIE"),-AF409,0)))))</f>
        <v/>
      </c>
      <c r="AJ409" s="21">
        <f>IF(UPPER(AD409)="SKORYGOWANY",0,IF(UPPER(E409)="ZAKUP",IF(L409&lt;&gt;"",L409,I409*K409),0))</f>
        <v/>
      </c>
      <c r="AK409" s="21">
        <f>IF(UPPER(AD409)="SKORYGOWANY",0,IF(UPPER(E409)="SPRZEDAŻ",IF(L409&lt;&gt;"",L409,I409*M409),0))</f>
        <v/>
      </c>
      <c r="AL409" s="21">
        <f>AE409*Q409</f>
        <v/>
      </c>
      <c r="AM409">
        <f>IF(R409="","",IF(LOWER(R409)="brak","Brak",IF(OR(ISNUMBER(SEARCH("własn",LOWER(R409))),ISNUMBER(SEARCH("wlasn",LOWER(R409))),ISNUMBER(SEARCH("wojciechowski",LOWER(R409)))),"Własny","Zewnętrzny")))</f>
        <v/>
      </c>
      <c r="AN409" s="24">
        <f>IF(C409="","",YEAR(C409))</f>
        <v/>
      </c>
      <c r="AO409" s="24">
        <f>IF(C409="","",MONTH(C409))</f>
        <v/>
      </c>
      <c r="AP409">
        <f>IF(C409="","",UPPER(TEXT(C409,"mmmm")))</f>
        <v/>
      </c>
      <c r="AQ409">
        <f>IF(C409="","","Q"&amp;ROUNDUP(MONTH(C409)/3,0))</f>
        <v/>
      </c>
    </row>
    <row r="410">
      <c r="A410" s="19" t="n">
        <v>46252</v>
      </c>
      <c r="C410" s="19" t="n">
        <v>46252</v>
      </c>
      <c r="D410" t="inlineStr">
        <is>
          <t>Grandpol</t>
        </is>
      </c>
      <c r="E410" t="inlineStr">
        <is>
          <t>ZAKUP</t>
        </is>
      </c>
      <c r="F410" t="inlineStr">
        <is>
          <t>PZ/81</t>
        </is>
      </c>
      <c r="G410" t="inlineStr">
        <is>
          <t>NIE</t>
        </is>
      </c>
      <c r="H410" t="inlineStr">
        <is>
          <t>KZR</t>
        </is>
      </c>
      <c r="I410" s="20" t="n">
        <v>74</v>
      </c>
      <c r="J410" t="inlineStr">
        <is>
          <t>MP</t>
        </is>
      </c>
      <c r="K410" s="21" t="n">
        <v>45</v>
      </c>
      <c r="L410" s="21" t="n">
        <v>3330</v>
      </c>
      <c r="M410" s="21" t="n">
        <v>0</v>
      </c>
      <c r="N410" t="inlineStr">
        <is>
          <t>Drewno przemysłowe z wycinek inwest.</t>
        </is>
      </c>
      <c r="Q410" s="21" t="n">
        <v>0</v>
      </c>
      <c r="T410" s="22" t="n">
        <v>0</v>
      </c>
      <c r="U410" s="21" t="n">
        <v>0</v>
      </c>
      <c r="V410" s="21" t="n">
        <v>0</v>
      </c>
      <c r="W410" t="inlineStr">
        <is>
          <t>Magazyn Zabrze</t>
        </is>
      </c>
      <c r="Y410" t="inlineStr">
        <is>
          <t>Waga: 24 360 kg</t>
        </is>
      </c>
      <c r="Z410" t="inlineStr">
        <is>
          <t>Marcin Kwiatkowski</t>
        </is>
      </c>
      <c r="AA410" s="23" t="n">
        <v>46257.82487268518</v>
      </c>
      <c r="AB410" t="inlineStr">
        <is>
          <t>OP-MIGR-00409</t>
        </is>
      </c>
      <c r="AD410" t="inlineStr">
        <is>
          <t>AKTYWNY</t>
        </is>
      </c>
      <c r="AE410" s="20">
        <f>IF(I410="",0,IF(ISNUMBER(SEARCH("MP",UPPER(J410))),I410,IF(ISNUMBER(SEARCH("TON",UPPER(J410))),I410/Przelicznik_MP_tona,IF(ISNUMBER(SEARCH("M3",UPPER(J410))),I410*Przelicznik_M3_MP,IF(ISNUMBER(SEARCH("GJ",UPPER(J410))),I410/Przelicznik_GJ_tona/Przelicznik_MP_tona,I410)))))</f>
        <v/>
      </c>
      <c r="AF410" s="20">
        <f>IF(I410="",0,IF(ISNUMBER(SEARCH("TON",UPPER(J410))),I410,IF(ISNUMBER(SEARCH("GJ",UPPER(J410))),I410/Przelicznik_GJ_tona,AE410*Przelicznik_MP_tona)))</f>
        <v/>
      </c>
      <c r="AG410" s="20">
        <f>AF410*Przelicznik_GJ_tona</f>
        <v/>
      </c>
      <c r="AH410" s="20">
        <f>IF(UPPER(AD410)="SKORYGOWANY",0,IF(OR(UPPER(E410)="TRANSPORT",UPPER(E410)="MM"),0,IF(UPPER(G410)&lt;&gt;"TAK",0,IF(OR(UPPER(E410)="ZAKUP",UPPER(E410)="PRODUKCJA"),AE410,IF(OR(UPPER(E410)="SPRZEDAŻ",UPPER(E410)="ZUŻYCIE"),-AE410,0)))))</f>
        <v/>
      </c>
      <c r="AI410" s="20">
        <f>IF(UPPER(AD410)="SKORYGOWANY",0,IF(OR(UPPER(E410)="TRANSPORT",UPPER(E410)="MM"),0,IF(UPPER(G410)&lt;&gt;"TAK",0,IF(OR(UPPER(E410)="ZAKUP",UPPER(E410)="PRODUKCJA"),AF410,IF(OR(UPPER(E410)="SPRZEDAŻ",UPPER(E410)="ZUŻYCIE"),-AF410,0)))))</f>
        <v/>
      </c>
      <c r="AJ410" s="21">
        <f>IF(UPPER(AD410)="SKORYGOWANY",0,IF(UPPER(E410)="ZAKUP",IF(L410&lt;&gt;"",L410,I410*K410),0))</f>
        <v/>
      </c>
      <c r="AK410" s="21">
        <f>IF(UPPER(AD410)="SKORYGOWANY",0,IF(UPPER(E410)="SPRZEDAŻ",IF(L410&lt;&gt;"",L410,I410*M410),0))</f>
        <v/>
      </c>
      <c r="AL410" s="21">
        <f>AE410*Q410</f>
        <v/>
      </c>
      <c r="AM410">
        <f>IF(R410="","",IF(LOWER(R410)="brak","Brak",IF(OR(ISNUMBER(SEARCH("własn",LOWER(R410))),ISNUMBER(SEARCH("wlasn",LOWER(R410))),ISNUMBER(SEARCH("wojciechowski",LOWER(R410)))),"Własny","Zewnętrzny")))</f>
        <v/>
      </c>
      <c r="AN410" s="24">
        <f>IF(C410="","",YEAR(C410))</f>
        <v/>
      </c>
      <c r="AO410" s="24">
        <f>IF(C410="","",MONTH(C410))</f>
        <v/>
      </c>
      <c r="AP410">
        <f>IF(C410="","",UPPER(TEXT(C410,"mmmm")))</f>
        <v/>
      </c>
      <c r="AQ410">
        <f>IF(C410="","","Q"&amp;ROUNDUP(MONTH(C410)/3,0))</f>
        <v/>
      </c>
    </row>
    <row r="411">
      <c r="A411" s="19" t="n">
        <v>46252</v>
      </c>
      <c r="C411" s="19" t="n">
        <v>46252</v>
      </c>
      <c r="D411" t="inlineStr">
        <is>
          <t>Magazyn Zabrze</t>
        </is>
      </c>
      <c r="E411" t="inlineStr">
        <is>
          <t>PRODUKCJA</t>
        </is>
      </c>
      <c r="F411" t="inlineStr">
        <is>
          <t>PZ/81</t>
        </is>
      </c>
      <c r="G411" t="inlineStr">
        <is>
          <t>TAK</t>
        </is>
      </c>
      <c r="H411" t="inlineStr">
        <is>
          <t>KZR</t>
        </is>
      </c>
      <c r="I411" s="20" t="n">
        <v>74</v>
      </c>
      <c r="J411" t="inlineStr">
        <is>
          <t>MP</t>
        </is>
      </c>
      <c r="K411" s="21" t="n">
        <v>0</v>
      </c>
      <c r="L411" s="21" t="n">
        <v>0</v>
      </c>
      <c r="M411" s="21" t="n">
        <v>0</v>
      </c>
      <c r="N411" t="inlineStr">
        <is>
          <t>Zrębka Produkcyjna Inwestycyjna</t>
        </is>
      </c>
      <c r="O411" t="inlineStr">
        <is>
          <t>B</t>
        </is>
      </c>
      <c r="P411" t="inlineStr">
        <is>
          <t>własne</t>
        </is>
      </c>
      <c r="Q411" s="21" t="n">
        <v>10</v>
      </c>
      <c r="T411" s="22" t="n">
        <v>0</v>
      </c>
      <c r="U411" s="21" t="n">
        <v>0</v>
      </c>
      <c r="V411" s="21" t="n">
        <v>0</v>
      </c>
      <c r="W411" t="inlineStr">
        <is>
          <t>Magazyn Zabrze</t>
        </is>
      </c>
      <c r="X411" t="inlineStr">
        <is>
          <t>Magazyn Zabrze</t>
        </is>
      </c>
      <c r="Y411" t="inlineStr">
        <is>
          <t>Rębak z Brąszewic, rębakowy Łukasz Kempski</t>
        </is>
      </c>
      <c r="Z411" t="inlineStr">
        <is>
          <t>Marcin Kwiatkowski</t>
        </is>
      </c>
      <c r="AA411" s="23" t="n">
        <v>46257.82609953704</v>
      </c>
      <c r="AB411" t="inlineStr">
        <is>
          <t>OP-MIGR-00410</t>
        </is>
      </c>
      <c r="AD411" t="inlineStr">
        <is>
          <t>AKTYWNY</t>
        </is>
      </c>
      <c r="AE411" s="20">
        <f>IF(I411="",0,IF(ISNUMBER(SEARCH("MP",UPPER(J411))),I411,IF(ISNUMBER(SEARCH("TON",UPPER(J411))),I411/Przelicznik_MP_tona,IF(ISNUMBER(SEARCH("M3",UPPER(J411))),I411*Przelicznik_M3_MP,IF(ISNUMBER(SEARCH("GJ",UPPER(J411))),I411/Przelicznik_GJ_tona/Przelicznik_MP_tona,I411)))))</f>
        <v/>
      </c>
      <c r="AF411" s="20">
        <f>IF(I411="",0,IF(ISNUMBER(SEARCH("TON",UPPER(J411))),I411,IF(ISNUMBER(SEARCH("GJ",UPPER(J411))),I411/Przelicznik_GJ_tona,AE411*Przelicznik_MP_tona)))</f>
        <v/>
      </c>
      <c r="AG411" s="20">
        <f>AF411*Przelicznik_GJ_tona</f>
        <v/>
      </c>
      <c r="AH411" s="20">
        <f>IF(UPPER(AD411)="SKORYGOWANY",0,IF(OR(UPPER(E411)="TRANSPORT",UPPER(E411)="MM"),0,IF(UPPER(G411)&lt;&gt;"TAK",0,IF(OR(UPPER(E411)="ZAKUP",UPPER(E411)="PRODUKCJA"),AE411,IF(OR(UPPER(E411)="SPRZEDAŻ",UPPER(E411)="ZUŻYCIE"),-AE411,0)))))</f>
        <v/>
      </c>
      <c r="AI411" s="20">
        <f>IF(UPPER(AD411)="SKORYGOWANY",0,IF(OR(UPPER(E411)="TRANSPORT",UPPER(E411)="MM"),0,IF(UPPER(G411)&lt;&gt;"TAK",0,IF(OR(UPPER(E411)="ZAKUP",UPPER(E411)="PRODUKCJA"),AF411,IF(OR(UPPER(E411)="SPRZEDAŻ",UPPER(E411)="ZUŻYCIE"),-AF411,0)))))</f>
        <v/>
      </c>
      <c r="AJ411" s="21">
        <f>IF(UPPER(AD411)="SKORYGOWANY",0,IF(UPPER(E411)="ZAKUP",IF(L411&lt;&gt;"",L411,I411*K411),0))</f>
        <v/>
      </c>
      <c r="AK411" s="21">
        <f>IF(UPPER(AD411)="SKORYGOWANY",0,IF(UPPER(E411)="SPRZEDAŻ",IF(L411&lt;&gt;"",L411,I411*M411),0))</f>
        <v/>
      </c>
      <c r="AL411" s="21">
        <f>AE411*Q411</f>
        <v/>
      </c>
      <c r="AM411">
        <f>IF(R411="","",IF(LOWER(R411)="brak","Brak",IF(OR(ISNUMBER(SEARCH("własn",LOWER(R411))),ISNUMBER(SEARCH("wlasn",LOWER(R411))),ISNUMBER(SEARCH("wojciechowski",LOWER(R411)))),"Własny","Zewnętrzny")))</f>
        <v/>
      </c>
      <c r="AN411" s="24">
        <f>IF(C411="","",YEAR(C411))</f>
        <v/>
      </c>
      <c r="AO411" s="24">
        <f>IF(C411="","",MONTH(C411))</f>
        <v/>
      </c>
      <c r="AP411">
        <f>IF(C411="","",UPPER(TEXT(C411,"mmmm")))</f>
        <v/>
      </c>
      <c r="AQ411">
        <f>IF(C411="","","Q"&amp;ROUNDUP(MONTH(C411)/3,0))</f>
        <v/>
      </c>
    </row>
    <row r="412">
      <c r="A412" s="19" t="n">
        <v>46252</v>
      </c>
      <c r="C412" s="19" t="n">
        <v>46252</v>
      </c>
      <c r="D412" t="inlineStr">
        <is>
          <t>Magazyn Zabrze</t>
        </is>
      </c>
      <c r="E412" t="inlineStr">
        <is>
          <t>ZUŻYCIE</t>
        </is>
      </c>
      <c r="F412" t="inlineStr">
        <is>
          <t>PZ/81</t>
        </is>
      </c>
      <c r="G412" t="inlineStr">
        <is>
          <t>TAK</t>
        </is>
      </c>
      <c r="H412" t="inlineStr">
        <is>
          <t>KZR</t>
        </is>
      </c>
      <c r="I412" s="20" t="n">
        <v>74</v>
      </c>
      <c r="J412" t="inlineStr">
        <is>
          <t>MP</t>
        </is>
      </c>
      <c r="K412" s="21" t="n">
        <v>0</v>
      </c>
      <c r="L412" s="21" t="n">
        <v>0</v>
      </c>
      <c r="M412" s="21" t="n">
        <v>0</v>
      </c>
      <c r="N412" t="inlineStr">
        <is>
          <t>Zrębka Produkcyjna Inwestycyjna</t>
        </is>
      </c>
      <c r="O412" t="inlineStr">
        <is>
          <t>B</t>
        </is>
      </c>
      <c r="P412" t="inlineStr">
        <is>
          <t>własne</t>
        </is>
      </c>
      <c r="Q412" s="21" t="n">
        <v>10</v>
      </c>
      <c r="T412" s="22" t="n">
        <v>0</v>
      </c>
      <c r="U412" s="21" t="n">
        <v>0</v>
      </c>
      <c r="V412" s="21" t="n">
        <v>0</v>
      </c>
      <c r="W412" t="inlineStr">
        <is>
          <t>Magazyn Zabrze</t>
        </is>
      </c>
      <c r="X412" t="inlineStr">
        <is>
          <t>Magazyn Zabrze</t>
        </is>
      </c>
      <c r="Y412" t="inlineStr">
        <is>
          <t>Automatyczne zużycie surowca do produkcji</t>
        </is>
      </c>
      <c r="AA412" s="23" t="n">
        <v>46257.82609953704</v>
      </c>
      <c r="AB412" t="inlineStr">
        <is>
          <t>OP-MIGR-00411</t>
        </is>
      </c>
      <c r="AD412" t="inlineStr">
        <is>
          <t>AKTYWNY</t>
        </is>
      </c>
      <c r="AE412" s="20">
        <f>IF(I412="",0,IF(ISNUMBER(SEARCH("MP",UPPER(J412))),I412,IF(ISNUMBER(SEARCH("TON",UPPER(J412))),I412/Przelicznik_MP_tona,IF(ISNUMBER(SEARCH("M3",UPPER(J412))),I412*Przelicznik_M3_MP,IF(ISNUMBER(SEARCH("GJ",UPPER(J412))),I412/Przelicznik_GJ_tona/Przelicznik_MP_tona,I412)))))</f>
        <v/>
      </c>
      <c r="AF412" s="20">
        <f>IF(I412="",0,IF(ISNUMBER(SEARCH("TON",UPPER(J412))),I412,IF(ISNUMBER(SEARCH("GJ",UPPER(J412))),I412/Przelicznik_GJ_tona,AE412*Przelicznik_MP_tona)))</f>
        <v/>
      </c>
      <c r="AG412" s="20">
        <f>AF412*Przelicznik_GJ_tona</f>
        <v/>
      </c>
      <c r="AH412" s="20">
        <f>IF(UPPER(AD412)="SKORYGOWANY",0,IF(OR(UPPER(E412)="TRANSPORT",UPPER(E412)="MM"),0,IF(UPPER(G412)&lt;&gt;"TAK",0,IF(OR(UPPER(E412)="ZAKUP",UPPER(E412)="PRODUKCJA"),AE412,IF(OR(UPPER(E412)="SPRZEDAŻ",UPPER(E412)="ZUŻYCIE"),-AE412,0)))))</f>
        <v/>
      </c>
      <c r="AI412" s="20">
        <f>IF(UPPER(AD412)="SKORYGOWANY",0,IF(OR(UPPER(E412)="TRANSPORT",UPPER(E412)="MM"),0,IF(UPPER(G412)&lt;&gt;"TAK",0,IF(OR(UPPER(E412)="ZAKUP",UPPER(E412)="PRODUKCJA"),AF412,IF(OR(UPPER(E412)="SPRZEDAŻ",UPPER(E412)="ZUŻYCIE"),-AF412,0)))))</f>
        <v/>
      </c>
      <c r="AJ412" s="21">
        <f>IF(UPPER(AD412)="SKORYGOWANY",0,IF(UPPER(E412)="ZAKUP",IF(L412&lt;&gt;"",L412,I412*K412),0))</f>
        <v/>
      </c>
      <c r="AK412" s="21">
        <f>IF(UPPER(AD412)="SKORYGOWANY",0,IF(UPPER(E412)="SPRZEDAŻ",IF(L412&lt;&gt;"",L412,I412*M412),0))</f>
        <v/>
      </c>
      <c r="AL412" s="21">
        <f>AE412*Q412</f>
        <v/>
      </c>
      <c r="AM412">
        <f>IF(R412="","",IF(LOWER(R412)="brak","Brak",IF(OR(ISNUMBER(SEARCH("własn",LOWER(R412))),ISNUMBER(SEARCH("wlasn",LOWER(R412))),ISNUMBER(SEARCH("wojciechowski",LOWER(R412)))),"Własny","Zewnętrzny")))</f>
        <v/>
      </c>
      <c r="AN412" s="24">
        <f>IF(C412="","",YEAR(C412))</f>
        <v/>
      </c>
      <c r="AO412" s="24">
        <f>IF(C412="","",MONTH(C412))</f>
        <v/>
      </c>
      <c r="AP412">
        <f>IF(C412="","",UPPER(TEXT(C412,"mmmm")))</f>
        <v/>
      </c>
      <c r="AQ412">
        <f>IF(C412="","","Q"&amp;ROUNDUP(MONTH(C412)/3,0))</f>
        <v/>
      </c>
    </row>
    <row r="413">
      <c r="A413" s="19" t="n">
        <v>46252</v>
      </c>
      <c r="B413" t="inlineStr">
        <is>
          <t>Ściborzyce</t>
        </is>
      </c>
      <c r="C413" s="19" t="n">
        <v>46252</v>
      </c>
      <c r="D413" t="inlineStr">
        <is>
          <t>Magazyn Zabrze</t>
        </is>
      </c>
      <c r="E413" t="inlineStr">
        <is>
          <t>ZAKUP</t>
        </is>
      </c>
      <c r="F413" t="inlineStr">
        <is>
          <t>PZ/81</t>
        </is>
      </c>
      <c r="G413" t="inlineStr">
        <is>
          <t>TAK</t>
        </is>
      </c>
      <c r="H413" t="inlineStr">
        <is>
          <t>KZR</t>
        </is>
      </c>
      <c r="I413" s="20" t="n">
        <v>74</v>
      </c>
      <c r="J413" t="inlineStr">
        <is>
          <t>MP</t>
        </is>
      </c>
      <c r="K413" s="21" t="n">
        <v>0</v>
      </c>
      <c r="L413" s="21" t="n">
        <v>0</v>
      </c>
      <c r="M413" s="21" t="n">
        <v>0</v>
      </c>
      <c r="N413" t="inlineStr">
        <is>
          <t>Zrębka Produkcyjna Inwestycyjna</t>
        </is>
      </c>
      <c r="O413" t="inlineStr">
        <is>
          <t>B</t>
        </is>
      </c>
      <c r="Q413" s="21" t="n">
        <v>0</v>
      </c>
      <c r="R413" t="inlineStr">
        <is>
          <t>własny (Chrzan)</t>
        </is>
      </c>
      <c r="S413" t="inlineStr">
        <is>
          <t>SK 5L809</t>
        </is>
      </c>
      <c r="T413" s="22" t="n">
        <v>210</v>
      </c>
      <c r="U413" s="21" t="n">
        <v>5</v>
      </c>
      <c r="V413" s="21" t="n">
        <v>1050</v>
      </c>
      <c r="W413" t="inlineStr">
        <is>
          <t>Magazyn Zabrze</t>
        </is>
      </c>
      <c r="Z413" t="inlineStr">
        <is>
          <t>Marcin Kwiatkowski</t>
        </is>
      </c>
      <c r="AA413" s="23" t="n">
        <v>46257.82902777778</v>
      </c>
      <c r="AB413" t="inlineStr">
        <is>
          <t>OP-MIGR-00412</t>
        </is>
      </c>
      <c r="AD413" t="inlineStr">
        <is>
          <t>AKTYWNY</t>
        </is>
      </c>
      <c r="AE413" s="20">
        <f>IF(I413="",0,IF(ISNUMBER(SEARCH("MP",UPPER(J413))),I413,IF(ISNUMBER(SEARCH("TON",UPPER(J413))),I413/Przelicznik_MP_tona,IF(ISNUMBER(SEARCH("M3",UPPER(J413))),I413*Przelicznik_M3_MP,IF(ISNUMBER(SEARCH("GJ",UPPER(J413))),I413/Przelicznik_GJ_tona/Przelicznik_MP_tona,I413)))))</f>
        <v/>
      </c>
      <c r="AF413" s="20">
        <f>IF(I413="",0,IF(ISNUMBER(SEARCH("TON",UPPER(J413))),I413,IF(ISNUMBER(SEARCH("GJ",UPPER(J413))),I413/Przelicznik_GJ_tona,AE413*Przelicznik_MP_tona)))</f>
        <v/>
      </c>
      <c r="AG413" s="20">
        <f>AF413*Przelicznik_GJ_tona</f>
        <v/>
      </c>
      <c r="AH413" s="20">
        <f>IF(UPPER(AD413)="SKORYGOWANY",0,IF(OR(UPPER(E413)="TRANSPORT",UPPER(E413)="MM"),0,IF(UPPER(G413)&lt;&gt;"TAK",0,IF(OR(UPPER(E413)="ZAKUP",UPPER(E413)="PRODUKCJA"),AE413,IF(OR(UPPER(E413)="SPRZEDAŻ",UPPER(E413)="ZUŻYCIE"),-AE413,0)))))</f>
        <v/>
      </c>
      <c r="AI413" s="20">
        <f>IF(UPPER(AD413)="SKORYGOWANY",0,IF(OR(UPPER(E413)="TRANSPORT",UPPER(E413)="MM"),0,IF(UPPER(G413)&lt;&gt;"TAK",0,IF(OR(UPPER(E413)="ZAKUP",UPPER(E413)="PRODUKCJA"),AF413,IF(OR(UPPER(E413)="SPRZEDAŻ",UPPER(E413)="ZUŻYCIE"),-AF413,0)))))</f>
        <v/>
      </c>
      <c r="AJ413" s="21">
        <f>IF(UPPER(AD413)="SKORYGOWANY",0,IF(UPPER(E413)="ZAKUP",IF(L413&lt;&gt;"",L413,I413*K413),0))</f>
        <v/>
      </c>
      <c r="AK413" s="21">
        <f>IF(UPPER(AD413)="SKORYGOWANY",0,IF(UPPER(E413)="SPRZEDAŻ",IF(L413&lt;&gt;"",L413,I413*M413),0))</f>
        <v/>
      </c>
      <c r="AL413" s="21">
        <f>AE413*Q413</f>
        <v/>
      </c>
      <c r="AM413">
        <f>IF(R413="","",IF(LOWER(R413)="brak","Brak",IF(OR(ISNUMBER(SEARCH("własn",LOWER(R413))),ISNUMBER(SEARCH("wlasn",LOWER(R413))),ISNUMBER(SEARCH("wojciechowski",LOWER(R413)))),"Własny","Zewnętrzny")))</f>
        <v/>
      </c>
      <c r="AN413" s="24">
        <f>IF(C413="","",YEAR(C413))</f>
        <v/>
      </c>
      <c r="AO413" s="24">
        <f>IF(C413="","",MONTH(C413))</f>
        <v/>
      </c>
      <c r="AP413">
        <f>IF(C413="","",UPPER(TEXT(C413,"mmmm")))</f>
        <v/>
      </c>
      <c r="AQ413">
        <f>IF(C413="","","Q"&amp;ROUNDUP(MONTH(C413)/3,0))</f>
        <v/>
      </c>
    </row>
    <row r="414">
      <c r="A414" s="19" t="n">
        <v>46252</v>
      </c>
      <c r="C414" s="19" t="n">
        <v>46252</v>
      </c>
      <c r="D414" t="inlineStr">
        <is>
          <t>Grandpol</t>
        </is>
      </c>
      <c r="E414" t="inlineStr">
        <is>
          <t>ZAKUP</t>
        </is>
      </c>
      <c r="F414" t="inlineStr">
        <is>
          <t>PZ/82</t>
        </is>
      </c>
      <c r="G414" t="inlineStr">
        <is>
          <t>NIE</t>
        </is>
      </c>
      <c r="H414" t="inlineStr">
        <is>
          <t>KZR</t>
        </is>
      </c>
      <c r="I414" s="20" t="n">
        <v>76</v>
      </c>
      <c r="J414" t="inlineStr">
        <is>
          <t>MP</t>
        </is>
      </c>
      <c r="K414" s="21" t="n">
        <v>45</v>
      </c>
      <c r="L414" s="21" t="n">
        <v>3420</v>
      </c>
      <c r="M414" s="21" t="n">
        <v>0</v>
      </c>
      <c r="N414" t="inlineStr">
        <is>
          <t>Drewno przemysłowe z wycinek inwest.</t>
        </is>
      </c>
      <c r="Q414" s="21" t="n">
        <v>0</v>
      </c>
      <c r="T414" s="22" t="n">
        <v>0</v>
      </c>
      <c r="U414" s="21" t="n">
        <v>0</v>
      </c>
      <c r="V414" s="21" t="n">
        <v>0</v>
      </c>
      <c r="W414" t="inlineStr">
        <is>
          <t>Magazyn Zabrze</t>
        </is>
      </c>
      <c r="Y414" t="inlineStr">
        <is>
          <t>Waga: 22 420 kg</t>
        </is>
      </c>
      <c r="Z414" t="inlineStr">
        <is>
          <t>Marcin Kwiatkowski</t>
        </is>
      </c>
      <c r="AA414" s="23" t="n">
        <v>46257.83525462963</v>
      </c>
      <c r="AB414" t="inlineStr">
        <is>
          <t>OP-MIGR-00413</t>
        </is>
      </c>
      <c r="AD414" t="inlineStr">
        <is>
          <t>AKTYWNY</t>
        </is>
      </c>
      <c r="AE414" s="20">
        <f>IF(I414="",0,IF(ISNUMBER(SEARCH("MP",UPPER(J414))),I414,IF(ISNUMBER(SEARCH("TON",UPPER(J414))),I414/Przelicznik_MP_tona,IF(ISNUMBER(SEARCH("M3",UPPER(J414))),I414*Przelicznik_M3_MP,IF(ISNUMBER(SEARCH("GJ",UPPER(J414))),I414/Przelicznik_GJ_tona/Przelicznik_MP_tona,I414)))))</f>
        <v/>
      </c>
      <c r="AF414" s="20">
        <f>IF(I414="",0,IF(ISNUMBER(SEARCH("TON",UPPER(J414))),I414,IF(ISNUMBER(SEARCH("GJ",UPPER(J414))),I414/Przelicznik_GJ_tona,AE414*Przelicznik_MP_tona)))</f>
        <v/>
      </c>
      <c r="AG414" s="20">
        <f>AF414*Przelicznik_GJ_tona</f>
        <v/>
      </c>
      <c r="AH414" s="20">
        <f>IF(UPPER(AD414)="SKORYGOWANY",0,IF(OR(UPPER(E414)="TRANSPORT",UPPER(E414)="MM"),0,IF(UPPER(G414)&lt;&gt;"TAK",0,IF(OR(UPPER(E414)="ZAKUP",UPPER(E414)="PRODUKCJA"),AE414,IF(OR(UPPER(E414)="SPRZEDAŻ",UPPER(E414)="ZUŻYCIE"),-AE414,0)))))</f>
        <v/>
      </c>
      <c r="AI414" s="20">
        <f>IF(UPPER(AD414)="SKORYGOWANY",0,IF(OR(UPPER(E414)="TRANSPORT",UPPER(E414)="MM"),0,IF(UPPER(G414)&lt;&gt;"TAK",0,IF(OR(UPPER(E414)="ZAKUP",UPPER(E414)="PRODUKCJA"),AF414,IF(OR(UPPER(E414)="SPRZEDAŻ",UPPER(E414)="ZUŻYCIE"),-AF414,0)))))</f>
        <v/>
      </c>
      <c r="AJ414" s="21">
        <f>IF(UPPER(AD414)="SKORYGOWANY",0,IF(UPPER(E414)="ZAKUP",IF(L414&lt;&gt;"",L414,I414*K414),0))</f>
        <v/>
      </c>
      <c r="AK414" s="21">
        <f>IF(UPPER(AD414)="SKORYGOWANY",0,IF(UPPER(E414)="SPRZEDAŻ",IF(L414&lt;&gt;"",L414,I414*M414),0))</f>
        <v/>
      </c>
      <c r="AL414" s="21">
        <f>AE414*Q414</f>
        <v/>
      </c>
      <c r="AM414">
        <f>IF(R414="","",IF(LOWER(R414)="brak","Brak",IF(OR(ISNUMBER(SEARCH("własn",LOWER(R414))),ISNUMBER(SEARCH("wlasn",LOWER(R414))),ISNUMBER(SEARCH("wojciechowski",LOWER(R414)))),"Własny","Zewnętrzny")))</f>
        <v/>
      </c>
      <c r="AN414" s="24">
        <f>IF(C414="","",YEAR(C414))</f>
        <v/>
      </c>
      <c r="AO414" s="24">
        <f>IF(C414="","",MONTH(C414))</f>
        <v/>
      </c>
      <c r="AP414">
        <f>IF(C414="","",UPPER(TEXT(C414,"mmmm")))</f>
        <v/>
      </c>
      <c r="AQ414">
        <f>IF(C414="","","Q"&amp;ROUNDUP(MONTH(C414)/3,0))</f>
        <v/>
      </c>
    </row>
    <row r="415">
      <c r="A415" s="19" t="n">
        <v>46252</v>
      </c>
      <c r="C415" s="19" t="n">
        <v>46252</v>
      </c>
      <c r="D415" t="inlineStr">
        <is>
          <t>Magazyn Zabrze</t>
        </is>
      </c>
      <c r="E415" t="inlineStr">
        <is>
          <t>PRODUKCJA</t>
        </is>
      </c>
      <c r="F415" t="inlineStr">
        <is>
          <t>PZ/82</t>
        </is>
      </c>
      <c r="G415" t="inlineStr">
        <is>
          <t>TAK</t>
        </is>
      </c>
      <c r="H415" t="inlineStr">
        <is>
          <t>KZR</t>
        </is>
      </c>
      <c r="I415" s="20" t="n">
        <v>76</v>
      </c>
      <c r="J415" t="inlineStr">
        <is>
          <t>MP</t>
        </is>
      </c>
      <c r="K415" s="21" t="n">
        <v>0</v>
      </c>
      <c r="L415" s="21" t="n">
        <v>0</v>
      </c>
      <c r="M415" s="21" t="n">
        <v>0</v>
      </c>
      <c r="N415" t="inlineStr">
        <is>
          <t>Zrębka Produkcyjna Inwestycyjna</t>
        </is>
      </c>
      <c r="O415" t="inlineStr">
        <is>
          <t>B</t>
        </is>
      </c>
      <c r="P415" t="inlineStr">
        <is>
          <t>własne</t>
        </is>
      </c>
      <c r="Q415" s="21" t="n">
        <v>10</v>
      </c>
      <c r="T415" s="22" t="n">
        <v>0</v>
      </c>
      <c r="U415" s="21" t="n">
        <v>0</v>
      </c>
      <c r="V415" s="21" t="n">
        <v>0</v>
      </c>
      <c r="W415" t="inlineStr">
        <is>
          <t>Magazyn Zabrze</t>
        </is>
      </c>
      <c r="X415" t="inlineStr">
        <is>
          <t>Magazyn Zabrze</t>
        </is>
      </c>
      <c r="Y415" t="inlineStr">
        <is>
          <t>Rębak z Brąszewic, rębakowy Łukasz Kempski</t>
        </is>
      </c>
      <c r="Z415" t="inlineStr">
        <is>
          <t>Marcin Kwiatkowski</t>
        </is>
      </c>
      <c r="AA415" s="23" t="n">
        <v>46257.83629629629</v>
      </c>
      <c r="AB415" t="inlineStr">
        <is>
          <t>OP-MIGR-00414</t>
        </is>
      </c>
      <c r="AD415" t="inlineStr">
        <is>
          <t>AKTYWNY</t>
        </is>
      </c>
      <c r="AE415" s="20">
        <f>IF(I415="",0,IF(ISNUMBER(SEARCH("MP",UPPER(J415))),I415,IF(ISNUMBER(SEARCH("TON",UPPER(J415))),I415/Przelicznik_MP_tona,IF(ISNUMBER(SEARCH("M3",UPPER(J415))),I415*Przelicznik_M3_MP,IF(ISNUMBER(SEARCH("GJ",UPPER(J415))),I415/Przelicznik_GJ_tona/Przelicznik_MP_tona,I415)))))</f>
        <v/>
      </c>
      <c r="AF415" s="20">
        <f>IF(I415="",0,IF(ISNUMBER(SEARCH("TON",UPPER(J415))),I415,IF(ISNUMBER(SEARCH("GJ",UPPER(J415))),I415/Przelicznik_GJ_tona,AE415*Przelicznik_MP_tona)))</f>
        <v/>
      </c>
      <c r="AG415" s="20">
        <f>AF415*Przelicznik_GJ_tona</f>
        <v/>
      </c>
      <c r="AH415" s="20">
        <f>IF(UPPER(AD415)="SKORYGOWANY",0,IF(OR(UPPER(E415)="TRANSPORT",UPPER(E415)="MM"),0,IF(UPPER(G415)&lt;&gt;"TAK",0,IF(OR(UPPER(E415)="ZAKUP",UPPER(E415)="PRODUKCJA"),AE415,IF(OR(UPPER(E415)="SPRZEDAŻ",UPPER(E415)="ZUŻYCIE"),-AE415,0)))))</f>
        <v/>
      </c>
      <c r="AI415" s="20">
        <f>IF(UPPER(AD415)="SKORYGOWANY",0,IF(OR(UPPER(E415)="TRANSPORT",UPPER(E415)="MM"),0,IF(UPPER(G415)&lt;&gt;"TAK",0,IF(OR(UPPER(E415)="ZAKUP",UPPER(E415)="PRODUKCJA"),AF415,IF(OR(UPPER(E415)="SPRZEDAŻ",UPPER(E415)="ZUŻYCIE"),-AF415,0)))))</f>
        <v/>
      </c>
      <c r="AJ415" s="21">
        <f>IF(UPPER(AD415)="SKORYGOWANY",0,IF(UPPER(E415)="ZAKUP",IF(L415&lt;&gt;"",L415,I415*K415),0))</f>
        <v/>
      </c>
      <c r="AK415" s="21">
        <f>IF(UPPER(AD415)="SKORYGOWANY",0,IF(UPPER(E415)="SPRZEDAŻ",IF(L415&lt;&gt;"",L415,I415*M415),0))</f>
        <v/>
      </c>
      <c r="AL415" s="21">
        <f>AE415*Q415</f>
        <v/>
      </c>
      <c r="AM415">
        <f>IF(R415="","",IF(LOWER(R415)="brak","Brak",IF(OR(ISNUMBER(SEARCH("własn",LOWER(R415))),ISNUMBER(SEARCH("wlasn",LOWER(R415))),ISNUMBER(SEARCH("wojciechowski",LOWER(R415)))),"Własny","Zewnętrzny")))</f>
        <v/>
      </c>
      <c r="AN415" s="24">
        <f>IF(C415="","",YEAR(C415))</f>
        <v/>
      </c>
      <c r="AO415" s="24">
        <f>IF(C415="","",MONTH(C415))</f>
        <v/>
      </c>
      <c r="AP415">
        <f>IF(C415="","",UPPER(TEXT(C415,"mmmm")))</f>
        <v/>
      </c>
      <c r="AQ415">
        <f>IF(C415="","","Q"&amp;ROUNDUP(MONTH(C415)/3,0))</f>
        <v/>
      </c>
    </row>
    <row r="416">
      <c r="A416" s="19" t="n">
        <v>46252</v>
      </c>
      <c r="C416" s="19" t="n">
        <v>46252</v>
      </c>
      <c r="D416" t="inlineStr">
        <is>
          <t>Magazyn Zabrze</t>
        </is>
      </c>
      <c r="E416" t="inlineStr">
        <is>
          <t>ZUŻYCIE</t>
        </is>
      </c>
      <c r="F416" t="inlineStr">
        <is>
          <t>PZ/82</t>
        </is>
      </c>
      <c r="G416" t="inlineStr">
        <is>
          <t>TAK</t>
        </is>
      </c>
      <c r="H416" t="inlineStr">
        <is>
          <t>KZR</t>
        </is>
      </c>
      <c r="I416" s="20" t="n">
        <v>76</v>
      </c>
      <c r="J416" t="inlineStr">
        <is>
          <t>MP</t>
        </is>
      </c>
      <c r="K416" s="21" t="n">
        <v>0</v>
      </c>
      <c r="L416" s="21" t="n">
        <v>0</v>
      </c>
      <c r="M416" s="21" t="n">
        <v>0</v>
      </c>
      <c r="N416" t="inlineStr">
        <is>
          <t>Zrębka Produkcyjna Inwestycyjna</t>
        </is>
      </c>
      <c r="O416" t="inlineStr">
        <is>
          <t>B</t>
        </is>
      </c>
      <c r="P416" t="inlineStr">
        <is>
          <t>własne</t>
        </is>
      </c>
      <c r="Q416" s="21" t="n">
        <v>10</v>
      </c>
      <c r="T416" s="22" t="n">
        <v>0</v>
      </c>
      <c r="U416" s="21" t="n">
        <v>0</v>
      </c>
      <c r="V416" s="21" t="n">
        <v>0</v>
      </c>
      <c r="W416" t="inlineStr">
        <is>
          <t>Magazyn Zabrze</t>
        </is>
      </c>
      <c r="X416" t="inlineStr">
        <is>
          <t>Magazyn Zabrze</t>
        </is>
      </c>
      <c r="Y416" t="inlineStr">
        <is>
          <t>Automatyczne zużycie surowca do produkcji</t>
        </is>
      </c>
      <c r="AA416" s="23" t="n">
        <v>46257.83629629629</v>
      </c>
      <c r="AB416" t="inlineStr">
        <is>
          <t>OP-MIGR-00415</t>
        </is>
      </c>
      <c r="AD416" t="inlineStr">
        <is>
          <t>AKTYWNY</t>
        </is>
      </c>
      <c r="AE416" s="20">
        <f>IF(I416="",0,IF(ISNUMBER(SEARCH("MP",UPPER(J416))),I416,IF(ISNUMBER(SEARCH("TON",UPPER(J416))),I416/Przelicznik_MP_tona,IF(ISNUMBER(SEARCH("M3",UPPER(J416))),I416*Przelicznik_M3_MP,IF(ISNUMBER(SEARCH("GJ",UPPER(J416))),I416/Przelicznik_GJ_tona/Przelicznik_MP_tona,I416)))))</f>
        <v/>
      </c>
      <c r="AF416" s="20">
        <f>IF(I416="",0,IF(ISNUMBER(SEARCH("TON",UPPER(J416))),I416,IF(ISNUMBER(SEARCH("GJ",UPPER(J416))),I416/Przelicznik_GJ_tona,AE416*Przelicznik_MP_tona)))</f>
        <v/>
      </c>
      <c r="AG416" s="20">
        <f>AF416*Przelicznik_GJ_tona</f>
        <v/>
      </c>
      <c r="AH416" s="20">
        <f>IF(UPPER(AD416)="SKORYGOWANY",0,IF(OR(UPPER(E416)="TRANSPORT",UPPER(E416)="MM"),0,IF(UPPER(G416)&lt;&gt;"TAK",0,IF(OR(UPPER(E416)="ZAKUP",UPPER(E416)="PRODUKCJA"),AE416,IF(OR(UPPER(E416)="SPRZEDAŻ",UPPER(E416)="ZUŻYCIE"),-AE416,0)))))</f>
        <v/>
      </c>
      <c r="AI416" s="20">
        <f>IF(UPPER(AD416)="SKORYGOWANY",0,IF(OR(UPPER(E416)="TRANSPORT",UPPER(E416)="MM"),0,IF(UPPER(G416)&lt;&gt;"TAK",0,IF(OR(UPPER(E416)="ZAKUP",UPPER(E416)="PRODUKCJA"),AF416,IF(OR(UPPER(E416)="SPRZEDAŻ",UPPER(E416)="ZUŻYCIE"),-AF416,0)))))</f>
        <v/>
      </c>
      <c r="AJ416" s="21">
        <f>IF(UPPER(AD416)="SKORYGOWANY",0,IF(UPPER(E416)="ZAKUP",IF(L416&lt;&gt;"",L416,I416*K416),0))</f>
        <v/>
      </c>
      <c r="AK416" s="21">
        <f>IF(UPPER(AD416)="SKORYGOWANY",0,IF(UPPER(E416)="SPRZEDAŻ",IF(L416&lt;&gt;"",L416,I416*M416),0))</f>
        <v/>
      </c>
      <c r="AL416" s="21">
        <f>AE416*Q416</f>
        <v/>
      </c>
      <c r="AM416">
        <f>IF(R416="","",IF(LOWER(R416)="brak","Brak",IF(OR(ISNUMBER(SEARCH("własn",LOWER(R416))),ISNUMBER(SEARCH("wlasn",LOWER(R416))),ISNUMBER(SEARCH("wojciechowski",LOWER(R416)))),"Własny","Zewnętrzny")))</f>
        <v/>
      </c>
      <c r="AN416" s="24">
        <f>IF(C416="","",YEAR(C416))</f>
        <v/>
      </c>
      <c r="AO416" s="24">
        <f>IF(C416="","",MONTH(C416))</f>
        <v/>
      </c>
      <c r="AP416">
        <f>IF(C416="","",UPPER(TEXT(C416,"mmmm")))</f>
        <v/>
      </c>
      <c r="AQ416">
        <f>IF(C416="","","Q"&amp;ROUNDUP(MONTH(C416)/3,0))</f>
        <v/>
      </c>
    </row>
    <row r="417">
      <c r="A417" s="19" t="n">
        <v>46252</v>
      </c>
      <c r="B417" t="inlineStr">
        <is>
          <t>Ściborzyce</t>
        </is>
      </c>
      <c r="C417" s="19" t="n">
        <v>46252</v>
      </c>
      <c r="D417" t="inlineStr">
        <is>
          <t>Magazyn Zabrze</t>
        </is>
      </c>
      <c r="E417" t="inlineStr">
        <is>
          <t>ZAKUP</t>
        </is>
      </c>
      <c r="F417" t="inlineStr">
        <is>
          <t>PZ/82</t>
        </is>
      </c>
      <c r="G417" t="inlineStr">
        <is>
          <t>TAK</t>
        </is>
      </c>
      <c r="H417" t="inlineStr">
        <is>
          <t>KZR</t>
        </is>
      </c>
      <c r="I417" s="20" t="n">
        <v>76</v>
      </c>
      <c r="J417" t="inlineStr">
        <is>
          <t>MP</t>
        </is>
      </c>
      <c r="K417" s="21" t="n">
        <v>0</v>
      </c>
      <c r="L417" s="21" t="n">
        <v>0</v>
      </c>
      <c r="M417" s="21" t="n">
        <v>0</v>
      </c>
      <c r="N417" t="inlineStr">
        <is>
          <t>Zrębka Produkcyjna Inwestycyjna</t>
        </is>
      </c>
      <c r="O417" t="inlineStr">
        <is>
          <t>B</t>
        </is>
      </c>
      <c r="Q417" s="21" t="n">
        <v>0</v>
      </c>
      <c r="R417" t="inlineStr">
        <is>
          <t>własny (Wilczak)</t>
        </is>
      </c>
      <c r="S417" t="inlineStr">
        <is>
          <t>SK 7J884</t>
        </is>
      </c>
      <c r="T417" s="22" t="n">
        <v>210</v>
      </c>
      <c r="U417" s="21" t="n">
        <v>5</v>
      </c>
      <c r="V417" s="21" t="n">
        <v>1050</v>
      </c>
      <c r="W417" t="inlineStr">
        <is>
          <t>Magazyn Zabrze</t>
        </is>
      </c>
      <c r="Z417" t="inlineStr">
        <is>
          <t>Marcin Kwiatkowski</t>
        </is>
      </c>
      <c r="AA417" s="23" t="n">
        <v>46257.83728009259</v>
      </c>
      <c r="AB417" t="inlineStr">
        <is>
          <t>OP-MIGR-00416</t>
        </is>
      </c>
      <c r="AD417" t="inlineStr">
        <is>
          <t>AKTYWNY</t>
        </is>
      </c>
      <c r="AE417" s="20">
        <f>IF(I417="",0,IF(ISNUMBER(SEARCH("MP",UPPER(J417))),I417,IF(ISNUMBER(SEARCH("TON",UPPER(J417))),I417/Przelicznik_MP_tona,IF(ISNUMBER(SEARCH("M3",UPPER(J417))),I417*Przelicznik_M3_MP,IF(ISNUMBER(SEARCH("GJ",UPPER(J417))),I417/Przelicznik_GJ_tona/Przelicznik_MP_tona,I417)))))</f>
        <v/>
      </c>
      <c r="AF417" s="20">
        <f>IF(I417="",0,IF(ISNUMBER(SEARCH("TON",UPPER(J417))),I417,IF(ISNUMBER(SEARCH("GJ",UPPER(J417))),I417/Przelicznik_GJ_tona,AE417*Przelicznik_MP_tona)))</f>
        <v/>
      </c>
      <c r="AG417" s="20">
        <f>AF417*Przelicznik_GJ_tona</f>
        <v/>
      </c>
      <c r="AH417" s="20">
        <f>IF(UPPER(AD417)="SKORYGOWANY",0,IF(OR(UPPER(E417)="TRANSPORT",UPPER(E417)="MM"),0,IF(UPPER(G417)&lt;&gt;"TAK",0,IF(OR(UPPER(E417)="ZAKUP",UPPER(E417)="PRODUKCJA"),AE417,IF(OR(UPPER(E417)="SPRZEDAŻ",UPPER(E417)="ZUŻYCIE"),-AE417,0)))))</f>
        <v/>
      </c>
      <c r="AI417" s="20">
        <f>IF(UPPER(AD417)="SKORYGOWANY",0,IF(OR(UPPER(E417)="TRANSPORT",UPPER(E417)="MM"),0,IF(UPPER(G417)&lt;&gt;"TAK",0,IF(OR(UPPER(E417)="ZAKUP",UPPER(E417)="PRODUKCJA"),AF417,IF(OR(UPPER(E417)="SPRZEDAŻ",UPPER(E417)="ZUŻYCIE"),-AF417,0)))))</f>
        <v/>
      </c>
      <c r="AJ417" s="21">
        <f>IF(UPPER(AD417)="SKORYGOWANY",0,IF(UPPER(E417)="ZAKUP",IF(L417&lt;&gt;"",L417,I417*K417),0))</f>
        <v/>
      </c>
      <c r="AK417" s="21">
        <f>IF(UPPER(AD417)="SKORYGOWANY",0,IF(UPPER(E417)="SPRZEDAŻ",IF(L417&lt;&gt;"",L417,I417*M417),0))</f>
        <v/>
      </c>
      <c r="AL417" s="21">
        <f>AE417*Q417</f>
        <v/>
      </c>
      <c r="AM417">
        <f>IF(R417="","",IF(LOWER(R417)="brak","Brak",IF(OR(ISNUMBER(SEARCH("własn",LOWER(R417))),ISNUMBER(SEARCH("wlasn",LOWER(R417))),ISNUMBER(SEARCH("wojciechowski",LOWER(R417)))),"Własny","Zewnętrzny")))</f>
        <v/>
      </c>
      <c r="AN417" s="24">
        <f>IF(C417="","",YEAR(C417))</f>
        <v/>
      </c>
      <c r="AO417" s="24">
        <f>IF(C417="","",MONTH(C417))</f>
        <v/>
      </c>
      <c r="AP417">
        <f>IF(C417="","",UPPER(TEXT(C417,"mmmm")))</f>
        <v/>
      </c>
      <c r="AQ417">
        <f>IF(C417="","","Q"&amp;ROUNDUP(MONTH(C417)/3,0))</f>
        <v/>
      </c>
    </row>
    <row r="418">
      <c r="A418" s="19" t="n">
        <v>46252</v>
      </c>
      <c r="C418" s="19" t="n">
        <v>46252</v>
      </c>
      <c r="D418" t="inlineStr">
        <is>
          <t>Grandpol</t>
        </is>
      </c>
      <c r="E418" t="inlineStr">
        <is>
          <t>ZAKUP</t>
        </is>
      </c>
      <c r="F418" t="inlineStr">
        <is>
          <t>PZ/83</t>
        </is>
      </c>
      <c r="G418" t="inlineStr">
        <is>
          <t>NIE</t>
        </is>
      </c>
      <c r="H418" t="inlineStr">
        <is>
          <t>KZR</t>
        </is>
      </c>
      <c r="I418" s="20" t="n">
        <v>75</v>
      </c>
      <c r="J418" t="inlineStr">
        <is>
          <t>MP</t>
        </is>
      </c>
      <c r="K418" s="21" t="n">
        <v>45</v>
      </c>
      <c r="L418" s="21" t="n">
        <v>3375</v>
      </c>
      <c r="M418" s="21" t="n">
        <v>0</v>
      </c>
      <c r="N418" t="inlineStr">
        <is>
          <t>Drewno przemysłowe z wycinek inwest.</t>
        </is>
      </c>
      <c r="Q418" s="21" t="n">
        <v>0</v>
      </c>
      <c r="T418" s="22" t="n">
        <v>0</v>
      </c>
      <c r="U418" s="21" t="n">
        <v>0</v>
      </c>
      <c r="V418" s="21" t="n">
        <v>0</v>
      </c>
      <c r="W418" t="inlineStr">
        <is>
          <t>Magazyn Zabrze</t>
        </is>
      </c>
      <c r="Y418" t="inlineStr">
        <is>
          <t>Waga: 22 000 kg</t>
        </is>
      </c>
      <c r="Z418" t="inlineStr">
        <is>
          <t>Marcin Kwiatkowski</t>
        </is>
      </c>
      <c r="AA418" s="23" t="n">
        <v>46257.84065972222</v>
      </c>
      <c r="AB418" t="inlineStr">
        <is>
          <t>OP-MIGR-00417</t>
        </is>
      </c>
      <c r="AD418" t="inlineStr">
        <is>
          <t>AKTYWNY</t>
        </is>
      </c>
      <c r="AE418" s="20">
        <f>IF(I418="",0,IF(ISNUMBER(SEARCH("MP",UPPER(J418))),I418,IF(ISNUMBER(SEARCH("TON",UPPER(J418))),I418/Przelicznik_MP_tona,IF(ISNUMBER(SEARCH("M3",UPPER(J418))),I418*Przelicznik_M3_MP,IF(ISNUMBER(SEARCH("GJ",UPPER(J418))),I418/Przelicznik_GJ_tona/Przelicznik_MP_tona,I418)))))</f>
        <v/>
      </c>
      <c r="AF418" s="20">
        <f>IF(I418="",0,IF(ISNUMBER(SEARCH("TON",UPPER(J418))),I418,IF(ISNUMBER(SEARCH("GJ",UPPER(J418))),I418/Przelicznik_GJ_tona,AE418*Przelicznik_MP_tona)))</f>
        <v/>
      </c>
      <c r="AG418" s="20">
        <f>AF418*Przelicznik_GJ_tona</f>
        <v/>
      </c>
      <c r="AH418" s="20">
        <f>IF(UPPER(AD418)="SKORYGOWANY",0,IF(OR(UPPER(E418)="TRANSPORT",UPPER(E418)="MM"),0,IF(UPPER(G418)&lt;&gt;"TAK",0,IF(OR(UPPER(E418)="ZAKUP",UPPER(E418)="PRODUKCJA"),AE418,IF(OR(UPPER(E418)="SPRZEDAŻ",UPPER(E418)="ZUŻYCIE"),-AE418,0)))))</f>
        <v/>
      </c>
      <c r="AI418" s="20">
        <f>IF(UPPER(AD418)="SKORYGOWANY",0,IF(OR(UPPER(E418)="TRANSPORT",UPPER(E418)="MM"),0,IF(UPPER(G418)&lt;&gt;"TAK",0,IF(OR(UPPER(E418)="ZAKUP",UPPER(E418)="PRODUKCJA"),AF418,IF(OR(UPPER(E418)="SPRZEDAŻ",UPPER(E418)="ZUŻYCIE"),-AF418,0)))))</f>
        <v/>
      </c>
      <c r="AJ418" s="21">
        <f>IF(UPPER(AD418)="SKORYGOWANY",0,IF(UPPER(E418)="ZAKUP",IF(L418&lt;&gt;"",L418,I418*K418),0))</f>
        <v/>
      </c>
      <c r="AK418" s="21">
        <f>IF(UPPER(AD418)="SKORYGOWANY",0,IF(UPPER(E418)="SPRZEDAŻ",IF(L418&lt;&gt;"",L418,I418*M418),0))</f>
        <v/>
      </c>
      <c r="AL418" s="21">
        <f>AE418*Q418</f>
        <v/>
      </c>
      <c r="AM418">
        <f>IF(R418="","",IF(LOWER(R418)="brak","Brak",IF(OR(ISNUMBER(SEARCH("własn",LOWER(R418))),ISNUMBER(SEARCH("wlasn",LOWER(R418))),ISNUMBER(SEARCH("wojciechowski",LOWER(R418)))),"Własny","Zewnętrzny")))</f>
        <v/>
      </c>
      <c r="AN418" s="24">
        <f>IF(C418="","",YEAR(C418))</f>
        <v/>
      </c>
      <c r="AO418" s="24">
        <f>IF(C418="","",MONTH(C418))</f>
        <v/>
      </c>
      <c r="AP418">
        <f>IF(C418="","",UPPER(TEXT(C418,"mmmm")))</f>
        <v/>
      </c>
      <c r="AQ418">
        <f>IF(C418="","","Q"&amp;ROUNDUP(MONTH(C418)/3,0))</f>
        <v/>
      </c>
    </row>
    <row r="419">
      <c r="A419" s="19" t="n">
        <v>46252</v>
      </c>
      <c r="C419" s="19" t="n">
        <v>46252</v>
      </c>
      <c r="D419" t="inlineStr">
        <is>
          <t>Magazyn Zabrze</t>
        </is>
      </c>
      <c r="E419" t="inlineStr">
        <is>
          <t>PRODUKCJA</t>
        </is>
      </c>
      <c r="F419" t="inlineStr">
        <is>
          <t>PZ/83</t>
        </is>
      </c>
      <c r="G419" t="inlineStr">
        <is>
          <t>TAK</t>
        </is>
      </c>
      <c r="H419" t="inlineStr">
        <is>
          <t>KZR</t>
        </is>
      </c>
      <c r="I419" s="20" t="n">
        <v>75</v>
      </c>
      <c r="J419" t="inlineStr">
        <is>
          <t>MP</t>
        </is>
      </c>
      <c r="K419" s="21" t="n">
        <v>0</v>
      </c>
      <c r="L419" s="21" t="n">
        <v>0</v>
      </c>
      <c r="M419" s="21" t="n">
        <v>0</v>
      </c>
      <c r="N419" t="inlineStr">
        <is>
          <t>Zrębka Produkcyjna Inwestycyjna</t>
        </is>
      </c>
      <c r="O419" t="inlineStr">
        <is>
          <t>B</t>
        </is>
      </c>
      <c r="P419" t="inlineStr">
        <is>
          <t>własne</t>
        </is>
      </c>
      <c r="Q419" s="21" t="n">
        <v>10</v>
      </c>
      <c r="T419" s="22" t="n">
        <v>0</v>
      </c>
      <c r="U419" s="21" t="n">
        <v>0</v>
      </c>
      <c r="V419" s="21" t="n">
        <v>0</v>
      </c>
      <c r="W419" t="inlineStr">
        <is>
          <t>Magazyn Zabrze</t>
        </is>
      </c>
      <c r="X419" t="inlineStr">
        <is>
          <t>Magazyn Zabrze</t>
        </is>
      </c>
      <c r="Y419" t="inlineStr">
        <is>
          <t>Rębak z Brąszewic, rębakowy Łukasz Kempski</t>
        </is>
      </c>
      <c r="Z419" t="inlineStr">
        <is>
          <t>Marcin Kwiatkowski</t>
        </is>
      </c>
      <c r="AA419" s="23" t="n">
        <v>46257.84166666667</v>
      </c>
      <c r="AB419" t="inlineStr">
        <is>
          <t>OP-MIGR-00418</t>
        </is>
      </c>
      <c r="AD419" t="inlineStr">
        <is>
          <t>AKTYWNY</t>
        </is>
      </c>
      <c r="AE419" s="20">
        <f>IF(I419="",0,IF(ISNUMBER(SEARCH("MP",UPPER(J419))),I419,IF(ISNUMBER(SEARCH("TON",UPPER(J419))),I419/Przelicznik_MP_tona,IF(ISNUMBER(SEARCH("M3",UPPER(J419))),I419*Przelicznik_M3_MP,IF(ISNUMBER(SEARCH("GJ",UPPER(J419))),I419/Przelicznik_GJ_tona/Przelicznik_MP_tona,I419)))))</f>
        <v/>
      </c>
      <c r="AF419" s="20">
        <f>IF(I419="",0,IF(ISNUMBER(SEARCH("TON",UPPER(J419))),I419,IF(ISNUMBER(SEARCH("GJ",UPPER(J419))),I419/Przelicznik_GJ_tona,AE419*Przelicznik_MP_tona)))</f>
        <v/>
      </c>
      <c r="AG419" s="20">
        <f>AF419*Przelicznik_GJ_tona</f>
        <v/>
      </c>
      <c r="AH419" s="20">
        <f>IF(UPPER(AD419)="SKORYGOWANY",0,IF(OR(UPPER(E419)="TRANSPORT",UPPER(E419)="MM"),0,IF(UPPER(G419)&lt;&gt;"TAK",0,IF(OR(UPPER(E419)="ZAKUP",UPPER(E419)="PRODUKCJA"),AE419,IF(OR(UPPER(E419)="SPRZEDAŻ",UPPER(E419)="ZUŻYCIE"),-AE419,0)))))</f>
        <v/>
      </c>
      <c r="AI419" s="20">
        <f>IF(UPPER(AD419)="SKORYGOWANY",0,IF(OR(UPPER(E419)="TRANSPORT",UPPER(E419)="MM"),0,IF(UPPER(G419)&lt;&gt;"TAK",0,IF(OR(UPPER(E419)="ZAKUP",UPPER(E419)="PRODUKCJA"),AF419,IF(OR(UPPER(E419)="SPRZEDAŻ",UPPER(E419)="ZUŻYCIE"),-AF419,0)))))</f>
        <v/>
      </c>
      <c r="AJ419" s="21">
        <f>IF(UPPER(AD419)="SKORYGOWANY",0,IF(UPPER(E419)="ZAKUP",IF(L419&lt;&gt;"",L419,I419*K419),0))</f>
        <v/>
      </c>
      <c r="AK419" s="21">
        <f>IF(UPPER(AD419)="SKORYGOWANY",0,IF(UPPER(E419)="SPRZEDAŻ",IF(L419&lt;&gt;"",L419,I419*M419),0))</f>
        <v/>
      </c>
      <c r="AL419" s="21">
        <f>AE419*Q419</f>
        <v/>
      </c>
      <c r="AM419">
        <f>IF(R419="","",IF(LOWER(R419)="brak","Brak",IF(OR(ISNUMBER(SEARCH("własn",LOWER(R419))),ISNUMBER(SEARCH("wlasn",LOWER(R419))),ISNUMBER(SEARCH("wojciechowski",LOWER(R419)))),"Własny","Zewnętrzny")))</f>
        <v/>
      </c>
      <c r="AN419" s="24">
        <f>IF(C419="","",YEAR(C419))</f>
        <v/>
      </c>
      <c r="AO419" s="24">
        <f>IF(C419="","",MONTH(C419))</f>
        <v/>
      </c>
      <c r="AP419">
        <f>IF(C419="","",UPPER(TEXT(C419,"mmmm")))</f>
        <v/>
      </c>
      <c r="AQ419">
        <f>IF(C419="","","Q"&amp;ROUNDUP(MONTH(C419)/3,0))</f>
        <v/>
      </c>
    </row>
    <row r="420">
      <c r="A420" s="19" t="n">
        <v>46252</v>
      </c>
      <c r="C420" s="19" t="n">
        <v>46252</v>
      </c>
      <c r="D420" t="inlineStr">
        <is>
          <t>Magazyn Zabrze</t>
        </is>
      </c>
      <c r="E420" t="inlineStr">
        <is>
          <t>ZUŻYCIE</t>
        </is>
      </c>
      <c r="F420" t="inlineStr">
        <is>
          <t>PZ/83</t>
        </is>
      </c>
      <c r="G420" t="inlineStr">
        <is>
          <t>TAK</t>
        </is>
      </c>
      <c r="H420" t="inlineStr">
        <is>
          <t>KZR</t>
        </is>
      </c>
      <c r="I420" s="20" t="n">
        <v>75</v>
      </c>
      <c r="J420" t="inlineStr">
        <is>
          <t>MP</t>
        </is>
      </c>
      <c r="K420" s="21" t="n">
        <v>0</v>
      </c>
      <c r="L420" s="21" t="n">
        <v>0</v>
      </c>
      <c r="M420" s="21" t="n">
        <v>0</v>
      </c>
      <c r="N420" t="inlineStr">
        <is>
          <t>Zrębka Produkcyjna Inwestycyjna</t>
        </is>
      </c>
      <c r="O420" t="inlineStr">
        <is>
          <t>B</t>
        </is>
      </c>
      <c r="P420" t="inlineStr">
        <is>
          <t>własne</t>
        </is>
      </c>
      <c r="Q420" s="21" t="n">
        <v>10</v>
      </c>
      <c r="T420" s="22" t="n">
        <v>0</v>
      </c>
      <c r="U420" s="21" t="n">
        <v>0</v>
      </c>
      <c r="V420" s="21" t="n">
        <v>0</v>
      </c>
      <c r="W420" t="inlineStr">
        <is>
          <t>Magazyn Zabrze</t>
        </is>
      </c>
      <c r="X420" t="inlineStr">
        <is>
          <t>Magazyn Zabrze</t>
        </is>
      </c>
      <c r="Y420" t="inlineStr">
        <is>
          <t>Automatyczne zużycie surowca do produkcji</t>
        </is>
      </c>
      <c r="AA420" s="23" t="n">
        <v>46257.84167824074</v>
      </c>
      <c r="AB420" t="inlineStr">
        <is>
          <t>OP-MIGR-00419</t>
        </is>
      </c>
      <c r="AD420" t="inlineStr">
        <is>
          <t>AKTYWNY</t>
        </is>
      </c>
      <c r="AE420" s="20">
        <f>IF(I420="",0,IF(ISNUMBER(SEARCH("MP",UPPER(J420))),I420,IF(ISNUMBER(SEARCH("TON",UPPER(J420))),I420/Przelicznik_MP_tona,IF(ISNUMBER(SEARCH("M3",UPPER(J420))),I420*Przelicznik_M3_MP,IF(ISNUMBER(SEARCH("GJ",UPPER(J420))),I420/Przelicznik_GJ_tona/Przelicznik_MP_tona,I420)))))</f>
        <v/>
      </c>
      <c r="AF420" s="20">
        <f>IF(I420="",0,IF(ISNUMBER(SEARCH("TON",UPPER(J420))),I420,IF(ISNUMBER(SEARCH("GJ",UPPER(J420))),I420/Przelicznik_GJ_tona,AE420*Przelicznik_MP_tona)))</f>
        <v/>
      </c>
      <c r="AG420" s="20">
        <f>AF420*Przelicznik_GJ_tona</f>
        <v/>
      </c>
      <c r="AH420" s="20">
        <f>IF(UPPER(AD420)="SKORYGOWANY",0,IF(OR(UPPER(E420)="TRANSPORT",UPPER(E420)="MM"),0,IF(UPPER(G420)&lt;&gt;"TAK",0,IF(OR(UPPER(E420)="ZAKUP",UPPER(E420)="PRODUKCJA"),AE420,IF(OR(UPPER(E420)="SPRZEDAŻ",UPPER(E420)="ZUŻYCIE"),-AE420,0)))))</f>
        <v/>
      </c>
      <c r="AI420" s="20">
        <f>IF(UPPER(AD420)="SKORYGOWANY",0,IF(OR(UPPER(E420)="TRANSPORT",UPPER(E420)="MM"),0,IF(UPPER(G420)&lt;&gt;"TAK",0,IF(OR(UPPER(E420)="ZAKUP",UPPER(E420)="PRODUKCJA"),AF420,IF(OR(UPPER(E420)="SPRZEDAŻ",UPPER(E420)="ZUŻYCIE"),-AF420,0)))))</f>
        <v/>
      </c>
      <c r="AJ420" s="21">
        <f>IF(UPPER(AD420)="SKORYGOWANY",0,IF(UPPER(E420)="ZAKUP",IF(L420&lt;&gt;"",L420,I420*K420),0))</f>
        <v/>
      </c>
      <c r="AK420" s="21">
        <f>IF(UPPER(AD420)="SKORYGOWANY",0,IF(UPPER(E420)="SPRZEDAŻ",IF(L420&lt;&gt;"",L420,I420*M420),0))</f>
        <v/>
      </c>
      <c r="AL420" s="21">
        <f>AE420*Q420</f>
        <v/>
      </c>
      <c r="AM420">
        <f>IF(R420="","",IF(LOWER(R420)="brak","Brak",IF(OR(ISNUMBER(SEARCH("własn",LOWER(R420))),ISNUMBER(SEARCH("wlasn",LOWER(R420))),ISNUMBER(SEARCH("wojciechowski",LOWER(R420)))),"Własny","Zewnętrzny")))</f>
        <v/>
      </c>
      <c r="AN420" s="24">
        <f>IF(C420="","",YEAR(C420))</f>
        <v/>
      </c>
      <c r="AO420" s="24">
        <f>IF(C420="","",MONTH(C420))</f>
        <v/>
      </c>
      <c r="AP420">
        <f>IF(C420="","",UPPER(TEXT(C420,"mmmm")))</f>
        <v/>
      </c>
      <c r="AQ420">
        <f>IF(C420="","","Q"&amp;ROUNDUP(MONTH(C420)/3,0))</f>
        <v/>
      </c>
    </row>
    <row r="421">
      <c r="A421" s="19" t="n">
        <v>46252</v>
      </c>
      <c r="B421" t="inlineStr">
        <is>
          <t>Ściborzyce</t>
        </is>
      </c>
      <c r="C421" s="19" t="n">
        <v>46252</v>
      </c>
      <c r="D421" t="inlineStr">
        <is>
          <t>Magazyn Zabrze</t>
        </is>
      </c>
      <c r="E421" t="inlineStr">
        <is>
          <t>ZAKUP</t>
        </is>
      </c>
      <c r="F421" t="inlineStr">
        <is>
          <t>PZ/83</t>
        </is>
      </c>
      <c r="G421" t="inlineStr">
        <is>
          <t>TAK</t>
        </is>
      </c>
      <c r="H421" t="inlineStr">
        <is>
          <t>KZR</t>
        </is>
      </c>
      <c r="I421" s="20" t="n">
        <v>75</v>
      </c>
      <c r="J421" t="inlineStr">
        <is>
          <t>MP</t>
        </is>
      </c>
      <c r="K421" s="21" t="n">
        <v>0</v>
      </c>
      <c r="L421" s="21" t="n">
        <v>0</v>
      </c>
      <c r="M421" s="21" t="n">
        <v>0</v>
      </c>
      <c r="N421" t="inlineStr">
        <is>
          <t>Zrębka Produkcyjna Inwestycyjna</t>
        </is>
      </c>
      <c r="O421" t="inlineStr">
        <is>
          <t>B</t>
        </is>
      </c>
      <c r="Q421" s="21" t="n">
        <v>0</v>
      </c>
      <c r="R421" t="inlineStr">
        <is>
          <t>własny (Adrian Wojciechowski)</t>
        </is>
      </c>
      <c r="S421" t="inlineStr">
        <is>
          <t>SK 5J756</t>
        </is>
      </c>
      <c r="T421" s="22" t="n">
        <v>210</v>
      </c>
      <c r="U421" s="21" t="n">
        <v>5</v>
      </c>
      <c r="V421" s="21" t="n">
        <v>1050</v>
      </c>
      <c r="W421" t="inlineStr">
        <is>
          <t>Magazyn Zabrze</t>
        </is>
      </c>
      <c r="Y421" t="inlineStr">
        <is>
          <t>Kierowca z Brąszewic</t>
        </is>
      </c>
      <c r="Z421" t="inlineStr">
        <is>
          <t>Marcin Kwiatkowski</t>
        </is>
      </c>
      <c r="AA421" s="23" t="n">
        <v>46257.84321759259</v>
      </c>
      <c r="AB421" t="inlineStr">
        <is>
          <t>OP-MIGR-00420</t>
        </is>
      </c>
      <c r="AD421" t="inlineStr">
        <is>
          <t>AKTYWNY</t>
        </is>
      </c>
      <c r="AE421" s="20">
        <f>IF(I421="",0,IF(ISNUMBER(SEARCH("MP",UPPER(J421))),I421,IF(ISNUMBER(SEARCH("TON",UPPER(J421))),I421/Przelicznik_MP_tona,IF(ISNUMBER(SEARCH("M3",UPPER(J421))),I421*Przelicznik_M3_MP,IF(ISNUMBER(SEARCH("GJ",UPPER(J421))),I421/Przelicznik_GJ_tona/Przelicznik_MP_tona,I421)))))</f>
        <v/>
      </c>
      <c r="AF421" s="20">
        <f>IF(I421="",0,IF(ISNUMBER(SEARCH("TON",UPPER(J421))),I421,IF(ISNUMBER(SEARCH("GJ",UPPER(J421))),I421/Przelicznik_GJ_tona,AE421*Przelicznik_MP_tona)))</f>
        <v/>
      </c>
      <c r="AG421" s="20">
        <f>AF421*Przelicznik_GJ_tona</f>
        <v/>
      </c>
      <c r="AH421" s="20">
        <f>IF(UPPER(AD421)="SKORYGOWANY",0,IF(OR(UPPER(E421)="TRANSPORT",UPPER(E421)="MM"),0,IF(UPPER(G421)&lt;&gt;"TAK",0,IF(OR(UPPER(E421)="ZAKUP",UPPER(E421)="PRODUKCJA"),AE421,IF(OR(UPPER(E421)="SPRZEDAŻ",UPPER(E421)="ZUŻYCIE"),-AE421,0)))))</f>
        <v/>
      </c>
      <c r="AI421" s="20">
        <f>IF(UPPER(AD421)="SKORYGOWANY",0,IF(OR(UPPER(E421)="TRANSPORT",UPPER(E421)="MM"),0,IF(UPPER(G421)&lt;&gt;"TAK",0,IF(OR(UPPER(E421)="ZAKUP",UPPER(E421)="PRODUKCJA"),AF421,IF(OR(UPPER(E421)="SPRZEDAŻ",UPPER(E421)="ZUŻYCIE"),-AF421,0)))))</f>
        <v/>
      </c>
      <c r="AJ421" s="21">
        <f>IF(UPPER(AD421)="SKORYGOWANY",0,IF(UPPER(E421)="ZAKUP",IF(L421&lt;&gt;"",L421,I421*K421),0))</f>
        <v/>
      </c>
      <c r="AK421" s="21">
        <f>IF(UPPER(AD421)="SKORYGOWANY",0,IF(UPPER(E421)="SPRZEDAŻ",IF(L421&lt;&gt;"",L421,I421*M421),0))</f>
        <v/>
      </c>
      <c r="AL421" s="21">
        <f>AE421*Q421</f>
        <v/>
      </c>
      <c r="AM421">
        <f>IF(R421="","",IF(LOWER(R421)="brak","Brak",IF(OR(ISNUMBER(SEARCH("własn",LOWER(R421))),ISNUMBER(SEARCH("wlasn",LOWER(R421))),ISNUMBER(SEARCH("wojciechowski",LOWER(R421)))),"Własny","Zewnętrzny")))</f>
        <v/>
      </c>
      <c r="AN421" s="24">
        <f>IF(C421="","",YEAR(C421))</f>
        <v/>
      </c>
      <c r="AO421" s="24">
        <f>IF(C421="","",MONTH(C421))</f>
        <v/>
      </c>
      <c r="AP421">
        <f>IF(C421="","",UPPER(TEXT(C421,"mmmm")))</f>
        <v/>
      </c>
      <c r="AQ421">
        <f>IF(C421="","","Q"&amp;ROUNDUP(MONTH(C421)/3,0))</f>
        <v/>
      </c>
    </row>
    <row r="422">
      <c r="A422" s="19" t="n">
        <v>46252</v>
      </c>
      <c r="C422" s="19" t="n">
        <v>46252</v>
      </c>
      <c r="D422" t="inlineStr">
        <is>
          <t>Grandpol</t>
        </is>
      </c>
      <c r="E422" t="inlineStr">
        <is>
          <t>ZAKUP</t>
        </is>
      </c>
      <c r="F422" t="inlineStr">
        <is>
          <t>PZ/84</t>
        </is>
      </c>
      <c r="G422" t="inlineStr">
        <is>
          <t>NIE</t>
        </is>
      </c>
      <c r="H422" t="inlineStr">
        <is>
          <t>KZR</t>
        </is>
      </c>
      <c r="I422" s="20" t="n">
        <v>75</v>
      </c>
      <c r="J422" t="inlineStr">
        <is>
          <t>MP</t>
        </is>
      </c>
      <c r="K422" s="21" t="n">
        <v>45</v>
      </c>
      <c r="L422" s="21" t="n">
        <v>3375</v>
      </c>
      <c r="M422" s="21" t="n">
        <v>0</v>
      </c>
      <c r="N422" t="inlineStr">
        <is>
          <t>Drewno przemysłowe z wycinek inwest.</t>
        </is>
      </c>
      <c r="Q422" s="21" t="n">
        <v>0</v>
      </c>
      <c r="T422" s="22" t="n">
        <v>0</v>
      </c>
      <c r="U422" s="21" t="n">
        <v>0</v>
      </c>
      <c r="V422" s="21" t="n">
        <v>0</v>
      </c>
      <c r="W422" t="inlineStr">
        <is>
          <t>Magazyn Zabrze</t>
        </is>
      </c>
      <c r="Y422" t="inlineStr">
        <is>
          <t>Waga: 22 760 kg</t>
        </is>
      </c>
      <c r="Z422" t="inlineStr">
        <is>
          <t>Marcin Kwiatkowski</t>
        </is>
      </c>
      <c r="AA422" s="23" t="n">
        <v>46257.84847222222</v>
      </c>
      <c r="AB422" t="inlineStr">
        <is>
          <t>OP-MIGR-00421</t>
        </is>
      </c>
      <c r="AD422" t="inlineStr">
        <is>
          <t>AKTYWNY</t>
        </is>
      </c>
      <c r="AE422" s="20">
        <f>IF(I422="",0,IF(ISNUMBER(SEARCH("MP",UPPER(J422))),I422,IF(ISNUMBER(SEARCH("TON",UPPER(J422))),I422/Przelicznik_MP_tona,IF(ISNUMBER(SEARCH("M3",UPPER(J422))),I422*Przelicznik_M3_MP,IF(ISNUMBER(SEARCH("GJ",UPPER(J422))),I422/Przelicznik_GJ_tona/Przelicznik_MP_tona,I422)))))</f>
        <v/>
      </c>
      <c r="AF422" s="20">
        <f>IF(I422="",0,IF(ISNUMBER(SEARCH("TON",UPPER(J422))),I422,IF(ISNUMBER(SEARCH("GJ",UPPER(J422))),I422/Przelicznik_GJ_tona,AE422*Przelicznik_MP_tona)))</f>
        <v/>
      </c>
      <c r="AG422" s="20">
        <f>AF422*Przelicznik_GJ_tona</f>
        <v/>
      </c>
      <c r="AH422" s="20">
        <f>IF(UPPER(AD422)="SKORYGOWANY",0,IF(OR(UPPER(E422)="TRANSPORT",UPPER(E422)="MM"),0,IF(UPPER(G422)&lt;&gt;"TAK",0,IF(OR(UPPER(E422)="ZAKUP",UPPER(E422)="PRODUKCJA"),AE422,IF(OR(UPPER(E422)="SPRZEDAŻ",UPPER(E422)="ZUŻYCIE"),-AE422,0)))))</f>
        <v/>
      </c>
      <c r="AI422" s="20">
        <f>IF(UPPER(AD422)="SKORYGOWANY",0,IF(OR(UPPER(E422)="TRANSPORT",UPPER(E422)="MM"),0,IF(UPPER(G422)&lt;&gt;"TAK",0,IF(OR(UPPER(E422)="ZAKUP",UPPER(E422)="PRODUKCJA"),AF422,IF(OR(UPPER(E422)="SPRZEDAŻ",UPPER(E422)="ZUŻYCIE"),-AF422,0)))))</f>
        <v/>
      </c>
      <c r="AJ422" s="21">
        <f>IF(UPPER(AD422)="SKORYGOWANY",0,IF(UPPER(E422)="ZAKUP",IF(L422&lt;&gt;"",L422,I422*K422),0))</f>
        <v/>
      </c>
      <c r="AK422" s="21">
        <f>IF(UPPER(AD422)="SKORYGOWANY",0,IF(UPPER(E422)="SPRZEDAŻ",IF(L422&lt;&gt;"",L422,I422*M422),0))</f>
        <v/>
      </c>
      <c r="AL422" s="21">
        <f>AE422*Q422</f>
        <v/>
      </c>
      <c r="AM422">
        <f>IF(R422="","",IF(LOWER(R422)="brak","Brak",IF(OR(ISNUMBER(SEARCH("własn",LOWER(R422))),ISNUMBER(SEARCH("wlasn",LOWER(R422))),ISNUMBER(SEARCH("wojciechowski",LOWER(R422)))),"Własny","Zewnętrzny")))</f>
        <v/>
      </c>
      <c r="AN422" s="24">
        <f>IF(C422="","",YEAR(C422))</f>
        <v/>
      </c>
      <c r="AO422" s="24">
        <f>IF(C422="","",MONTH(C422))</f>
        <v/>
      </c>
      <c r="AP422">
        <f>IF(C422="","",UPPER(TEXT(C422,"mmmm")))</f>
        <v/>
      </c>
      <c r="AQ422">
        <f>IF(C422="","","Q"&amp;ROUNDUP(MONTH(C422)/3,0))</f>
        <v/>
      </c>
    </row>
    <row r="423">
      <c r="A423" s="19" t="n">
        <v>46252</v>
      </c>
      <c r="C423" s="19" t="n">
        <v>46252</v>
      </c>
      <c r="D423" t="inlineStr">
        <is>
          <t>Magazyn Zabrze</t>
        </is>
      </c>
      <c r="E423" t="inlineStr">
        <is>
          <t>PRODUKCJA</t>
        </is>
      </c>
      <c r="F423" t="inlineStr">
        <is>
          <t>PZ/84</t>
        </is>
      </c>
      <c r="G423" t="inlineStr">
        <is>
          <t>TAK</t>
        </is>
      </c>
      <c r="H423" t="inlineStr">
        <is>
          <t>KZR</t>
        </is>
      </c>
      <c r="I423" s="20" t="n">
        <v>75</v>
      </c>
      <c r="J423" t="inlineStr">
        <is>
          <t>MP</t>
        </is>
      </c>
      <c r="K423" s="21" t="n">
        <v>0</v>
      </c>
      <c r="L423" s="21" t="n">
        <v>0</v>
      </c>
      <c r="M423" s="21" t="n">
        <v>0</v>
      </c>
      <c r="N423" t="inlineStr">
        <is>
          <t>Zrębka Produkcyjna Inwestycyjna</t>
        </is>
      </c>
      <c r="O423" t="inlineStr">
        <is>
          <t>B</t>
        </is>
      </c>
      <c r="P423" t="inlineStr">
        <is>
          <t>własne</t>
        </is>
      </c>
      <c r="Q423" s="21" t="n">
        <v>10</v>
      </c>
      <c r="T423" s="22" t="n">
        <v>0</v>
      </c>
      <c r="U423" s="21" t="n">
        <v>0</v>
      </c>
      <c r="V423" s="21" t="n">
        <v>0</v>
      </c>
      <c r="W423" t="inlineStr">
        <is>
          <t>Magazyn Zabrze</t>
        </is>
      </c>
      <c r="X423" t="inlineStr">
        <is>
          <t>Magazyn Zabrze</t>
        </is>
      </c>
      <c r="Y423" t="inlineStr">
        <is>
          <t>Rębak z Brąszewic, rębakowy Łukasz Kempski</t>
        </is>
      </c>
      <c r="Z423" t="inlineStr">
        <is>
          <t>Marcin Kwiatkowski</t>
        </is>
      </c>
      <c r="AA423" s="23" t="n">
        <v>46257.84927083334</v>
      </c>
      <c r="AB423" t="inlineStr">
        <is>
          <t>OP-MIGR-00422</t>
        </is>
      </c>
      <c r="AD423" t="inlineStr">
        <is>
          <t>AKTYWNY</t>
        </is>
      </c>
      <c r="AE423" s="20">
        <f>IF(I423="",0,IF(ISNUMBER(SEARCH("MP",UPPER(J423))),I423,IF(ISNUMBER(SEARCH("TON",UPPER(J423))),I423/Przelicznik_MP_tona,IF(ISNUMBER(SEARCH("M3",UPPER(J423))),I423*Przelicznik_M3_MP,IF(ISNUMBER(SEARCH("GJ",UPPER(J423))),I423/Przelicznik_GJ_tona/Przelicznik_MP_tona,I423)))))</f>
        <v/>
      </c>
      <c r="AF423" s="20">
        <f>IF(I423="",0,IF(ISNUMBER(SEARCH("TON",UPPER(J423))),I423,IF(ISNUMBER(SEARCH("GJ",UPPER(J423))),I423/Przelicznik_GJ_tona,AE423*Przelicznik_MP_tona)))</f>
        <v/>
      </c>
      <c r="AG423" s="20">
        <f>AF423*Przelicznik_GJ_tona</f>
        <v/>
      </c>
      <c r="AH423" s="20">
        <f>IF(UPPER(AD423)="SKORYGOWANY",0,IF(OR(UPPER(E423)="TRANSPORT",UPPER(E423)="MM"),0,IF(UPPER(G423)&lt;&gt;"TAK",0,IF(OR(UPPER(E423)="ZAKUP",UPPER(E423)="PRODUKCJA"),AE423,IF(OR(UPPER(E423)="SPRZEDAŻ",UPPER(E423)="ZUŻYCIE"),-AE423,0)))))</f>
        <v/>
      </c>
      <c r="AI423" s="20">
        <f>IF(UPPER(AD423)="SKORYGOWANY",0,IF(OR(UPPER(E423)="TRANSPORT",UPPER(E423)="MM"),0,IF(UPPER(G423)&lt;&gt;"TAK",0,IF(OR(UPPER(E423)="ZAKUP",UPPER(E423)="PRODUKCJA"),AF423,IF(OR(UPPER(E423)="SPRZEDAŻ",UPPER(E423)="ZUŻYCIE"),-AF423,0)))))</f>
        <v/>
      </c>
      <c r="AJ423" s="21">
        <f>IF(UPPER(AD423)="SKORYGOWANY",0,IF(UPPER(E423)="ZAKUP",IF(L423&lt;&gt;"",L423,I423*K423),0))</f>
        <v/>
      </c>
      <c r="AK423" s="21">
        <f>IF(UPPER(AD423)="SKORYGOWANY",0,IF(UPPER(E423)="SPRZEDAŻ",IF(L423&lt;&gt;"",L423,I423*M423),0))</f>
        <v/>
      </c>
      <c r="AL423" s="21">
        <f>AE423*Q423</f>
        <v/>
      </c>
      <c r="AM423">
        <f>IF(R423="","",IF(LOWER(R423)="brak","Brak",IF(OR(ISNUMBER(SEARCH("własn",LOWER(R423))),ISNUMBER(SEARCH("wlasn",LOWER(R423))),ISNUMBER(SEARCH("wojciechowski",LOWER(R423)))),"Własny","Zewnętrzny")))</f>
        <v/>
      </c>
      <c r="AN423" s="24">
        <f>IF(C423="","",YEAR(C423))</f>
        <v/>
      </c>
      <c r="AO423" s="24">
        <f>IF(C423="","",MONTH(C423))</f>
        <v/>
      </c>
      <c r="AP423">
        <f>IF(C423="","",UPPER(TEXT(C423,"mmmm")))</f>
        <v/>
      </c>
      <c r="AQ423">
        <f>IF(C423="","","Q"&amp;ROUNDUP(MONTH(C423)/3,0))</f>
        <v/>
      </c>
    </row>
    <row r="424">
      <c r="A424" s="19" t="n">
        <v>46252</v>
      </c>
      <c r="C424" s="19" t="n">
        <v>46252</v>
      </c>
      <c r="D424" t="inlineStr">
        <is>
          <t>Magazyn Zabrze</t>
        </is>
      </c>
      <c r="E424" t="inlineStr">
        <is>
          <t>ZUŻYCIE</t>
        </is>
      </c>
      <c r="F424" t="inlineStr">
        <is>
          <t>PZ/84</t>
        </is>
      </c>
      <c r="G424" t="inlineStr">
        <is>
          <t>TAK</t>
        </is>
      </c>
      <c r="H424" t="inlineStr">
        <is>
          <t>KZR</t>
        </is>
      </c>
      <c r="I424" s="20" t="n">
        <v>75</v>
      </c>
      <c r="J424" t="inlineStr">
        <is>
          <t>MP</t>
        </is>
      </c>
      <c r="K424" s="21" t="n">
        <v>0</v>
      </c>
      <c r="L424" s="21" t="n">
        <v>0</v>
      </c>
      <c r="M424" s="21" t="n">
        <v>0</v>
      </c>
      <c r="N424" t="inlineStr">
        <is>
          <t>Zrębka Produkcyjna Inwestycyjna</t>
        </is>
      </c>
      <c r="O424" t="inlineStr">
        <is>
          <t>B</t>
        </is>
      </c>
      <c r="P424" t="inlineStr">
        <is>
          <t>własne</t>
        </is>
      </c>
      <c r="Q424" s="21" t="n">
        <v>10</v>
      </c>
      <c r="T424" s="22" t="n">
        <v>0</v>
      </c>
      <c r="U424" s="21" t="n">
        <v>0</v>
      </c>
      <c r="V424" s="21" t="n">
        <v>0</v>
      </c>
      <c r="W424" t="inlineStr">
        <is>
          <t>Magazyn Zabrze</t>
        </is>
      </c>
      <c r="X424" t="inlineStr">
        <is>
          <t>Magazyn Zabrze</t>
        </is>
      </c>
      <c r="Y424" t="inlineStr">
        <is>
          <t>Automatyczne zużycie surowca do produkcji</t>
        </is>
      </c>
      <c r="AA424" s="23" t="n">
        <v>46257.84927083334</v>
      </c>
      <c r="AB424" t="inlineStr">
        <is>
          <t>OP-MIGR-00423</t>
        </is>
      </c>
      <c r="AD424" t="inlineStr">
        <is>
          <t>AKTYWNY</t>
        </is>
      </c>
      <c r="AE424" s="20">
        <f>IF(I424="",0,IF(ISNUMBER(SEARCH("MP",UPPER(J424))),I424,IF(ISNUMBER(SEARCH("TON",UPPER(J424))),I424/Przelicznik_MP_tona,IF(ISNUMBER(SEARCH("M3",UPPER(J424))),I424*Przelicznik_M3_MP,IF(ISNUMBER(SEARCH("GJ",UPPER(J424))),I424/Przelicznik_GJ_tona/Przelicznik_MP_tona,I424)))))</f>
        <v/>
      </c>
      <c r="AF424" s="20">
        <f>IF(I424="",0,IF(ISNUMBER(SEARCH("TON",UPPER(J424))),I424,IF(ISNUMBER(SEARCH("GJ",UPPER(J424))),I424/Przelicznik_GJ_tona,AE424*Przelicznik_MP_tona)))</f>
        <v/>
      </c>
      <c r="AG424" s="20">
        <f>AF424*Przelicznik_GJ_tona</f>
        <v/>
      </c>
      <c r="AH424" s="20">
        <f>IF(UPPER(AD424)="SKORYGOWANY",0,IF(OR(UPPER(E424)="TRANSPORT",UPPER(E424)="MM"),0,IF(UPPER(G424)&lt;&gt;"TAK",0,IF(OR(UPPER(E424)="ZAKUP",UPPER(E424)="PRODUKCJA"),AE424,IF(OR(UPPER(E424)="SPRZEDAŻ",UPPER(E424)="ZUŻYCIE"),-AE424,0)))))</f>
        <v/>
      </c>
      <c r="AI424" s="20">
        <f>IF(UPPER(AD424)="SKORYGOWANY",0,IF(OR(UPPER(E424)="TRANSPORT",UPPER(E424)="MM"),0,IF(UPPER(G424)&lt;&gt;"TAK",0,IF(OR(UPPER(E424)="ZAKUP",UPPER(E424)="PRODUKCJA"),AF424,IF(OR(UPPER(E424)="SPRZEDAŻ",UPPER(E424)="ZUŻYCIE"),-AF424,0)))))</f>
        <v/>
      </c>
      <c r="AJ424" s="21">
        <f>IF(UPPER(AD424)="SKORYGOWANY",0,IF(UPPER(E424)="ZAKUP",IF(L424&lt;&gt;"",L424,I424*K424),0))</f>
        <v/>
      </c>
      <c r="AK424" s="21">
        <f>IF(UPPER(AD424)="SKORYGOWANY",0,IF(UPPER(E424)="SPRZEDAŻ",IF(L424&lt;&gt;"",L424,I424*M424),0))</f>
        <v/>
      </c>
      <c r="AL424" s="21">
        <f>AE424*Q424</f>
        <v/>
      </c>
      <c r="AM424">
        <f>IF(R424="","",IF(LOWER(R424)="brak","Brak",IF(OR(ISNUMBER(SEARCH("własn",LOWER(R424))),ISNUMBER(SEARCH("wlasn",LOWER(R424))),ISNUMBER(SEARCH("wojciechowski",LOWER(R424)))),"Własny","Zewnętrzny")))</f>
        <v/>
      </c>
      <c r="AN424" s="24">
        <f>IF(C424="","",YEAR(C424))</f>
        <v/>
      </c>
      <c r="AO424" s="24">
        <f>IF(C424="","",MONTH(C424))</f>
        <v/>
      </c>
      <c r="AP424">
        <f>IF(C424="","",UPPER(TEXT(C424,"mmmm")))</f>
        <v/>
      </c>
      <c r="AQ424">
        <f>IF(C424="","","Q"&amp;ROUNDUP(MONTH(C424)/3,0))</f>
        <v/>
      </c>
    </row>
    <row r="425">
      <c r="A425" s="19" t="n">
        <v>46252</v>
      </c>
      <c r="B425" t="inlineStr">
        <is>
          <t>Ściborzyce</t>
        </is>
      </c>
      <c r="C425" s="19" t="n">
        <v>46252</v>
      </c>
      <c r="D425" t="inlineStr">
        <is>
          <t>Magazyn Zabrze</t>
        </is>
      </c>
      <c r="E425" t="inlineStr">
        <is>
          <t>ZAKUP</t>
        </is>
      </c>
      <c r="F425" t="inlineStr">
        <is>
          <t>PZ/84</t>
        </is>
      </c>
      <c r="G425" t="inlineStr">
        <is>
          <t>TAK</t>
        </is>
      </c>
      <c r="H425" t="inlineStr">
        <is>
          <t>KZR</t>
        </is>
      </c>
      <c r="I425" s="20" t="n">
        <v>75</v>
      </c>
      <c r="J425" t="inlineStr">
        <is>
          <t>MP</t>
        </is>
      </c>
      <c r="K425" s="21" t="n">
        <v>0</v>
      </c>
      <c r="L425" s="21" t="n">
        <v>0</v>
      </c>
      <c r="M425" s="21" t="n">
        <v>0</v>
      </c>
      <c r="N425" t="inlineStr">
        <is>
          <t>Zrębka Produkcyjna Inwestycyjna</t>
        </is>
      </c>
      <c r="O425" t="inlineStr">
        <is>
          <t>B</t>
        </is>
      </c>
      <c r="Q425" s="21" t="n">
        <v>0</v>
      </c>
      <c r="R425" t="inlineStr">
        <is>
          <t>własny (Łukasz Wojciechowski)</t>
        </is>
      </c>
      <c r="S425" t="inlineStr">
        <is>
          <t>SK 7J885</t>
        </is>
      </c>
      <c r="T425" s="22" t="n">
        <v>210</v>
      </c>
      <c r="U425" s="21" t="n">
        <v>5</v>
      </c>
      <c r="V425" s="21" t="n">
        <v>1050</v>
      </c>
      <c r="W425" t="inlineStr">
        <is>
          <t>Magazyn Zabrze</t>
        </is>
      </c>
      <c r="Y425" t="inlineStr">
        <is>
          <t>Kierowca z Brąszewic, jechał pojazdem Tomasza Kretka</t>
        </is>
      </c>
      <c r="Z425" t="inlineStr">
        <is>
          <t>Marcin Kwiatkowski</t>
        </is>
      </c>
      <c r="AA425" s="23" t="n">
        <v>46257.85072916667</v>
      </c>
      <c r="AB425" t="inlineStr">
        <is>
          <t>OP-MIGR-00424</t>
        </is>
      </c>
      <c r="AD425" t="inlineStr">
        <is>
          <t>AKTYWNY</t>
        </is>
      </c>
      <c r="AE425" s="20">
        <f>IF(I425="",0,IF(ISNUMBER(SEARCH("MP",UPPER(J425))),I425,IF(ISNUMBER(SEARCH("TON",UPPER(J425))),I425/Przelicznik_MP_tona,IF(ISNUMBER(SEARCH("M3",UPPER(J425))),I425*Przelicznik_M3_MP,IF(ISNUMBER(SEARCH("GJ",UPPER(J425))),I425/Przelicznik_GJ_tona/Przelicznik_MP_tona,I425)))))</f>
        <v/>
      </c>
      <c r="AF425" s="20">
        <f>IF(I425="",0,IF(ISNUMBER(SEARCH("TON",UPPER(J425))),I425,IF(ISNUMBER(SEARCH("GJ",UPPER(J425))),I425/Przelicznik_GJ_tona,AE425*Przelicznik_MP_tona)))</f>
        <v/>
      </c>
      <c r="AG425" s="20">
        <f>AF425*Przelicznik_GJ_tona</f>
        <v/>
      </c>
      <c r="AH425" s="20">
        <f>IF(UPPER(AD425)="SKORYGOWANY",0,IF(OR(UPPER(E425)="TRANSPORT",UPPER(E425)="MM"),0,IF(UPPER(G425)&lt;&gt;"TAK",0,IF(OR(UPPER(E425)="ZAKUP",UPPER(E425)="PRODUKCJA"),AE425,IF(OR(UPPER(E425)="SPRZEDAŻ",UPPER(E425)="ZUŻYCIE"),-AE425,0)))))</f>
        <v/>
      </c>
      <c r="AI425" s="20">
        <f>IF(UPPER(AD425)="SKORYGOWANY",0,IF(OR(UPPER(E425)="TRANSPORT",UPPER(E425)="MM"),0,IF(UPPER(G425)&lt;&gt;"TAK",0,IF(OR(UPPER(E425)="ZAKUP",UPPER(E425)="PRODUKCJA"),AF425,IF(OR(UPPER(E425)="SPRZEDAŻ",UPPER(E425)="ZUŻYCIE"),-AF425,0)))))</f>
        <v/>
      </c>
      <c r="AJ425" s="21">
        <f>IF(UPPER(AD425)="SKORYGOWANY",0,IF(UPPER(E425)="ZAKUP",IF(L425&lt;&gt;"",L425,I425*K425),0))</f>
        <v/>
      </c>
      <c r="AK425" s="21">
        <f>IF(UPPER(AD425)="SKORYGOWANY",0,IF(UPPER(E425)="SPRZEDAŻ",IF(L425&lt;&gt;"",L425,I425*M425),0))</f>
        <v/>
      </c>
      <c r="AL425" s="21">
        <f>AE425*Q425</f>
        <v/>
      </c>
      <c r="AM425">
        <f>IF(R425="","",IF(LOWER(R425)="brak","Brak",IF(OR(ISNUMBER(SEARCH("własn",LOWER(R425))),ISNUMBER(SEARCH("wlasn",LOWER(R425))),ISNUMBER(SEARCH("wojciechowski",LOWER(R425)))),"Własny","Zewnętrzny")))</f>
        <v/>
      </c>
      <c r="AN425" s="24">
        <f>IF(C425="","",YEAR(C425))</f>
        <v/>
      </c>
      <c r="AO425" s="24">
        <f>IF(C425="","",MONTH(C425))</f>
        <v/>
      </c>
      <c r="AP425">
        <f>IF(C425="","",UPPER(TEXT(C425,"mmmm")))</f>
        <v/>
      </c>
      <c r="AQ425">
        <f>IF(C425="","","Q"&amp;ROUNDUP(MONTH(C425)/3,0))</f>
        <v/>
      </c>
    </row>
    <row r="426">
      <c r="A426" s="19" t="n">
        <v>46252</v>
      </c>
      <c r="C426" s="19" t="n">
        <v>46252</v>
      </c>
      <c r="D426" t="inlineStr">
        <is>
          <t>Grandpol</t>
        </is>
      </c>
      <c r="E426" t="inlineStr">
        <is>
          <t>ZAKUP</t>
        </is>
      </c>
      <c r="F426" t="inlineStr">
        <is>
          <t>PZ/85</t>
        </is>
      </c>
      <c r="G426" t="inlineStr">
        <is>
          <t>NIE</t>
        </is>
      </c>
      <c r="H426" t="inlineStr">
        <is>
          <t>KZR</t>
        </is>
      </c>
      <c r="I426" s="20" t="n">
        <v>82</v>
      </c>
      <c r="J426" t="inlineStr">
        <is>
          <t>MP</t>
        </is>
      </c>
      <c r="K426" s="21" t="n">
        <v>45</v>
      </c>
      <c r="L426" s="21" t="n">
        <v>3690</v>
      </c>
      <c r="M426" s="21" t="n">
        <v>0</v>
      </c>
      <c r="N426" t="inlineStr">
        <is>
          <t>Drewno przemysłowe z wycinek inwest.</t>
        </is>
      </c>
      <c r="Q426" s="21" t="n">
        <v>0</v>
      </c>
      <c r="T426" s="22" t="n">
        <v>0</v>
      </c>
      <c r="U426" s="21" t="n">
        <v>0</v>
      </c>
      <c r="V426" s="21" t="n">
        <v>0</v>
      </c>
      <c r="W426" t="inlineStr">
        <is>
          <t>Magazyn Zabrze</t>
        </is>
      </c>
      <c r="Y426" t="inlineStr">
        <is>
          <t>Waga: 21 320 kg</t>
        </is>
      </c>
      <c r="Z426" t="inlineStr">
        <is>
          <t>Marcin Kwiatkowski</t>
        </is>
      </c>
      <c r="AA426" s="23" t="n">
        <v>46257.8534375</v>
      </c>
      <c r="AB426" t="inlineStr">
        <is>
          <t>OP-MIGR-00425</t>
        </is>
      </c>
      <c r="AD426" t="inlineStr">
        <is>
          <t>AKTYWNY</t>
        </is>
      </c>
      <c r="AE426" s="20">
        <f>IF(I426="",0,IF(ISNUMBER(SEARCH("MP",UPPER(J426))),I426,IF(ISNUMBER(SEARCH("TON",UPPER(J426))),I426/Przelicznik_MP_tona,IF(ISNUMBER(SEARCH("M3",UPPER(J426))),I426*Przelicznik_M3_MP,IF(ISNUMBER(SEARCH("GJ",UPPER(J426))),I426/Przelicznik_GJ_tona/Przelicznik_MP_tona,I426)))))</f>
        <v/>
      </c>
      <c r="AF426" s="20">
        <f>IF(I426="",0,IF(ISNUMBER(SEARCH("TON",UPPER(J426))),I426,IF(ISNUMBER(SEARCH("GJ",UPPER(J426))),I426/Przelicznik_GJ_tona,AE426*Przelicznik_MP_tona)))</f>
        <v/>
      </c>
      <c r="AG426" s="20">
        <f>AF426*Przelicznik_GJ_tona</f>
        <v/>
      </c>
      <c r="AH426" s="20">
        <f>IF(UPPER(AD426)="SKORYGOWANY",0,IF(OR(UPPER(E426)="TRANSPORT",UPPER(E426)="MM"),0,IF(UPPER(G426)&lt;&gt;"TAK",0,IF(OR(UPPER(E426)="ZAKUP",UPPER(E426)="PRODUKCJA"),AE426,IF(OR(UPPER(E426)="SPRZEDAŻ",UPPER(E426)="ZUŻYCIE"),-AE426,0)))))</f>
        <v/>
      </c>
      <c r="AI426" s="20">
        <f>IF(UPPER(AD426)="SKORYGOWANY",0,IF(OR(UPPER(E426)="TRANSPORT",UPPER(E426)="MM"),0,IF(UPPER(G426)&lt;&gt;"TAK",0,IF(OR(UPPER(E426)="ZAKUP",UPPER(E426)="PRODUKCJA"),AF426,IF(OR(UPPER(E426)="SPRZEDAŻ",UPPER(E426)="ZUŻYCIE"),-AF426,0)))))</f>
        <v/>
      </c>
      <c r="AJ426" s="21">
        <f>IF(UPPER(AD426)="SKORYGOWANY",0,IF(UPPER(E426)="ZAKUP",IF(L426&lt;&gt;"",L426,I426*K426),0))</f>
        <v/>
      </c>
      <c r="AK426" s="21">
        <f>IF(UPPER(AD426)="SKORYGOWANY",0,IF(UPPER(E426)="SPRZEDAŻ",IF(L426&lt;&gt;"",L426,I426*M426),0))</f>
        <v/>
      </c>
      <c r="AL426" s="21">
        <f>AE426*Q426</f>
        <v/>
      </c>
      <c r="AM426">
        <f>IF(R426="","",IF(LOWER(R426)="brak","Brak",IF(OR(ISNUMBER(SEARCH("własn",LOWER(R426))),ISNUMBER(SEARCH("wlasn",LOWER(R426))),ISNUMBER(SEARCH("wojciechowski",LOWER(R426)))),"Własny","Zewnętrzny")))</f>
        <v/>
      </c>
      <c r="AN426" s="24">
        <f>IF(C426="","",YEAR(C426))</f>
        <v/>
      </c>
      <c r="AO426" s="24">
        <f>IF(C426="","",MONTH(C426))</f>
        <v/>
      </c>
      <c r="AP426">
        <f>IF(C426="","",UPPER(TEXT(C426,"mmmm")))</f>
        <v/>
      </c>
      <c r="AQ426">
        <f>IF(C426="","","Q"&amp;ROUNDUP(MONTH(C426)/3,0))</f>
        <v/>
      </c>
    </row>
    <row r="427">
      <c r="A427" s="19" t="n">
        <v>46252</v>
      </c>
      <c r="C427" s="19" t="n">
        <v>46252</v>
      </c>
      <c r="D427" t="inlineStr">
        <is>
          <t>Magazyn Zabrze</t>
        </is>
      </c>
      <c r="E427" t="inlineStr">
        <is>
          <t>PRODUKCJA</t>
        </is>
      </c>
      <c r="F427" t="inlineStr">
        <is>
          <t>PZ/85</t>
        </is>
      </c>
      <c r="G427" t="inlineStr">
        <is>
          <t>TAK</t>
        </is>
      </c>
      <c r="H427" t="inlineStr">
        <is>
          <t>KZR</t>
        </is>
      </c>
      <c r="I427" s="20" t="n">
        <v>82</v>
      </c>
      <c r="J427" t="inlineStr">
        <is>
          <t>MP</t>
        </is>
      </c>
      <c r="K427" s="21" t="n">
        <v>0</v>
      </c>
      <c r="L427" s="21" t="n">
        <v>0</v>
      </c>
      <c r="M427" s="21" t="n">
        <v>0</v>
      </c>
      <c r="N427" t="inlineStr">
        <is>
          <t>Zrębka Produkcyjna Inwestycyjna</t>
        </is>
      </c>
      <c r="O427" t="inlineStr">
        <is>
          <t>B</t>
        </is>
      </c>
      <c r="P427" t="inlineStr">
        <is>
          <t>własne</t>
        </is>
      </c>
      <c r="Q427" s="21" t="n">
        <v>10</v>
      </c>
      <c r="T427" s="22" t="n">
        <v>0</v>
      </c>
      <c r="U427" s="21" t="n">
        <v>0</v>
      </c>
      <c r="V427" s="21" t="n">
        <v>0</v>
      </c>
      <c r="W427" t="inlineStr">
        <is>
          <t>Magazyn Zabrze</t>
        </is>
      </c>
      <c r="X427" t="inlineStr">
        <is>
          <t>Magazyn Zabrze</t>
        </is>
      </c>
      <c r="Y427" t="inlineStr">
        <is>
          <t>Rębak z Brąszewic, rębakowy Łukasz Kempski</t>
        </is>
      </c>
      <c r="Z427" t="inlineStr">
        <is>
          <t>Marcin Kwiatkowski</t>
        </is>
      </c>
      <c r="AA427" s="23" t="n">
        <v>46257.85482638889</v>
      </c>
      <c r="AB427" t="inlineStr">
        <is>
          <t>OP-MIGR-00426</t>
        </is>
      </c>
      <c r="AD427" t="inlineStr">
        <is>
          <t>AKTYWNY</t>
        </is>
      </c>
      <c r="AE427" s="20">
        <f>IF(I427="",0,IF(ISNUMBER(SEARCH("MP",UPPER(J427))),I427,IF(ISNUMBER(SEARCH("TON",UPPER(J427))),I427/Przelicznik_MP_tona,IF(ISNUMBER(SEARCH("M3",UPPER(J427))),I427*Przelicznik_M3_MP,IF(ISNUMBER(SEARCH("GJ",UPPER(J427))),I427/Przelicznik_GJ_tona/Przelicznik_MP_tona,I427)))))</f>
        <v/>
      </c>
      <c r="AF427" s="20">
        <f>IF(I427="",0,IF(ISNUMBER(SEARCH("TON",UPPER(J427))),I427,IF(ISNUMBER(SEARCH("GJ",UPPER(J427))),I427/Przelicznik_GJ_tona,AE427*Przelicznik_MP_tona)))</f>
        <v/>
      </c>
      <c r="AG427" s="20">
        <f>AF427*Przelicznik_GJ_tona</f>
        <v/>
      </c>
      <c r="AH427" s="20">
        <f>IF(UPPER(AD427)="SKORYGOWANY",0,IF(OR(UPPER(E427)="TRANSPORT",UPPER(E427)="MM"),0,IF(UPPER(G427)&lt;&gt;"TAK",0,IF(OR(UPPER(E427)="ZAKUP",UPPER(E427)="PRODUKCJA"),AE427,IF(OR(UPPER(E427)="SPRZEDAŻ",UPPER(E427)="ZUŻYCIE"),-AE427,0)))))</f>
        <v/>
      </c>
      <c r="AI427" s="20">
        <f>IF(UPPER(AD427)="SKORYGOWANY",0,IF(OR(UPPER(E427)="TRANSPORT",UPPER(E427)="MM"),0,IF(UPPER(G427)&lt;&gt;"TAK",0,IF(OR(UPPER(E427)="ZAKUP",UPPER(E427)="PRODUKCJA"),AF427,IF(OR(UPPER(E427)="SPRZEDAŻ",UPPER(E427)="ZUŻYCIE"),-AF427,0)))))</f>
        <v/>
      </c>
      <c r="AJ427" s="21">
        <f>IF(UPPER(AD427)="SKORYGOWANY",0,IF(UPPER(E427)="ZAKUP",IF(L427&lt;&gt;"",L427,I427*K427),0))</f>
        <v/>
      </c>
      <c r="AK427" s="21">
        <f>IF(UPPER(AD427)="SKORYGOWANY",0,IF(UPPER(E427)="SPRZEDAŻ",IF(L427&lt;&gt;"",L427,I427*M427),0))</f>
        <v/>
      </c>
      <c r="AL427" s="21">
        <f>AE427*Q427</f>
        <v/>
      </c>
      <c r="AM427">
        <f>IF(R427="","",IF(LOWER(R427)="brak","Brak",IF(OR(ISNUMBER(SEARCH("własn",LOWER(R427))),ISNUMBER(SEARCH("wlasn",LOWER(R427))),ISNUMBER(SEARCH("wojciechowski",LOWER(R427)))),"Własny","Zewnętrzny")))</f>
        <v/>
      </c>
      <c r="AN427" s="24">
        <f>IF(C427="","",YEAR(C427))</f>
        <v/>
      </c>
      <c r="AO427" s="24">
        <f>IF(C427="","",MONTH(C427))</f>
        <v/>
      </c>
      <c r="AP427">
        <f>IF(C427="","",UPPER(TEXT(C427,"mmmm")))</f>
        <v/>
      </c>
      <c r="AQ427">
        <f>IF(C427="","","Q"&amp;ROUNDUP(MONTH(C427)/3,0))</f>
        <v/>
      </c>
    </row>
    <row r="428">
      <c r="A428" s="19" t="n">
        <v>46252</v>
      </c>
      <c r="C428" s="19" t="n">
        <v>46252</v>
      </c>
      <c r="D428" t="inlineStr">
        <is>
          <t>Magazyn Zabrze</t>
        </is>
      </c>
      <c r="E428" t="inlineStr">
        <is>
          <t>ZUŻYCIE</t>
        </is>
      </c>
      <c r="F428" t="inlineStr">
        <is>
          <t>PZ/85</t>
        </is>
      </c>
      <c r="G428" t="inlineStr">
        <is>
          <t>TAK</t>
        </is>
      </c>
      <c r="H428" t="inlineStr">
        <is>
          <t>KZR</t>
        </is>
      </c>
      <c r="I428" s="20" t="n">
        <v>82</v>
      </c>
      <c r="J428" t="inlineStr">
        <is>
          <t>MP</t>
        </is>
      </c>
      <c r="K428" s="21" t="n">
        <v>0</v>
      </c>
      <c r="L428" s="21" t="n">
        <v>0</v>
      </c>
      <c r="M428" s="21" t="n">
        <v>0</v>
      </c>
      <c r="N428" t="inlineStr">
        <is>
          <t>Zrębka Produkcyjna Inwestycyjna</t>
        </is>
      </c>
      <c r="O428" t="inlineStr">
        <is>
          <t>B</t>
        </is>
      </c>
      <c r="P428" t="inlineStr">
        <is>
          <t>własne</t>
        </is>
      </c>
      <c r="Q428" s="21" t="n">
        <v>10</v>
      </c>
      <c r="T428" s="22" t="n">
        <v>0</v>
      </c>
      <c r="U428" s="21" t="n">
        <v>0</v>
      </c>
      <c r="V428" s="21" t="n">
        <v>0</v>
      </c>
      <c r="W428" t="inlineStr">
        <is>
          <t>Magazyn Zabrze</t>
        </is>
      </c>
      <c r="X428" t="inlineStr">
        <is>
          <t>Magazyn Zabrze</t>
        </is>
      </c>
      <c r="Y428" t="inlineStr">
        <is>
          <t>Automatyczne zużycie surowca do produkcji</t>
        </is>
      </c>
      <c r="AA428" s="23" t="n">
        <v>46257.85482638889</v>
      </c>
      <c r="AB428" t="inlineStr">
        <is>
          <t>OP-MIGR-00427</t>
        </is>
      </c>
      <c r="AD428" t="inlineStr">
        <is>
          <t>AKTYWNY</t>
        </is>
      </c>
      <c r="AE428" s="20">
        <f>IF(I428="",0,IF(ISNUMBER(SEARCH("MP",UPPER(J428))),I428,IF(ISNUMBER(SEARCH("TON",UPPER(J428))),I428/Przelicznik_MP_tona,IF(ISNUMBER(SEARCH("M3",UPPER(J428))),I428*Przelicznik_M3_MP,IF(ISNUMBER(SEARCH("GJ",UPPER(J428))),I428/Przelicznik_GJ_tona/Przelicznik_MP_tona,I428)))))</f>
        <v/>
      </c>
      <c r="AF428" s="20">
        <f>IF(I428="",0,IF(ISNUMBER(SEARCH("TON",UPPER(J428))),I428,IF(ISNUMBER(SEARCH("GJ",UPPER(J428))),I428/Przelicznik_GJ_tona,AE428*Przelicznik_MP_tona)))</f>
        <v/>
      </c>
      <c r="AG428" s="20">
        <f>AF428*Przelicznik_GJ_tona</f>
        <v/>
      </c>
      <c r="AH428" s="20">
        <f>IF(UPPER(AD428)="SKORYGOWANY",0,IF(OR(UPPER(E428)="TRANSPORT",UPPER(E428)="MM"),0,IF(UPPER(G428)&lt;&gt;"TAK",0,IF(OR(UPPER(E428)="ZAKUP",UPPER(E428)="PRODUKCJA"),AE428,IF(OR(UPPER(E428)="SPRZEDAŻ",UPPER(E428)="ZUŻYCIE"),-AE428,0)))))</f>
        <v/>
      </c>
      <c r="AI428" s="20">
        <f>IF(UPPER(AD428)="SKORYGOWANY",0,IF(OR(UPPER(E428)="TRANSPORT",UPPER(E428)="MM"),0,IF(UPPER(G428)&lt;&gt;"TAK",0,IF(OR(UPPER(E428)="ZAKUP",UPPER(E428)="PRODUKCJA"),AF428,IF(OR(UPPER(E428)="SPRZEDAŻ",UPPER(E428)="ZUŻYCIE"),-AF428,0)))))</f>
        <v/>
      </c>
      <c r="AJ428" s="21">
        <f>IF(UPPER(AD428)="SKORYGOWANY",0,IF(UPPER(E428)="ZAKUP",IF(L428&lt;&gt;"",L428,I428*K428),0))</f>
        <v/>
      </c>
      <c r="AK428" s="21">
        <f>IF(UPPER(AD428)="SKORYGOWANY",0,IF(UPPER(E428)="SPRZEDAŻ",IF(L428&lt;&gt;"",L428,I428*M428),0))</f>
        <v/>
      </c>
      <c r="AL428" s="21">
        <f>AE428*Q428</f>
        <v/>
      </c>
      <c r="AM428">
        <f>IF(R428="","",IF(LOWER(R428)="brak","Brak",IF(OR(ISNUMBER(SEARCH("własn",LOWER(R428))),ISNUMBER(SEARCH("wlasn",LOWER(R428))),ISNUMBER(SEARCH("wojciechowski",LOWER(R428)))),"Własny","Zewnętrzny")))</f>
        <v/>
      </c>
      <c r="AN428" s="24">
        <f>IF(C428="","",YEAR(C428))</f>
        <v/>
      </c>
      <c r="AO428" s="24">
        <f>IF(C428="","",MONTH(C428))</f>
        <v/>
      </c>
      <c r="AP428">
        <f>IF(C428="","",UPPER(TEXT(C428,"mmmm")))</f>
        <v/>
      </c>
      <c r="AQ428">
        <f>IF(C428="","","Q"&amp;ROUNDUP(MONTH(C428)/3,0))</f>
        <v/>
      </c>
    </row>
    <row r="429">
      <c r="A429" s="19" t="n">
        <v>46252</v>
      </c>
      <c r="B429" t="inlineStr">
        <is>
          <t>Ściborzyce</t>
        </is>
      </c>
      <c r="C429" s="19" t="n">
        <v>46252</v>
      </c>
      <c r="D429" t="inlineStr">
        <is>
          <t>Magazyn Zabrze</t>
        </is>
      </c>
      <c r="E429" t="inlineStr">
        <is>
          <t>ZAKUP</t>
        </is>
      </c>
      <c r="F429" t="inlineStr">
        <is>
          <t>PZ/85</t>
        </is>
      </c>
      <c r="G429" t="inlineStr">
        <is>
          <t>TAK</t>
        </is>
      </c>
      <c r="H429" t="inlineStr">
        <is>
          <t>KZR</t>
        </is>
      </c>
      <c r="I429" s="20" t="n">
        <v>82</v>
      </c>
      <c r="J429" t="inlineStr">
        <is>
          <t>MP</t>
        </is>
      </c>
      <c r="K429" s="21" t="n">
        <v>0</v>
      </c>
      <c r="L429" s="21" t="n">
        <v>0</v>
      </c>
      <c r="M429" s="21" t="n">
        <v>0</v>
      </c>
      <c r="N429" t="inlineStr">
        <is>
          <t>Zrębka Produkcyjna Inwestycyjna</t>
        </is>
      </c>
      <c r="O429" t="inlineStr">
        <is>
          <t>B</t>
        </is>
      </c>
      <c r="Q429" s="21" t="n">
        <v>0</v>
      </c>
      <c r="R429" t="inlineStr">
        <is>
          <t>własny (Chrzan)</t>
        </is>
      </c>
      <c r="S429" t="inlineStr">
        <is>
          <t>SK 5L809</t>
        </is>
      </c>
      <c r="T429" s="22" t="n">
        <v>210</v>
      </c>
      <c r="U429" s="21" t="n">
        <v>5</v>
      </c>
      <c r="V429" s="21" t="n">
        <v>1050</v>
      </c>
      <c r="W429" t="inlineStr">
        <is>
          <t>Magazyn Zabrze</t>
        </is>
      </c>
      <c r="Z429" t="inlineStr">
        <is>
          <t>Marcin Kwiatkowski</t>
        </is>
      </c>
      <c r="AA429" s="23" t="n">
        <v>46257.85576388889</v>
      </c>
      <c r="AB429" t="inlineStr">
        <is>
          <t>OP-MIGR-00428</t>
        </is>
      </c>
      <c r="AD429" t="inlineStr">
        <is>
          <t>AKTYWNY</t>
        </is>
      </c>
      <c r="AE429" s="20">
        <f>IF(I429="",0,IF(ISNUMBER(SEARCH("MP",UPPER(J429))),I429,IF(ISNUMBER(SEARCH("TON",UPPER(J429))),I429/Przelicznik_MP_tona,IF(ISNUMBER(SEARCH("M3",UPPER(J429))),I429*Przelicznik_M3_MP,IF(ISNUMBER(SEARCH("GJ",UPPER(J429))),I429/Przelicznik_GJ_tona/Przelicznik_MP_tona,I429)))))</f>
        <v/>
      </c>
      <c r="AF429" s="20">
        <f>IF(I429="",0,IF(ISNUMBER(SEARCH("TON",UPPER(J429))),I429,IF(ISNUMBER(SEARCH("GJ",UPPER(J429))),I429/Przelicznik_GJ_tona,AE429*Przelicznik_MP_tona)))</f>
        <v/>
      </c>
      <c r="AG429" s="20">
        <f>AF429*Przelicznik_GJ_tona</f>
        <v/>
      </c>
      <c r="AH429" s="20">
        <f>IF(UPPER(AD429)="SKORYGOWANY",0,IF(OR(UPPER(E429)="TRANSPORT",UPPER(E429)="MM"),0,IF(UPPER(G429)&lt;&gt;"TAK",0,IF(OR(UPPER(E429)="ZAKUP",UPPER(E429)="PRODUKCJA"),AE429,IF(OR(UPPER(E429)="SPRZEDAŻ",UPPER(E429)="ZUŻYCIE"),-AE429,0)))))</f>
        <v/>
      </c>
      <c r="AI429" s="20">
        <f>IF(UPPER(AD429)="SKORYGOWANY",0,IF(OR(UPPER(E429)="TRANSPORT",UPPER(E429)="MM"),0,IF(UPPER(G429)&lt;&gt;"TAK",0,IF(OR(UPPER(E429)="ZAKUP",UPPER(E429)="PRODUKCJA"),AF429,IF(OR(UPPER(E429)="SPRZEDAŻ",UPPER(E429)="ZUŻYCIE"),-AF429,0)))))</f>
        <v/>
      </c>
      <c r="AJ429" s="21">
        <f>IF(UPPER(AD429)="SKORYGOWANY",0,IF(UPPER(E429)="ZAKUP",IF(L429&lt;&gt;"",L429,I429*K429),0))</f>
        <v/>
      </c>
      <c r="AK429" s="21">
        <f>IF(UPPER(AD429)="SKORYGOWANY",0,IF(UPPER(E429)="SPRZEDAŻ",IF(L429&lt;&gt;"",L429,I429*M429),0))</f>
        <v/>
      </c>
      <c r="AL429" s="21">
        <f>AE429*Q429</f>
        <v/>
      </c>
      <c r="AM429">
        <f>IF(R429="","",IF(LOWER(R429)="brak","Brak",IF(OR(ISNUMBER(SEARCH("własn",LOWER(R429))),ISNUMBER(SEARCH("wlasn",LOWER(R429))),ISNUMBER(SEARCH("wojciechowski",LOWER(R429)))),"Własny","Zewnętrzny")))</f>
        <v/>
      </c>
      <c r="AN429" s="24">
        <f>IF(C429="","",YEAR(C429))</f>
        <v/>
      </c>
      <c r="AO429" s="24">
        <f>IF(C429="","",MONTH(C429))</f>
        <v/>
      </c>
      <c r="AP429">
        <f>IF(C429="","",UPPER(TEXT(C429,"mmmm")))</f>
        <v/>
      </c>
      <c r="AQ429">
        <f>IF(C429="","","Q"&amp;ROUNDUP(MONTH(C429)/3,0))</f>
        <v/>
      </c>
    </row>
    <row r="430">
      <c r="A430" s="19" t="n">
        <v>46252</v>
      </c>
      <c r="C430" s="19" t="n">
        <v>46252</v>
      </c>
      <c r="D430" t="inlineStr">
        <is>
          <t>Grandpol</t>
        </is>
      </c>
      <c r="E430" t="inlineStr">
        <is>
          <t>ZAKUP</t>
        </is>
      </c>
      <c r="F430" t="inlineStr">
        <is>
          <t>PZ/86</t>
        </is>
      </c>
      <c r="G430" t="inlineStr">
        <is>
          <t>NIE</t>
        </is>
      </c>
      <c r="H430" t="inlineStr">
        <is>
          <t>KZR</t>
        </is>
      </c>
      <c r="I430" s="20" t="n">
        <v>80</v>
      </c>
      <c r="J430" t="inlineStr">
        <is>
          <t>MP</t>
        </is>
      </c>
      <c r="K430" s="21" t="n">
        <v>45</v>
      </c>
      <c r="L430" s="21" t="n">
        <v>3600</v>
      </c>
      <c r="M430" s="21" t="n">
        <v>0</v>
      </c>
      <c r="N430" t="inlineStr">
        <is>
          <t>Drewno przemysłowe z wycinek inwest.</t>
        </is>
      </c>
      <c r="Q430" s="21" t="n">
        <v>0</v>
      </c>
      <c r="T430" s="22" t="n">
        <v>0</v>
      </c>
      <c r="U430" s="21" t="n">
        <v>0</v>
      </c>
      <c r="V430" s="21" t="n">
        <v>0</v>
      </c>
      <c r="W430" t="inlineStr">
        <is>
          <t>Magazyn Zabrze</t>
        </is>
      </c>
      <c r="Y430" t="inlineStr">
        <is>
          <t>Waga: 24 080 kg</t>
        </is>
      </c>
      <c r="Z430" t="inlineStr">
        <is>
          <t>Marcin Kwiatkowski</t>
        </is>
      </c>
      <c r="AA430" s="23" t="n">
        <v>46257.85747685185</v>
      </c>
      <c r="AB430" t="inlineStr">
        <is>
          <t>OP-MIGR-00429</t>
        </is>
      </c>
      <c r="AD430" t="inlineStr">
        <is>
          <t>AKTYWNY</t>
        </is>
      </c>
      <c r="AE430" s="20">
        <f>IF(I430="",0,IF(ISNUMBER(SEARCH("MP",UPPER(J430))),I430,IF(ISNUMBER(SEARCH("TON",UPPER(J430))),I430/Przelicznik_MP_tona,IF(ISNUMBER(SEARCH("M3",UPPER(J430))),I430*Przelicznik_M3_MP,IF(ISNUMBER(SEARCH("GJ",UPPER(J430))),I430/Przelicznik_GJ_tona/Przelicznik_MP_tona,I430)))))</f>
        <v/>
      </c>
      <c r="AF430" s="20">
        <f>IF(I430="",0,IF(ISNUMBER(SEARCH("TON",UPPER(J430))),I430,IF(ISNUMBER(SEARCH("GJ",UPPER(J430))),I430/Przelicznik_GJ_tona,AE430*Przelicznik_MP_tona)))</f>
        <v/>
      </c>
      <c r="AG430" s="20">
        <f>AF430*Przelicznik_GJ_tona</f>
        <v/>
      </c>
      <c r="AH430" s="20">
        <f>IF(UPPER(AD430)="SKORYGOWANY",0,IF(OR(UPPER(E430)="TRANSPORT",UPPER(E430)="MM"),0,IF(UPPER(G430)&lt;&gt;"TAK",0,IF(OR(UPPER(E430)="ZAKUP",UPPER(E430)="PRODUKCJA"),AE430,IF(OR(UPPER(E430)="SPRZEDAŻ",UPPER(E430)="ZUŻYCIE"),-AE430,0)))))</f>
        <v/>
      </c>
      <c r="AI430" s="20">
        <f>IF(UPPER(AD430)="SKORYGOWANY",0,IF(OR(UPPER(E430)="TRANSPORT",UPPER(E430)="MM"),0,IF(UPPER(G430)&lt;&gt;"TAK",0,IF(OR(UPPER(E430)="ZAKUP",UPPER(E430)="PRODUKCJA"),AF430,IF(OR(UPPER(E430)="SPRZEDAŻ",UPPER(E430)="ZUŻYCIE"),-AF430,0)))))</f>
        <v/>
      </c>
      <c r="AJ430" s="21">
        <f>IF(UPPER(AD430)="SKORYGOWANY",0,IF(UPPER(E430)="ZAKUP",IF(L430&lt;&gt;"",L430,I430*K430),0))</f>
        <v/>
      </c>
      <c r="AK430" s="21">
        <f>IF(UPPER(AD430)="SKORYGOWANY",0,IF(UPPER(E430)="SPRZEDAŻ",IF(L430&lt;&gt;"",L430,I430*M430),0))</f>
        <v/>
      </c>
      <c r="AL430" s="21">
        <f>AE430*Q430</f>
        <v/>
      </c>
      <c r="AM430">
        <f>IF(R430="","",IF(LOWER(R430)="brak","Brak",IF(OR(ISNUMBER(SEARCH("własn",LOWER(R430))),ISNUMBER(SEARCH("wlasn",LOWER(R430))),ISNUMBER(SEARCH("wojciechowski",LOWER(R430)))),"Własny","Zewnętrzny")))</f>
        <v/>
      </c>
      <c r="AN430" s="24">
        <f>IF(C430="","",YEAR(C430))</f>
        <v/>
      </c>
      <c r="AO430" s="24">
        <f>IF(C430="","",MONTH(C430))</f>
        <v/>
      </c>
      <c r="AP430">
        <f>IF(C430="","",UPPER(TEXT(C430,"mmmm")))</f>
        <v/>
      </c>
      <c r="AQ430">
        <f>IF(C430="","","Q"&amp;ROUNDUP(MONTH(C430)/3,0))</f>
        <v/>
      </c>
    </row>
    <row r="431">
      <c r="A431" s="19" t="n">
        <v>46252</v>
      </c>
      <c r="C431" s="19" t="n">
        <v>46252</v>
      </c>
      <c r="D431" t="inlineStr">
        <is>
          <t>Magazyn Zabrze</t>
        </is>
      </c>
      <c r="E431" t="inlineStr">
        <is>
          <t>PRODUKCJA</t>
        </is>
      </c>
      <c r="F431" t="inlineStr">
        <is>
          <t>PZ/86</t>
        </is>
      </c>
      <c r="G431" t="inlineStr">
        <is>
          <t>TAK</t>
        </is>
      </c>
      <c r="H431" t="inlineStr">
        <is>
          <t>KZR</t>
        </is>
      </c>
      <c r="I431" s="20" t="n">
        <v>80</v>
      </c>
      <c r="J431" t="inlineStr">
        <is>
          <t>MP</t>
        </is>
      </c>
      <c r="K431" s="21" t="n">
        <v>0</v>
      </c>
      <c r="L431" s="21" t="n">
        <v>0</v>
      </c>
      <c r="M431" s="21" t="n">
        <v>0</v>
      </c>
      <c r="N431" t="inlineStr">
        <is>
          <t>Zrębka Produkcyjna Inwestycyjna</t>
        </is>
      </c>
      <c r="O431" t="inlineStr">
        <is>
          <t>B</t>
        </is>
      </c>
      <c r="P431" t="inlineStr">
        <is>
          <t>własne</t>
        </is>
      </c>
      <c r="Q431" s="21" t="n">
        <v>10</v>
      </c>
      <c r="T431" s="22" t="n">
        <v>0</v>
      </c>
      <c r="U431" s="21" t="n">
        <v>0</v>
      </c>
      <c r="V431" s="21" t="n">
        <v>0</v>
      </c>
      <c r="W431" t="inlineStr">
        <is>
          <t>Magazyn Zabrze</t>
        </is>
      </c>
      <c r="X431" t="inlineStr">
        <is>
          <t>Magazyn Zabrze</t>
        </is>
      </c>
      <c r="Y431" t="inlineStr">
        <is>
          <t>Rębak z Brąszewic, rębakowy Łukasz Kempski</t>
        </is>
      </c>
      <c r="Z431" t="inlineStr">
        <is>
          <t>Marcin Kwiatkowski</t>
        </is>
      </c>
      <c r="AA431" s="23" t="n">
        <v>46257.85839120371</v>
      </c>
      <c r="AB431" t="inlineStr">
        <is>
          <t>OP-MIGR-00430</t>
        </is>
      </c>
      <c r="AD431" t="inlineStr">
        <is>
          <t>AKTYWNY</t>
        </is>
      </c>
      <c r="AE431" s="20">
        <f>IF(I431="",0,IF(ISNUMBER(SEARCH("MP",UPPER(J431))),I431,IF(ISNUMBER(SEARCH("TON",UPPER(J431))),I431/Przelicznik_MP_tona,IF(ISNUMBER(SEARCH("M3",UPPER(J431))),I431*Przelicznik_M3_MP,IF(ISNUMBER(SEARCH("GJ",UPPER(J431))),I431/Przelicznik_GJ_tona/Przelicznik_MP_tona,I431)))))</f>
        <v/>
      </c>
      <c r="AF431" s="20">
        <f>IF(I431="",0,IF(ISNUMBER(SEARCH("TON",UPPER(J431))),I431,IF(ISNUMBER(SEARCH("GJ",UPPER(J431))),I431/Przelicznik_GJ_tona,AE431*Przelicznik_MP_tona)))</f>
        <v/>
      </c>
      <c r="AG431" s="20">
        <f>AF431*Przelicznik_GJ_tona</f>
        <v/>
      </c>
      <c r="AH431" s="20">
        <f>IF(UPPER(AD431)="SKORYGOWANY",0,IF(OR(UPPER(E431)="TRANSPORT",UPPER(E431)="MM"),0,IF(UPPER(G431)&lt;&gt;"TAK",0,IF(OR(UPPER(E431)="ZAKUP",UPPER(E431)="PRODUKCJA"),AE431,IF(OR(UPPER(E431)="SPRZEDAŻ",UPPER(E431)="ZUŻYCIE"),-AE431,0)))))</f>
        <v/>
      </c>
      <c r="AI431" s="20">
        <f>IF(UPPER(AD431)="SKORYGOWANY",0,IF(OR(UPPER(E431)="TRANSPORT",UPPER(E431)="MM"),0,IF(UPPER(G431)&lt;&gt;"TAK",0,IF(OR(UPPER(E431)="ZAKUP",UPPER(E431)="PRODUKCJA"),AF431,IF(OR(UPPER(E431)="SPRZEDAŻ",UPPER(E431)="ZUŻYCIE"),-AF431,0)))))</f>
        <v/>
      </c>
      <c r="AJ431" s="21">
        <f>IF(UPPER(AD431)="SKORYGOWANY",0,IF(UPPER(E431)="ZAKUP",IF(L431&lt;&gt;"",L431,I431*K431),0))</f>
        <v/>
      </c>
      <c r="AK431" s="21">
        <f>IF(UPPER(AD431)="SKORYGOWANY",0,IF(UPPER(E431)="SPRZEDAŻ",IF(L431&lt;&gt;"",L431,I431*M431),0))</f>
        <v/>
      </c>
      <c r="AL431" s="21">
        <f>AE431*Q431</f>
        <v/>
      </c>
      <c r="AM431">
        <f>IF(R431="","",IF(LOWER(R431)="brak","Brak",IF(OR(ISNUMBER(SEARCH("własn",LOWER(R431))),ISNUMBER(SEARCH("wlasn",LOWER(R431))),ISNUMBER(SEARCH("wojciechowski",LOWER(R431)))),"Własny","Zewnętrzny")))</f>
        <v/>
      </c>
      <c r="AN431" s="24">
        <f>IF(C431="","",YEAR(C431))</f>
        <v/>
      </c>
      <c r="AO431" s="24">
        <f>IF(C431="","",MONTH(C431))</f>
        <v/>
      </c>
      <c r="AP431">
        <f>IF(C431="","",UPPER(TEXT(C431,"mmmm")))</f>
        <v/>
      </c>
      <c r="AQ431">
        <f>IF(C431="","","Q"&amp;ROUNDUP(MONTH(C431)/3,0))</f>
        <v/>
      </c>
    </row>
    <row r="432">
      <c r="A432" s="19" t="n">
        <v>46252</v>
      </c>
      <c r="C432" s="19" t="n">
        <v>46252</v>
      </c>
      <c r="D432" t="inlineStr">
        <is>
          <t>Magazyn Zabrze</t>
        </is>
      </c>
      <c r="E432" t="inlineStr">
        <is>
          <t>ZUŻYCIE</t>
        </is>
      </c>
      <c r="F432" t="inlineStr">
        <is>
          <t>PZ/86</t>
        </is>
      </c>
      <c r="G432" t="inlineStr">
        <is>
          <t>TAK</t>
        </is>
      </c>
      <c r="H432" t="inlineStr">
        <is>
          <t>KZR</t>
        </is>
      </c>
      <c r="I432" s="20" t="n">
        <v>80</v>
      </c>
      <c r="J432" t="inlineStr">
        <is>
          <t>MP</t>
        </is>
      </c>
      <c r="K432" s="21" t="n">
        <v>0</v>
      </c>
      <c r="L432" s="21" t="n">
        <v>0</v>
      </c>
      <c r="M432" s="21" t="n">
        <v>0</v>
      </c>
      <c r="N432" t="inlineStr">
        <is>
          <t>Zrębka Produkcyjna Inwestycyjna</t>
        </is>
      </c>
      <c r="O432" t="inlineStr">
        <is>
          <t>B</t>
        </is>
      </c>
      <c r="P432" t="inlineStr">
        <is>
          <t>własne</t>
        </is>
      </c>
      <c r="Q432" s="21" t="n">
        <v>10</v>
      </c>
      <c r="T432" s="22" t="n">
        <v>0</v>
      </c>
      <c r="U432" s="21" t="n">
        <v>0</v>
      </c>
      <c r="V432" s="21" t="n">
        <v>0</v>
      </c>
      <c r="W432" t="inlineStr">
        <is>
          <t>Magazyn Zabrze</t>
        </is>
      </c>
      <c r="X432" t="inlineStr">
        <is>
          <t>Magazyn Zabrze</t>
        </is>
      </c>
      <c r="Y432" t="inlineStr">
        <is>
          <t>Automatyczne zużycie surowca do produkcji</t>
        </is>
      </c>
      <c r="AA432" s="23" t="n">
        <v>46257.85840277778</v>
      </c>
      <c r="AB432" t="inlineStr">
        <is>
          <t>OP-MIGR-00431</t>
        </is>
      </c>
      <c r="AD432" t="inlineStr">
        <is>
          <t>AKTYWNY</t>
        </is>
      </c>
      <c r="AE432" s="20">
        <f>IF(I432="",0,IF(ISNUMBER(SEARCH("MP",UPPER(J432))),I432,IF(ISNUMBER(SEARCH("TON",UPPER(J432))),I432/Przelicznik_MP_tona,IF(ISNUMBER(SEARCH("M3",UPPER(J432))),I432*Przelicznik_M3_MP,IF(ISNUMBER(SEARCH("GJ",UPPER(J432))),I432/Przelicznik_GJ_tona/Przelicznik_MP_tona,I432)))))</f>
        <v/>
      </c>
      <c r="AF432" s="20">
        <f>IF(I432="",0,IF(ISNUMBER(SEARCH("TON",UPPER(J432))),I432,IF(ISNUMBER(SEARCH("GJ",UPPER(J432))),I432/Przelicznik_GJ_tona,AE432*Przelicznik_MP_tona)))</f>
        <v/>
      </c>
      <c r="AG432" s="20">
        <f>AF432*Przelicznik_GJ_tona</f>
        <v/>
      </c>
      <c r="AH432" s="20">
        <f>IF(UPPER(AD432)="SKORYGOWANY",0,IF(OR(UPPER(E432)="TRANSPORT",UPPER(E432)="MM"),0,IF(UPPER(G432)&lt;&gt;"TAK",0,IF(OR(UPPER(E432)="ZAKUP",UPPER(E432)="PRODUKCJA"),AE432,IF(OR(UPPER(E432)="SPRZEDAŻ",UPPER(E432)="ZUŻYCIE"),-AE432,0)))))</f>
        <v/>
      </c>
      <c r="AI432" s="20">
        <f>IF(UPPER(AD432)="SKORYGOWANY",0,IF(OR(UPPER(E432)="TRANSPORT",UPPER(E432)="MM"),0,IF(UPPER(G432)&lt;&gt;"TAK",0,IF(OR(UPPER(E432)="ZAKUP",UPPER(E432)="PRODUKCJA"),AF432,IF(OR(UPPER(E432)="SPRZEDAŻ",UPPER(E432)="ZUŻYCIE"),-AF432,0)))))</f>
        <v/>
      </c>
      <c r="AJ432" s="21">
        <f>IF(UPPER(AD432)="SKORYGOWANY",0,IF(UPPER(E432)="ZAKUP",IF(L432&lt;&gt;"",L432,I432*K432),0))</f>
        <v/>
      </c>
      <c r="AK432" s="21">
        <f>IF(UPPER(AD432)="SKORYGOWANY",0,IF(UPPER(E432)="SPRZEDAŻ",IF(L432&lt;&gt;"",L432,I432*M432),0))</f>
        <v/>
      </c>
      <c r="AL432" s="21">
        <f>AE432*Q432</f>
        <v/>
      </c>
      <c r="AM432">
        <f>IF(R432="","",IF(LOWER(R432)="brak","Brak",IF(OR(ISNUMBER(SEARCH("własn",LOWER(R432))),ISNUMBER(SEARCH("wlasn",LOWER(R432))),ISNUMBER(SEARCH("wojciechowski",LOWER(R432)))),"Własny","Zewnętrzny")))</f>
        <v/>
      </c>
      <c r="AN432" s="24">
        <f>IF(C432="","",YEAR(C432))</f>
        <v/>
      </c>
      <c r="AO432" s="24">
        <f>IF(C432="","",MONTH(C432))</f>
        <v/>
      </c>
      <c r="AP432">
        <f>IF(C432="","",UPPER(TEXT(C432,"mmmm")))</f>
        <v/>
      </c>
      <c r="AQ432">
        <f>IF(C432="","","Q"&amp;ROUNDUP(MONTH(C432)/3,0))</f>
        <v/>
      </c>
    </row>
    <row r="433">
      <c r="A433" s="19" t="n">
        <v>46252</v>
      </c>
      <c r="B433" t="inlineStr">
        <is>
          <t>Ściborzyce</t>
        </is>
      </c>
      <c r="C433" s="19" t="n">
        <v>46252</v>
      </c>
      <c r="D433" t="inlineStr">
        <is>
          <t>Magazyn Zabrze</t>
        </is>
      </c>
      <c r="E433" t="inlineStr">
        <is>
          <t>ZAKUP</t>
        </is>
      </c>
      <c r="F433" t="inlineStr">
        <is>
          <t>PZ/86</t>
        </is>
      </c>
      <c r="G433" t="inlineStr">
        <is>
          <t>TAK</t>
        </is>
      </c>
      <c r="H433" t="inlineStr">
        <is>
          <t>KZR</t>
        </is>
      </c>
      <c r="I433" s="20" t="n">
        <v>80</v>
      </c>
      <c r="J433" t="inlineStr">
        <is>
          <t>MP</t>
        </is>
      </c>
      <c r="K433" s="21" t="n">
        <v>0</v>
      </c>
      <c r="L433" s="21" t="n">
        <v>0</v>
      </c>
      <c r="M433" s="21" t="n">
        <v>0</v>
      </c>
      <c r="N433" t="inlineStr">
        <is>
          <t>Zrębka Produkcyjna Inwestycyjna</t>
        </is>
      </c>
      <c r="O433" t="inlineStr">
        <is>
          <t>B</t>
        </is>
      </c>
      <c r="Q433" s="21" t="n">
        <v>0</v>
      </c>
      <c r="R433" t="inlineStr">
        <is>
          <t>własny (Wilczak)</t>
        </is>
      </c>
      <c r="S433" t="inlineStr">
        <is>
          <t>SK 7J884</t>
        </is>
      </c>
      <c r="T433" s="22" t="n">
        <v>210</v>
      </c>
      <c r="U433" s="21" t="n">
        <v>5</v>
      </c>
      <c r="V433" s="21" t="n">
        <v>1050</v>
      </c>
      <c r="W433" t="inlineStr">
        <is>
          <t>Magazyn Zabrze</t>
        </is>
      </c>
      <c r="Z433" t="inlineStr">
        <is>
          <t>Marcin Kwiatkowski</t>
        </is>
      </c>
      <c r="AA433" s="23" t="n">
        <v>46257.8593287037</v>
      </c>
      <c r="AB433" t="inlineStr">
        <is>
          <t>OP-MIGR-00432</t>
        </is>
      </c>
      <c r="AD433" t="inlineStr">
        <is>
          <t>AKTYWNY</t>
        </is>
      </c>
      <c r="AE433" s="20">
        <f>IF(I433="",0,IF(ISNUMBER(SEARCH("MP",UPPER(J433))),I433,IF(ISNUMBER(SEARCH("TON",UPPER(J433))),I433/Przelicznik_MP_tona,IF(ISNUMBER(SEARCH("M3",UPPER(J433))),I433*Przelicznik_M3_MP,IF(ISNUMBER(SEARCH("GJ",UPPER(J433))),I433/Przelicznik_GJ_tona/Przelicznik_MP_tona,I433)))))</f>
        <v/>
      </c>
      <c r="AF433" s="20">
        <f>IF(I433="",0,IF(ISNUMBER(SEARCH("TON",UPPER(J433))),I433,IF(ISNUMBER(SEARCH("GJ",UPPER(J433))),I433/Przelicznik_GJ_tona,AE433*Przelicznik_MP_tona)))</f>
        <v/>
      </c>
      <c r="AG433" s="20">
        <f>AF433*Przelicznik_GJ_tona</f>
        <v/>
      </c>
      <c r="AH433" s="20">
        <f>IF(UPPER(AD433)="SKORYGOWANY",0,IF(OR(UPPER(E433)="TRANSPORT",UPPER(E433)="MM"),0,IF(UPPER(G433)&lt;&gt;"TAK",0,IF(OR(UPPER(E433)="ZAKUP",UPPER(E433)="PRODUKCJA"),AE433,IF(OR(UPPER(E433)="SPRZEDAŻ",UPPER(E433)="ZUŻYCIE"),-AE433,0)))))</f>
        <v/>
      </c>
      <c r="AI433" s="20">
        <f>IF(UPPER(AD433)="SKORYGOWANY",0,IF(OR(UPPER(E433)="TRANSPORT",UPPER(E433)="MM"),0,IF(UPPER(G433)&lt;&gt;"TAK",0,IF(OR(UPPER(E433)="ZAKUP",UPPER(E433)="PRODUKCJA"),AF433,IF(OR(UPPER(E433)="SPRZEDAŻ",UPPER(E433)="ZUŻYCIE"),-AF433,0)))))</f>
        <v/>
      </c>
      <c r="AJ433" s="21">
        <f>IF(UPPER(AD433)="SKORYGOWANY",0,IF(UPPER(E433)="ZAKUP",IF(L433&lt;&gt;"",L433,I433*K433),0))</f>
        <v/>
      </c>
      <c r="AK433" s="21">
        <f>IF(UPPER(AD433)="SKORYGOWANY",0,IF(UPPER(E433)="SPRZEDAŻ",IF(L433&lt;&gt;"",L433,I433*M433),0))</f>
        <v/>
      </c>
      <c r="AL433" s="21">
        <f>AE433*Q433</f>
        <v/>
      </c>
      <c r="AM433">
        <f>IF(R433="","",IF(LOWER(R433)="brak","Brak",IF(OR(ISNUMBER(SEARCH("własn",LOWER(R433))),ISNUMBER(SEARCH("wlasn",LOWER(R433))),ISNUMBER(SEARCH("wojciechowski",LOWER(R433)))),"Własny","Zewnętrzny")))</f>
        <v/>
      </c>
      <c r="AN433" s="24">
        <f>IF(C433="","",YEAR(C433))</f>
        <v/>
      </c>
      <c r="AO433" s="24">
        <f>IF(C433="","",MONTH(C433))</f>
        <v/>
      </c>
      <c r="AP433">
        <f>IF(C433="","",UPPER(TEXT(C433,"mmmm")))</f>
        <v/>
      </c>
      <c r="AQ433">
        <f>IF(C433="","","Q"&amp;ROUNDUP(MONTH(C433)/3,0))</f>
        <v/>
      </c>
    </row>
    <row r="434">
      <c r="A434" s="19" t="n">
        <v>46253</v>
      </c>
      <c r="C434" s="19" t="n">
        <v>46253</v>
      </c>
      <c r="D434" t="inlineStr">
        <is>
          <t>Lander Agro</t>
        </is>
      </c>
      <c r="E434" t="inlineStr">
        <is>
          <t>ZAKUP</t>
        </is>
      </c>
      <c r="F434" t="inlineStr">
        <is>
          <t>PZ/40/D</t>
        </is>
      </c>
      <c r="G434" t="inlineStr">
        <is>
          <t>TAK</t>
        </is>
      </c>
      <c r="H434" t="inlineStr">
        <is>
          <t>KZR</t>
        </is>
      </c>
      <c r="I434" s="20" t="n">
        <v>26.95</v>
      </c>
      <c r="J434" t="inlineStr">
        <is>
          <t>M3</t>
        </is>
      </c>
      <c r="K434" s="21" t="n">
        <v>230</v>
      </c>
      <c r="L434" s="21" t="n">
        <v>6198.5</v>
      </c>
      <c r="M434" s="21" t="n">
        <v>0</v>
      </c>
      <c r="N434" t="inlineStr">
        <is>
          <t>Drewno opałowe z lasu</t>
        </is>
      </c>
      <c r="Q434" s="21" t="n">
        <v>0</v>
      </c>
      <c r="T434" s="22" t="n">
        <v>0</v>
      </c>
      <c r="U434" s="21" t="n">
        <v>0</v>
      </c>
      <c r="V434" s="21" t="n">
        <v>0</v>
      </c>
      <c r="W434" t="inlineStr">
        <is>
          <t>Magazyn Zabrze</t>
        </is>
      </c>
      <c r="Y434" t="inlineStr">
        <is>
          <t>Waga: 22 700 kg</t>
        </is>
      </c>
      <c r="Z434" t="inlineStr">
        <is>
          <t>Marcin Kwiatkowski</t>
        </is>
      </c>
      <c r="AA434" s="23" t="n">
        <v>46257.86115740741</v>
      </c>
      <c r="AB434" t="inlineStr">
        <is>
          <t>OP-MIGR-00433</t>
        </is>
      </c>
      <c r="AD434" t="inlineStr">
        <is>
          <t>AKTYWNY</t>
        </is>
      </c>
      <c r="AE434" s="20">
        <f>IF(I434="",0,IF(ISNUMBER(SEARCH("MP",UPPER(J434))),I434,IF(ISNUMBER(SEARCH("TON",UPPER(J434))),I434/Przelicznik_MP_tona,IF(ISNUMBER(SEARCH("M3",UPPER(J434))),I434*Przelicznik_M3_MP,IF(ISNUMBER(SEARCH("GJ",UPPER(J434))),I434/Przelicznik_GJ_tona/Przelicznik_MP_tona,I434)))))</f>
        <v/>
      </c>
      <c r="AF434" s="20">
        <f>IF(I434="",0,IF(ISNUMBER(SEARCH("TON",UPPER(J434))),I434,IF(ISNUMBER(SEARCH("GJ",UPPER(J434))),I434/Przelicznik_GJ_tona,AE434*Przelicznik_MP_tona)))</f>
        <v/>
      </c>
      <c r="AG434" s="20">
        <f>AF434*Przelicznik_GJ_tona</f>
        <v/>
      </c>
      <c r="AH434" s="20">
        <f>IF(UPPER(AD434)="SKORYGOWANY",0,IF(OR(UPPER(E434)="TRANSPORT",UPPER(E434)="MM"),0,IF(UPPER(G434)&lt;&gt;"TAK",0,IF(OR(UPPER(E434)="ZAKUP",UPPER(E434)="PRODUKCJA"),AE434,IF(OR(UPPER(E434)="SPRZEDAŻ",UPPER(E434)="ZUŻYCIE"),-AE434,0)))))</f>
        <v/>
      </c>
      <c r="AI434" s="20">
        <f>IF(UPPER(AD434)="SKORYGOWANY",0,IF(OR(UPPER(E434)="TRANSPORT",UPPER(E434)="MM"),0,IF(UPPER(G434)&lt;&gt;"TAK",0,IF(OR(UPPER(E434)="ZAKUP",UPPER(E434)="PRODUKCJA"),AF434,IF(OR(UPPER(E434)="SPRZEDAŻ",UPPER(E434)="ZUŻYCIE"),-AF434,0)))))</f>
        <v/>
      </c>
      <c r="AJ434" s="21">
        <f>IF(UPPER(AD434)="SKORYGOWANY",0,IF(UPPER(E434)="ZAKUP",IF(L434&lt;&gt;"",L434,I434*K434),0))</f>
        <v/>
      </c>
      <c r="AK434" s="21">
        <f>IF(UPPER(AD434)="SKORYGOWANY",0,IF(UPPER(E434)="SPRZEDAŻ",IF(L434&lt;&gt;"",L434,I434*M434),0))</f>
        <v/>
      </c>
      <c r="AL434" s="21">
        <f>AE434*Q434</f>
        <v/>
      </c>
      <c r="AM434">
        <f>IF(R434="","",IF(LOWER(R434)="brak","Brak",IF(OR(ISNUMBER(SEARCH("własn",LOWER(R434))),ISNUMBER(SEARCH("wlasn",LOWER(R434))),ISNUMBER(SEARCH("wojciechowski",LOWER(R434)))),"Własny","Zewnętrzny")))</f>
        <v/>
      </c>
      <c r="AN434" s="24">
        <f>IF(C434="","",YEAR(C434))</f>
        <v/>
      </c>
      <c r="AO434" s="24">
        <f>IF(C434="","",MONTH(C434))</f>
        <v/>
      </c>
      <c r="AP434">
        <f>IF(C434="","",UPPER(TEXT(C434,"mmmm")))</f>
        <v/>
      </c>
      <c r="AQ434">
        <f>IF(C434="","","Q"&amp;ROUNDUP(MONTH(C434)/3,0))</f>
        <v/>
      </c>
    </row>
    <row r="435">
      <c r="A435" s="19" t="n">
        <v>46253</v>
      </c>
      <c r="C435" s="19" t="n">
        <v>46253</v>
      </c>
      <c r="D435" t="inlineStr">
        <is>
          <t>Lander Agro</t>
        </is>
      </c>
      <c r="E435" t="inlineStr">
        <is>
          <t>ZAKUP</t>
        </is>
      </c>
      <c r="F435" t="inlineStr">
        <is>
          <t>PZ/41/D</t>
        </is>
      </c>
      <c r="G435" t="inlineStr">
        <is>
          <t>TAK</t>
        </is>
      </c>
      <c r="H435" t="inlineStr">
        <is>
          <t>KZR</t>
        </is>
      </c>
      <c r="I435" s="20" t="n">
        <v>25</v>
      </c>
      <c r="J435" t="inlineStr">
        <is>
          <t>M3</t>
        </is>
      </c>
      <c r="K435" s="21" t="n">
        <v>230</v>
      </c>
      <c r="L435" s="21" t="n">
        <v>5750</v>
      </c>
      <c r="M435" s="21" t="n">
        <v>0</v>
      </c>
      <c r="N435" t="inlineStr">
        <is>
          <t>Drewno opałowe z lasu</t>
        </is>
      </c>
      <c r="Q435" s="21" t="n">
        <v>0</v>
      </c>
      <c r="T435" s="22" t="n">
        <v>0</v>
      </c>
      <c r="U435" s="21" t="n">
        <v>0</v>
      </c>
      <c r="V435" s="21" t="n">
        <v>0</v>
      </c>
      <c r="W435" t="inlineStr">
        <is>
          <t>Magazyn Zabrze</t>
        </is>
      </c>
      <c r="Y435" t="inlineStr">
        <is>
          <t>Waga: 20 940 kg</t>
        </is>
      </c>
      <c r="Z435" t="inlineStr">
        <is>
          <t>Marcin Kwiatkowski</t>
        </is>
      </c>
      <c r="AA435" s="23" t="n">
        <v>46257.86398148148</v>
      </c>
      <c r="AB435" t="inlineStr">
        <is>
          <t>OP-MIGR-00434</t>
        </is>
      </c>
      <c r="AD435" t="inlineStr">
        <is>
          <t>AKTYWNY</t>
        </is>
      </c>
      <c r="AE435" s="20">
        <f>IF(I435="",0,IF(ISNUMBER(SEARCH("MP",UPPER(J435))),I435,IF(ISNUMBER(SEARCH("TON",UPPER(J435))),I435/Przelicznik_MP_tona,IF(ISNUMBER(SEARCH("M3",UPPER(J435))),I435*Przelicznik_M3_MP,IF(ISNUMBER(SEARCH("GJ",UPPER(J435))),I435/Przelicznik_GJ_tona/Przelicznik_MP_tona,I435)))))</f>
        <v/>
      </c>
      <c r="AF435" s="20">
        <f>IF(I435="",0,IF(ISNUMBER(SEARCH("TON",UPPER(J435))),I435,IF(ISNUMBER(SEARCH("GJ",UPPER(J435))),I435/Przelicznik_GJ_tona,AE435*Przelicznik_MP_tona)))</f>
        <v/>
      </c>
      <c r="AG435" s="20">
        <f>AF435*Przelicznik_GJ_tona</f>
        <v/>
      </c>
      <c r="AH435" s="20">
        <f>IF(UPPER(AD435)="SKORYGOWANY",0,IF(OR(UPPER(E435)="TRANSPORT",UPPER(E435)="MM"),0,IF(UPPER(G435)&lt;&gt;"TAK",0,IF(OR(UPPER(E435)="ZAKUP",UPPER(E435)="PRODUKCJA"),AE435,IF(OR(UPPER(E435)="SPRZEDAŻ",UPPER(E435)="ZUŻYCIE"),-AE435,0)))))</f>
        <v/>
      </c>
      <c r="AI435" s="20">
        <f>IF(UPPER(AD435)="SKORYGOWANY",0,IF(OR(UPPER(E435)="TRANSPORT",UPPER(E435)="MM"),0,IF(UPPER(G435)&lt;&gt;"TAK",0,IF(OR(UPPER(E435)="ZAKUP",UPPER(E435)="PRODUKCJA"),AF435,IF(OR(UPPER(E435)="SPRZEDAŻ",UPPER(E435)="ZUŻYCIE"),-AF435,0)))))</f>
        <v/>
      </c>
      <c r="AJ435" s="21">
        <f>IF(UPPER(AD435)="SKORYGOWANY",0,IF(UPPER(E435)="ZAKUP",IF(L435&lt;&gt;"",L435,I435*K435),0))</f>
        <v/>
      </c>
      <c r="AK435" s="21">
        <f>IF(UPPER(AD435)="SKORYGOWANY",0,IF(UPPER(E435)="SPRZEDAŻ",IF(L435&lt;&gt;"",L435,I435*M435),0))</f>
        <v/>
      </c>
      <c r="AL435" s="21">
        <f>AE435*Q435</f>
        <v/>
      </c>
      <c r="AM435">
        <f>IF(R435="","",IF(LOWER(R435)="brak","Brak",IF(OR(ISNUMBER(SEARCH("własn",LOWER(R435))),ISNUMBER(SEARCH("wlasn",LOWER(R435))),ISNUMBER(SEARCH("wojciechowski",LOWER(R435)))),"Własny","Zewnętrzny")))</f>
        <v/>
      </c>
      <c r="AN435" s="24">
        <f>IF(C435="","",YEAR(C435))</f>
        <v/>
      </c>
      <c r="AO435" s="24">
        <f>IF(C435="","",MONTH(C435))</f>
        <v/>
      </c>
      <c r="AP435">
        <f>IF(C435="","",UPPER(TEXT(C435,"mmmm")))</f>
        <v/>
      </c>
      <c r="AQ435">
        <f>IF(C435="","","Q"&amp;ROUNDUP(MONTH(C435)/3,0))</f>
        <v/>
      </c>
    </row>
    <row r="436">
      <c r="A436" s="19" t="n">
        <v>46253</v>
      </c>
      <c r="C436" s="19" t="n">
        <v>46253</v>
      </c>
      <c r="D436" t="inlineStr">
        <is>
          <t>Grandpol</t>
        </is>
      </c>
      <c r="E436" t="inlineStr">
        <is>
          <t>ZAKUP</t>
        </is>
      </c>
      <c r="F436" t="inlineStr">
        <is>
          <t>PZ/87</t>
        </is>
      </c>
      <c r="G436" t="inlineStr">
        <is>
          <t>NIE</t>
        </is>
      </c>
      <c r="H436" t="inlineStr">
        <is>
          <t>KZR</t>
        </is>
      </c>
      <c r="I436" s="20" t="n">
        <v>80</v>
      </c>
      <c r="J436" t="inlineStr">
        <is>
          <t>MP</t>
        </is>
      </c>
      <c r="K436" s="21" t="n">
        <v>45</v>
      </c>
      <c r="L436" s="21" t="n">
        <v>3600</v>
      </c>
      <c r="M436" s="21" t="n">
        <v>0</v>
      </c>
      <c r="N436" t="inlineStr">
        <is>
          <t>Drewno przemysłowe z wycinek inwest.</t>
        </is>
      </c>
      <c r="Q436" s="21" t="n">
        <v>0</v>
      </c>
      <c r="T436" s="22" t="n">
        <v>0</v>
      </c>
      <c r="U436" s="21" t="n">
        <v>0</v>
      </c>
      <c r="V436" s="21" t="n">
        <v>0</v>
      </c>
      <c r="W436" t="inlineStr">
        <is>
          <t>Magazyn Zabrze</t>
        </is>
      </c>
      <c r="Y436" t="inlineStr">
        <is>
          <t>Waga: 21 600 kg</t>
        </is>
      </c>
      <c r="Z436" t="inlineStr">
        <is>
          <t>Marcin Kwiatkowski</t>
        </is>
      </c>
      <c r="AA436" s="23" t="n">
        <v>46257.86689814815</v>
      </c>
      <c r="AB436" t="inlineStr">
        <is>
          <t>OP-MIGR-00435</t>
        </is>
      </c>
      <c r="AD436" t="inlineStr">
        <is>
          <t>AKTYWNY</t>
        </is>
      </c>
      <c r="AE436" s="20">
        <f>IF(I436="",0,IF(ISNUMBER(SEARCH("MP",UPPER(J436))),I436,IF(ISNUMBER(SEARCH("TON",UPPER(J436))),I436/Przelicznik_MP_tona,IF(ISNUMBER(SEARCH("M3",UPPER(J436))),I436*Przelicznik_M3_MP,IF(ISNUMBER(SEARCH("GJ",UPPER(J436))),I436/Przelicznik_GJ_tona/Przelicznik_MP_tona,I436)))))</f>
        <v/>
      </c>
      <c r="AF436" s="20">
        <f>IF(I436="",0,IF(ISNUMBER(SEARCH("TON",UPPER(J436))),I436,IF(ISNUMBER(SEARCH("GJ",UPPER(J436))),I436/Przelicznik_GJ_tona,AE436*Przelicznik_MP_tona)))</f>
        <v/>
      </c>
      <c r="AG436" s="20">
        <f>AF436*Przelicznik_GJ_tona</f>
        <v/>
      </c>
      <c r="AH436" s="20">
        <f>IF(UPPER(AD436)="SKORYGOWANY",0,IF(OR(UPPER(E436)="TRANSPORT",UPPER(E436)="MM"),0,IF(UPPER(G436)&lt;&gt;"TAK",0,IF(OR(UPPER(E436)="ZAKUP",UPPER(E436)="PRODUKCJA"),AE436,IF(OR(UPPER(E436)="SPRZEDAŻ",UPPER(E436)="ZUŻYCIE"),-AE436,0)))))</f>
        <v/>
      </c>
      <c r="AI436" s="20">
        <f>IF(UPPER(AD436)="SKORYGOWANY",0,IF(OR(UPPER(E436)="TRANSPORT",UPPER(E436)="MM"),0,IF(UPPER(G436)&lt;&gt;"TAK",0,IF(OR(UPPER(E436)="ZAKUP",UPPER(E436)="PRODUKCJA"),AF436,IF(OR(UPPER(E436)="SPRZEDAŻ",UPPER(E436)="ZUŻYCIE"),-AF436,0)))))</f>
        <v/>
      </c>
      <c r="AJ436" s="21">
        <f>IF(UPPER(AD436)="SKORYGOWANY",0,IF(UPPER(E436)="ZAKUP",IF(L436&lt;&gt;"",L436,I436*K436),0))</f>
        <v/>
      </c>
      <c r="AK436" s="21">
        <f>IF(UPPER(AD436)="SKORYGOWANY",0,IF(UPPER(E436)="SPRZEDAŻ",IF(L436&lt;&gt;"",L436,I436*M436),0))</f>
        <v/>
      </c>
      <c r="AL436" s="21">
        <f>AE436*Q436</f>
        <v/>
      </c>
      <c r="AM436">
        <f>IF(R436="","",IF(LOWER(R436)="brak","Brak",IF(OR(ISNUMBER(SEARCH("własn",LOWER(R436))),ISNUMBER(SEARCH("wlasn",LOWER(R436))),ISNUMBER(SEARCH("wojciechowski",LOWER(R436)))),"Własny","Zewnętrzny")))</f>
        <v/>
      </c>
      <c r="AN436" s="24">
        <f>IF(C436="","",YEAR(C436))</f>
        <v/>
      </c>
      <c r="AO436" s="24">
        <f>IF(C436="","",MONTH(C436))</f>
        <v/>
      </c>
      <c r="AP436">
        <f>IF(C436="","",UPPER(TEXT(C436,"mmmm")))</f>
        <v/>
      </c>
      <c r="AQ436">
        <f>IF(C436="","","Q"&amp;ROUNDUP(MONTH(C436)/3,0))</f>
        <v/>
      </c>
    </row>
    <row r="437">
      <c r="A437" s="19" t="n">
        <v>46253</v>
      </c>
      <c r="C437" s="19" t="n">
        <v>46253</v>
      </c>
      <c r="D437" t="inlineStr">
        <is>
          <t>Magazyn Zabrze</t>
        </is>
      </c>
      <c r="E437" t="inlineStr">
        <is>
          <t>PRODUKCJA</t>
        </is>
      </c>
      <c r="F437" t="inlineStr">
        <is>
          <t>PZ/87</t>
        </is>
      </c>
      <c r="G437" t="inlineStr">
        <is>
          <t>TAK</t>
        </is>
      </c>
      <c r="H437" t="inlineStr">
        <is>
          <t>KZR</t>
        </is>
      </c>
      <c r="I437" s="20" t="n">
        <v>80</v>
      </c>
      <c r="J437" t="inlineStr">
        <is>
          <t>MP</t>
        </is>
      </c>
      <c r="K437" s="21" t="n">
        <v>0</v>
      </c>
      <c r="L437" s="21" t="n">
        <v>0</v>
      </c>
      <c r="M437" s="21" t="n">
        <v>0</v>
      </c>
      <c r="N437" t="inlineStr">
        <is>
          <t>Zrębka Produkcyjna Inwestycyjna</t>
        </is>
      </c>
      <c r="O437" t="inlineStr">
        <is>
          <t>B</t>
        </is>
      </c>
      <c r="P437" t="inlineStr">
        <is>
          <t>własne</t>
        </is>
      </c>
      <c r="Q437" s="21" t="n">
        <v>10</v>
      </c>
      <c r="T437" s="22" t="n">
        <v>0</v>
      </c>
      <c r="U437" s="21" t="n">
        <v>0</v>
      </c>
      <c r="V437" s="21" t="n">
        <v>0</v>
      </c>
      <c r="W437" t="inlineStr">
        <is>
          <t>Magazyn Zabrze</t>
        </is>
      </c>
      <c r="X437" t="inlineStr">
        <is>
          <t>Magazyn Zabrze</t>
        </is>
      </c>
      <c r="Y437" t="inlineStr">
        <is>
          <t>Rębak z Brąszewic, rębakowy Łukasz Kempski</t>
        </is>
      </c>
      <c r="Z437" t="inlineStr">
        <is>
          <t>Marcin Kwiatkowski</t>
        </is>
      </c>
      <c r="AA437" s="23" t="n">
        <v>46257.86799768519</v>
      </c>
      <c r="AB437" t="inlineStr">
        <is>
          <t>OP-MIGR-00436</t>
        </is>
      </c>
      <c r="AD437" t="inlineStr">
        <is>
          <t>AKTYWNY</t>
        </is>
      </c>
      <c r="AE437" s="20">
        <f>IF(I437="",0,IF(ISNUMBER(SEARCH("MP",UPPER(J437))),I437,IF(ISNUMBER(SEARCH("TON",UPPER(J437))),I437/Przelicznik_MP_tona,IF(ISNUMBER(SEARCH("M3",UPPER(J437))),I437*Przelicznik_M3_MP,IF(ISNUMBER(SEARCH("GJ",UPPER(J437))),I437/Przelicznik_GJ_tona/Przelicznik_MP_tona,I437)))))</f>
        <v/>
      </c>
      <c r="AF437" s="20">
        <f>IF(I437="",0,IF(ISNUMBER(SEARCH("TON",UPPER(J437))),I437,IF(ISNUMBER(SEARCH("GJ",UPPER(J437))),I437/Przelicznik_GJ_tona,AE437*Przelicznik_MP_tona)))</f>
        <v/>
      </c>
      <c r="AG437" s="20">
        <f>AF437*Przelicznik_GJ_tona</f>
        <v/>
      </c>
      <c r="AH437" s="20">
        <f>IF(UPPER(AD437)="SKORYGOWANY",0,IF(OR(UPPER(E437)="TRANSPORT",UPPER(E437)="MM"),0,IF(UPPER(G437)&lt;&gt;"TAK",0,IF(OR(UPPER(E437)="ZAKUP",UPPER(E437)="PRODUKCJA"),AE437,IF(OR(UPPER(E437)="SPRZEDAŻ",UPPER(E437)="ZUŻYCIE"),-AE437,0)))))</f>
        <v/>
      </c>
      <c r="AI437" s="20">
        <f>IF(UPPER(AD437)="SKORYGOWANY",0,IF(OR(UPPER(E437)="TRANSPORT",UPPER(E437)="MM"),0,IF(UPPER(G437)&lt;&gt;"TAK",0,IF(OR(UPPER(E437)="ZAKUP",UPPER(E437)="PRODUKCJA"),AF437,IF(OR(UPPER(E437)="SPRZEDAŻ",UPPER(E437)="ZUŻYCIE"),-AF437,0)))))</f>
        <v/>
      </c>
      <c r="AJ437" s="21">
        <f>IF(UPPER(AD437)="SKORYGOWANY",0,IF(UPPER(E437)="ZAKUP",IF(L437&lt;&gt;"",L437,I437*K437),0))</f>
        <v/>
      </c>
      <c r="AK437" s="21">
        <f>IF(UPPER(AD437)="SKORYGOWANY",0,IF(UPPER(E437)="SPRZEDAŻ",IF(L437&lt;&gt;"",L437,I437*M437),0))</f>
        <v/>
      </c>
      <c r="AL437" s="21">
        <f>AE437*Q437</f>
        <v/>
      </c>
      <c r="AM437">
        <f>IF(R437="","",IF(LOWER(R437)="brak","Brak",IF(OR(ISNUMBER(SEARCH("własn",LOWER(R437))),ISNUMBER(SEARCH("wlasn",LOWER(R437))),ISNUMBER(SEARCH("wojciechowski",LOWER(R437)))),"Własny","Zewnętrzny")))</f>
        <v/>
      </c>
      <c r="AN437" s="24">
        <f>IF(C437="","",YEAR(C437))</f>
        <v/>
      </c>
      <c r="AO437" s="24">
        <f>IF(C437="","",MONTH(C437))</f>
        <v/>
      </c>
      <c r="AP437">
        <f>IF(C437="","",UPPER(TEXT(C437,"mmmm")))</f>
        <v/>
      </c>
      <c r="AQ437">
        <f>IF(C437="","","Q"&amp;ROUNDUP(MONTH(C437)/3,0))</f>
        <v/>
      </c>
    </row>
    <row r="438">
      <c r="A438" s="19" t="n">
        <v>46253</v>
      </c>
      <c r="C438" s="19" t="n">
        <v>46253</v>
      </c>
      <c r="D438" t="inlineStr">
        <is>
          <t>Magazyn Zabrze</t>
        </is>
      </c>
      <c r="E438" t="inlineStr">
        <is>
          <t>ZUŻYCIE</t>
        </is>
      </c>
      <c r="F438" t="inlineStr">
        <is>
          <t>PZ/87</t>
        </is>
      </c>
      <c r="G438" t="inlineStr">
        <is>
          <t>TAK</t>
        </is>
      </c>
      <c r="H438" t="inlineStr">
        <is>
          <t>KZR</t>
        </is>
      </c>
      <c r="I438" s="20" t="n">
        <v>80</v>
      </c>
      <c r="J438" t="inlineStr">
        <is>
          <t>MP</t>
        </is>
      </c>
      <c r="K438" s="21" t="n">
        <v>0</v>
      </c>
      <c r="L438" s="21" t="n">
        <v>0</v>
      </c>
      <c r="M438" s="21" t="n">
        <v>0</v>
      </c>
      <c r="N438" t="inlineStr">
        <is>
          <t>Zrębka Produkcyjna Inwestycyjna</t>
        </is>
      </c>
      <c r="O438" t="inlineStr">
        <is>
          <t>B</t>
        </is>
      </c>
      <c r="P438" t="inlineStr">
        <is>
          <t>własne</t>
        </is>
      </c>
      <c r="Q438" s="21" t="n">
        <v>10</v>
      </c>
      <c r="T438" s="22" t="n">
        <v>0</v>
      </c>
      <c r="U438" s="21" t="n">
        <v>0</v>
      </c>
      <c r="V438" s="21" t="n">
        <v>0</v>
      </c>
      <c r="W438" t="inlineStr">
        <is>
          <t>Magazyn Zabrze</t>
        </is>
      </c>
      <c r="X438" t="inlineStr">
        <is>
          <t>Magazyn Zabrze</t>
        </is>
      </c>
      <c r="Y438" t="inlineStr">
        <is>
          <t>Automatyczne zużycie surowca do produkcji</t>
        </is>
      </c>
      <c r="AA438" s="23" t="n">
        <v>46257.86799768519</v>
      </c>
      <c r="AB438" t="inlineStr">
        <is>
          <t>OP-MIGR-00437</t>
        </is>
      </c>
      <c r="AD438" t="inlineStr">
        <is>
          <t>AKTYWNY</t>
        </is>
      </c>
      <c r="AE438" s="20">
        <f>IF(I438="",0,IF(ISNUMBER(SEARCH("MP",UPPER(J438))),I438,IF(ISNUMBER(SEARCH("TON",UPPER(J438))),I438/Przelicznik_MP_tona,IF(ISNUMBER(SEARCH("M3",UPPER(J438))),I438*Przelicznik_M3_MP,IF(ISNUMBER(SEARCH("GJ",UPPER(J438))),I438/Przelicznik_GJ_tona/Przelicznik_MP_tona,I438)))))</f>
        <v/>
      </c>
      <c r="AF438" s="20">
        <f>IF(I438="",0,IF(ISNUMBER(SEARCH("TON",UPPER(J438))),I438,IF(ISNUMBER(SEARCH("GJ",UPPER(J438))),I438/Przelicznik_GJ_tona,AE438*Przelicznik_MP_tona)))</f>
        <v/>
      </c>
      <c r="AG438" s="20">
        <f>AF438*Przelicznik_GJ_tona</f>
        <v/>
      </c>
      <c r="AH438" s="20">
        <f>IF(UPPER(AD438)="SKORYGOWANY",0,IF(OR(UPPER(E438)="TRANSPORT",UPPER(E438)="MM"),0,IF(UPPER(G438)&lt;&gt;"TAK",0,IF(OR(UPPER(E438)="ZAKUP",UPPER(E438)="PRODUKCJA"),AE438,IF(OR(UPPER(E438)="SPRZEDAŻ",UPPER(E438)="ZUŻYCIE"),-AE438,0)))))</f>
        <v/>
      </c>
      <c r="AI438" s="20">
        <f>IF(UPPER(AD438)="SKORYGOWANY",0,IF(OR(UPPER(E438)="TRANSPORT",UPPER(E438)="MM"),0,IF(UPPER(G438)&lt;&gt;"TAK",0,IF(OR(UPPER(E438)="ZAKUP",UPPER(E438)="PRODUKCJA"),AF438,IF(OR(UPPER(E438)="SPRZEDAŻ",UPPER(E438)="ZUŻYCIE"),-AF438,0)))))</f>
        <v/>
      </c>
      <c r="AJ438" s="21">
        <f>IF(UPPER(AD438)="SKORYGOWANY",0,IF(UPPER(E438)="ZAKUP",IF(L438&lt;&gt;"",L438,I438*K438),0))</f>
        <v/>
      </c>
      <c r="AK438" s="21">
        <f>IF(UPPER(AD438)="SKORYGOWANY",0,IF(UPPER(E438)="SPRZEDAŻ",IF(L438&lt;&gt;"",L438,I438*M438),0))</f>
        <v/>
      </c>
      <c r="AL438" s="21">
        <f>AE438*Q438</f>
        <v/>
      </c>
      <c r="AM438">
        <f>IF(R438="","",IF(LOWER(R438)="brak","Brak",IF(OR(ISNUMBER(SEARCH("własn",LOWER(R438))),ISNUMBER(SEARCH("wlasn",LOWER(R438))),ISNUMBER(SEARCH("wojciechowski",LOWER(R438)))),"Własny","Zewnętrzny")))</f>
        <v/>
      </c>
      <c r="AN438" s="24">
        <f>IF(C438="","",YEAR(C438))</f>
        <v/>
      </c>
      <c r="AO438" s="24">
        <f>IF(C438="","",MONTH(C438))</f>
        <v/>
      </c>
      <c r="AP438">
        <f>IF(C438="","",UPPER(TEXT(C438,"mmmm")))</f>
        <v/>
      </c>
      <c r="AQ438">
        <f>IF(C438="","","Q"&amp;ROUNDUP(MONTH(C438)/3,0))</f>
        <v/>
      </c>
    </row>
    <row r="439">
      <c r="A439" s="19" t="n">
        <v>46253</v>
      </c>
      <c r="B439" t="inlineStr">
        <is>
          <t>Ściborzyce</t>
        </is>
      </c>
      <c r="C439" s="19" t="n">
        <v>46253</v>
      </c>
      <c r="D439" t="inlineStr">
        <is>
          <t>Magazyn Zabrze</t>
        </is>
      </c>
      <c r="E439" t="inlineStr">
        <is>
          <t>ZAKUP</t>
        </is>
      </c>
      <c r="F439" t="inlineStr">
        <is>
          <t>PZ/87</t>
        </is>
      </c>
      <c r="G439" t="inlineStr">
        <is>
          <t>TAK</t>
        </is>
      </c>
      <c r="H439" t="inlineStr">
        <is>
          <t>KZR</t>
        </is>
      </c>
      <c r="I439" s="20" t="n">
        <v>80</v>
      </c>
      <c r="J439" t="inlineStr">
        <is>
          <t>MP</t>
        </is>
      </c>
      <c r="K439" s="21" t="n">
        <v>0</v>
      </c>
      <c r="L439" s="21" t="n">
        <v>0</v>
      </c>
      <c r="M439" s="21" t="n">
        <v>0</v>
      </c>
      <c r="N439" t="inlineStr">
        <is>
          <t>Zrębka Produkcyjna Inwestycyjna</t>
        </is>
      </c>
      <c r="O439" t="inlineStr">
        <is>
          <t>B</t>
        </is>
      </c>
      <c r="Q439" s="21" t="n">
        <v>0</v>
      </c>
      <c r="R439" t="inlineStr">
        <is>
          <t>własny (Adrian Wojciechowski)</t>
        </is>
      </c>
      <c r="S439" t="inlineStr">
        <is>
          <t>SK 5J756</t>
        </is>
      </c>
      <c r="T439" s="22" t="n">
        <v>210</v>
      </c>
      <c r="U439" s="21" t="n">
        <v>5</v>
      </c>
      <c r="V439" s="21" t="n">
        <v>1050</v>
      </c>
      <c r="W439" t="inlineStr">
        <is>
          <t>Magazyn Zabrze</t>
        </is>
      </c>
      <c r="Y439" t="inlineStr">
        <is>
          <t>Kierowca z Brąszewic</t>
        </is>
      </c>
      <c r="Z439" t="inlineStr">
        <is>
          <t>Marcin Kwiatkowski</t>
        </is>
      </c>
      <c r="AA439" s="23" t="n">
        <v>46257.86914351852</v>
      </c>
      <c r="AB439" t="inlineStr">
        <is>
          <t>OP-MIGR-00438</t>
        </is>
      </c>
      <c r="AD439" t="inlineStr">
        <is>
          <t>AKTYWNY</t>
        </is>
      </c>
      <c r="AE439" s="20">
        <f>IF(I439="",0,IF(ISNUMBER(SEARCH("MP",UPPER(J439))),I439,IF(ISNUMBER(SEARCH("TON",UPPER(J439))),I439/Przelicznik_MP_tona,IF(ISNUMBER(SEARCH("M3",UPPER(J439))),I439*Przelicznik_M3_MP,IF(ISNUMBER(SEARCH("GJ",UPPER(J439))),I439/Przelicznik_GJ_tona/Przelicznik_MP_tona,I439)))))</f>
        <v/>
      </c>
      <c r="AF439" s="20">
        <f>IF(I439="",0,IF(ISNUMBER(SEARCH("TON",UPPER(J439))),I439,IF(ISNUMBER(SEARCH("GJ",UPPER(J439))),I439/Przelicznik_GJ_tona,AE439*Przelicznik_MP_tona)))</f>
        <v/>
      </c>
      <c r="AG439" s="20">
        <f>AF439*Przelicznik_GJ_tona</f>
        <v/>
      </c>
      <c r="AH439" s="20">
        <f>IF(UPPER(AD439)="SKORYGOWANY",0,IF(OR(UPPER(E439)="TRANSPORT",UPPER(E439)="MM"),0,IF(UPPER(G439)&lt;&gt;"TAK",0,IF(OR(UPPER(E439)="ZAKUP",UPPER(E439)="PRODUKCJA"),AE439,IF(OR(UPPER(E439)="SPRZEDAŻ",UPPER(E439)="ZUŻYCIE"),-AE439,0)))))</f>
        <v/>
      </c>
      <c r="AI439" s="20">
        <f>IF(UPPER(AD439)="SKORYGOWANY",0,IF(OR(UPPER(E439)="TRANSPORT",UPPER(E439)="MM"),0,IF(UPPER(G439)&lt;&gt;"TAK",0,IF(OR(UPPER(E439)="ZAKUP",UPPER(E439)="PRODUKCJA"),AF439,IF(OR(UPPER(E439)="SPRZEDAŻ",UPPER(E439)="ZUŻYCIE"),-AF439,0)))))</f>
        <v/>
      </c>
      <c r="AJ439" s="21">
        <f>IF(UPPER(AD439)="SKORYGOWANY",0,IF(UPPER(E439)="ZAKUP",IF(L439&lt;&gt;"",L439,I439*K439),0))</f>
        <v/>
      </c>
      <c r="AK439" s="21">
        <f>IF(UPPER(AD439)="SKORYGOWANY",0,IF(UPPER(E439)="SPRZEDAŻ",IF(L439&lt;&gt;"",L439,I439*M439),0))</f>
        <v/>
      </c>
      <c r="AL439" s="21">
        <f>AE439*Q439</f>
        <v/>
      </c>
      <c r="AM439">
        <f>IF(R439="","",IF(LOWER(R439)="brak","Brak",IF(OR(ISNUMBER(SEARCH("własn",LOWER(R439))),ISNUMBER(SEARCH("wlasn",LOWER(R439))),ISNUMBER(SEARCH("wojciechowski",LOWER(R439)))),"Własny","Zewnętrzny")))</f>
        <v/>
      </c>
      <c r="AN439" s="24">
        <f>IF(C439="","",YEAR(C439))</f>
        <v/>
      </c>
      <c r="AO439" s="24">
        <f>IF(C439="","",MONTH(C439))</f>
        <v/>
      </c>
      <c r="AP439">
        <f>IF(C439="","",UPPER(TEXT(C439,"mmmm")))</f>
        <v/>
      </c>
      <c r="AQ439">
        <f>IF(C439="","","Q"&amp;ROUNDUP(MONTH(C439)/3,0))</f>
        <v/>
      </c>
    </row>
    <row r="440">
      <c r="A440" s="19" t="n">
        <v>46253</v>
      </c>
      <c r="C440" s="19" t="n">
        <v>46253</v>
      </c>
      <c r="D440" t="inlineStr">
        <is>
          <t>Grandpol</t>
        </is>
      </c>
      <c r="E440" t="inlineStr">
        <is>
          <t>ZAKUP</t>
        </is>
      </c>
      <c r="F440" t="inlineStr">
        <is>
          <t>PZ/88</t>
        </is>
      </c>
      <c r="G440" t="inlineStr">
        <is>
          <t>NIE</t>
        </is>
      </c>
      <c r="H440" t="inlineStr">
        <is>
          <t>KZR</t>
        </is>
      </c>
      <c r="I440" s="20" t="n">
        <v>65</v>
      </c>
      <c r="J440" t="inlineStr">
        <is>
          <t>MP</t>
        </is>
      </c>
      <c r="K440" s="21" t="n">
        <v>45</v>
      </c>
      <c r="L440" s="21" t="n">
        <v>2925</v>
      </c>
      <c r="M440" s="21" t="n">
        <v>0</v>
      </c>
      <c r="N440" t="inlineStr">
        <is>
          <t>Drewno przemysłowe z wycinek inwest.</t>
        </is>
      </c>
      <c r="Q440" s="21" t="n">
        <v>0</v>
      </c>
      <c r="T440" s="22" t="n">
        <v>0</v>
      </c>
      <c r="U440" s="21" t="n">
        <v>0</v>
      </c>
      <c r="V440" s="21" t="n">
        <v>0</v>
      </c>
      <c r="W440" t="inlineStr">
        <is>
          <t>Magazyn Zabrze</t>
        </is>
      </c>
      <c r="Y440" t="inlineStr">
        <is>
          <t>Waga: 17 740 kg</t>
        </is>
      </c>
      <c r="Z440" t="inlineStr">
        <is>
          <t>Marcin Kwiatkowski</t>
        </is>
      </c>
      <c r="AA440" s="23" t="n">
        <v>46257.8708912037</v>
      </c>
      <c r="AB440" t="inlineStr">
        <is>
          <t>OP-MIGR-00439</t>
        </is>
      </c>
      <c r="AD440" t="inlineStr">
        <is>
          <t>AKTYWNY</t>
        </is>
      </c>
      <c r="AE440" s="20">
        <f>IF(I440="",0,IF(ISNUMBER(SEARCH("MP",UPPER(J440))),I440,IF(ISNUMBER(SEARCH("TON",UPPER(J440))),I440/Przelicznik_MP_tona,IF(ISNUMBER(SEARCH("M3",UPPER(J440))),I440*Przelicznik_M3_MP,IF(ISNUMBER(SEARCH("GJ",UPPER(J440))),I440/Przelicznik_GJ_tona/Przelicznik_MP_tona,I440)))))</f>
        <v/>
      </c>
      <c r="AF440" s="20">
        <f>IF(I440="",0,IF(ISNUMBER(SEARCH("TON",UPPER(J440))),I440,IF(ISNUMBER(SEARCH("GJ",UPPER(J440))),I440/Przelicznik_GJ_tona,AE440*Przelicznik_MP_tona)))</f>
        <v/>
      </c>
      <c r="AG440" s="20">
        <f>AF440*Przelicznik_GJ_tona</f>
        <v/>
      </c>
      <c r="AH440" s="20">
        <f>IF(UPPER(AD440)="SKORYGOWANY",0,IF(OR(UPPER(E440)="TRANSPORT",UPPER(E440)="MM"),0,IF(UPPER(G440)&lt;&gt;"TAK",0,IF(OR(UPPER(E440)="ZAKUP",UPPER(E440)="PRODUKCJA"),AE440,IF(OR(UPPER(E440)="SPRZEDAŻ",UPPER(E440)="ZUŻYCIE"),-AE440,0)))))</f>
        <v/>
      </c>
      <c r="AI440" s="20">
        <f>IF(UPPER(AD440)="SKORYGOWANY",0,IF(OR(UPPER(E440)="TRANSPORT",UPPER(E440)="MM"),0,IF(UPPER(G440)&lt;&gt;"TAK",0,IF(OR(UPPER(E440)="ZAKUP",UPPER(E440)="PRODUKCJA"),AF440,IF(OR(UPPER(E440)="SPRZEDAŻ",UPPER(E440)="ZUŻYCIE"),-AF440,0)))))</f>
        <v/>
      </c>
      <c r="AJ440" s="21">
        <f>IF(UPPER(AD440)="SKORYGOWANY",0,IF(UPPER(E440)="ZAKUP",IF(L440&lt;&gt;"",L440,I440*K440),0))</f>
        <v/>
      </c>
      <c r="AK440" s="21">
        <f>IF(UPPER(AD440)="SKORYGOWANY",0,IF(UPPER(E440)="SPRZEDAŻ",IF(L440&lt;&gt;"",L440,I440*M440),0))</f>
        <v/>
      </c>
      <c r="AL440" s="21">
        <f>AE440*Q440</f>
        <v/>
      </c>
      <c r="AM440">
        <f>IF(R440="","",IF(LOWER(R440)="brak","Brak",IF(OR(ISNUMBER(SEARCH("własn",LOWER(R440))),ISNUMBER(SEARCH("wlasn",LOWER(R440))),ISNUMBER(SEARCH("wojciechowski",LOWER(R440)))),"Własny","Zewnętrzny")))</f>
        <v/>
      </c>
      <c r="AN440" s="24">
        <f>IF(C440="","",YEAR(C440))</f>
        <v/>
      </c>
      <c r="AO440" s="24">
        <f>IF(C440="","",MONTH(C440))</f>
        <v/>
      </c>
      <c r="AP440">
        <f>IF(C440="","",UPPER(TEXT(C440,"mmmm")))</f>
        <v/>
      </c>
      <c r="AQ440">
        <f>IF(C440="","","Q"&amp;ROUNDUP(MONTH(C440)/3,0))</f>
        <v/>
      </c>
    </row>
    <row r="441">
      <c r="A441" s="19" t="n">
        <v>46253</v>
      </c>
      <c r="C441" s="19" t="n">
        <v>46253</v>
      </c>
      <c r="D441" t="inlineStr">
        <is>
          <t>Magazyn Zabrze</t>
        </is>
      </c>
      <c r="E441" t="inlineStr">
        <is>
          <t>PRODUKCJA</t>
        </is>
      </c>
      <c r="F441" t="inlineStr">
        <is>
          <t>PZ/88</t>
        </is>
      </c>
      <c r="G441" t="inlineStr">
        <is>
          <t>TAK</t>
        </is>
      </c>
      <c r="H441" t="inlineStr">
        <is>
          <t>KZR</t>
        </is>
      </c>
      <c r="I441" s="20" t="n">
        <v>65</v>
      </c>
      <c r="J441" t="inlineStr">
        <is>
          <t>MP</t>
        </is>
      </c>
      <c r="K441" s="21" t="n">
        <v>0</v>
      </c>
      <c r="L441" s="21" t="n">
        <v>0</v>
      </c>
      <c r="M441" s="21" t="n">
        <v>0</v>
      </c>
      <c r="N441" t="inlineStr">
        <is>
          <t>Zrębka Produkcyjna Inwestycyjna</t>
        </is>
      </c>
      <c r="O441" t="inlineStr">
        <is>
          <t>B</t>
        </is>
      </c>
      <c r="P441" t="inlineStr">
        <is>
          <t>własne</t>
        </is>
      </c>
      <c r="Q441" s="21" t="n">
        <v>10</v>
      </c>
      <c r="T441" s="22" t="n">
        <v>0</v>
      </c>
      <c r="U441" s="21" t="n">
        <v>0</v>
      </c>
      <c r="V441" s="21" t="n">
        <v>0</v>
      </c>
      <c r="W441" t="inlineStr">
        <is>
          <t>Magazyn Zabrze</t>
        </is>
      </c>
      <c r="X441" t="inlineStr">
        <is>
          <t>Magazyn Zabrze</t>
        </is>
      </c>
      <c r="Y441" t="inlineStr">
        <is>
          <t>Rębak z Brąszewic, rębakowy Łukasz Kempski</t>
        </is>
      </c>
      <c r="Z441" t="inlineStr">
        <is>
          <t>Marcin Kwiatkowski</t>
        </is>
      </c>
      <c r="AA441" s="23" t="n">
        <v>46257.8721412037</v>
      </c>
      <c r="AB441" t="inlineStr">
        <is>
          <t>OP-MIGR-00440</t>
        </is>
      </c>
      <c r="AD441" t="inlineStr">
        <is>
          <t>AKTYWNY</t>
        </is>
      </c>
      <c r="AE441" s="20">
        <f>IF(I441="",0,IF(ISNUMBER(SEARCH("MP",UPPER(J441))),I441,IF(ISNUMBER(SEARCH("TON",UPPER(J441))),I441/Przelicznik_MP_tona,IF(ISNUMBER(SEARCH("M3",UPPER(J441))),I441*Przelicznik_M3_MP,IF(ISNUMBER(SEARCH("GJ",UPPER(J441))),I441/Przelicznik_GJ_tona/Przelicznik_MP_tona,I441)))))</f>
        <v/>
      </c>
      <c r="AF441" s="20">
        <f>IF(I441="",0,IF(ISNUMBER(SEARCH("TON",UPPER(J441))),I441,IF(ISNUMBER(SEARCH("GJ",UPPER(J441))),I441/Przelicznik_GJ_tona,AE441*Przelicznik_MP_tona)))</f>
        <v/>
      </c>
      <c r="AG441" s="20">
        <f>AF441*Przelicznik_GJ_tona</f>
        <v/>
      </c>
      <c r="AH441" s="20">
        <f>IF(UPPER(AD441)="SKORYGOWANY",0,IF(OR(UPPER(E441)="TRANSPORT",UPPER(E441)="MM"),0,IF(UPPER(G441)&lt;&gt;"TAK",0,IF(OR(UPPER(E441)="ZAKUP",UPPER(E441)="PRODUKCJA"),AE441,IF(OR(UPPER(E441)="SPRZEDAŻ",UPPER(E441)="ZUŻYCIE"),-AE441,0)))))</f>
        <v/>
      </c>
      <c r="AI441" s="20">
        <f>IF(UPPER(AD441)="SKORYGOWANY",0,IF(OR(UPPER(E441)="TRANSPORT",UPPER(E441)="MM"),0,IF(UPPER(G441)&lt;&gt;"TAK",0,IF(OR(UPPER(E441)="ZAKUP",UPPER(E441)="PRODUKCJA"),AF441,IF(OR(UPPER(E441)="SPRZEDAŻ",UPPER(E441)="ZUŻYCIE"),-AF441,0)))))</f>
        <v/>
      </c>
      <c r="AJ441" s="21">
        <f>IF(UPPER(AD441)="SKORYGOWANY",0,IF(UPPER(E441)="ZAKUP",IF(L441&lt;&gt;"",L441,I441*K441),0))</f>
        <v/>
      </c>
      <c r="AK441" s="21">
        <f>IF(UPPER(AD441)="SKORYGOWANY",0,IF(UPPER(E441)="SPRZEDAŻ",IF(L441&lt;&gt;"",L441,I441*M441),0))</f>
        <v/>
      </c>
      <c r="AL441" s="21">
        <f>AE441*Q441</f>
        <v/>
      </c>
      <c r="AM441">
        <f>IF(R441="","",IF(LOWER(R441)="brak","Brak",IF(OR(ISNUMBER(SEARCH("własn",LOWER(R441))),ISNUMBER(SEARCH("wlasn",LOWER(R441))),ISNUMBER(SEARCH("wojciechowski",LOWER(R441)))),"Własny","Zewnętrzny")))</f>
        <v/>
      </c>
      <c r="AN441" s="24">
        <f>IF(C441="","",YEAR(C441))</f>
        <v/>
      </c>
      <c r="AO441" s="24">
        <f>IF(C441="","",MONTH(C441))</f>
        <v/>
      </c>
      <c r="AP441">
        <f>IF(C441="","",UPPER(TEXT(C441,"mmmm")))</f>
        <v/>
      </c>
      <c r="AQ441">
        <f>IF(C441="","","Q"&amp;ROUNDUP(MONTH(C441)/3,0))</f>
        <v/>
      </c>
    </row>
    <row r="442">
      <c r="A442" s="19" t="n">
        <v>46253</v>
      </c>
      <c r="C442" s="19" t="n">
        <v>46253</v>
      </c>
      <c r="D442" t="inlineStr">
        <is>
          <t>Magazyn Zabrze</t>
        </is>
      </c>
      <c r="E442" t="inlineStr">
        <is>
          <t>ZUŻYCIE</t>
        </is>
      </c>
      <c r="F442" t="inlineStr">
        <is>
          <t>PZ/88</t>
        </is>
      </c>
      <c r="G442" t="inlineStr">
        <is>
          <t>TAK</t>
        </is>
      </c>
      <c r="H442" t="inlineStr">
        <is>
          <t>KZR</t>
        </is>
      </c>
      <c r="I442" s="20" t="n">
        <v>65</v>
      </c>
      <c r="J442" t="inlineStr">
        <is>
          <t>MP</t>
        </is>
      </c>
      <c r="K442" s="21" t="n">
        <v>0</v>
      </c>
      <c r="L442" s="21" t="n">
        <v>0</v>
      </c>
      <c r="M442" s="21" t="n">
        <v>0</v>
      </c>
      <c r="N442" t="inlineStr">
        <is>
          <t>Zrębka Produkcyjna Inwestycyjna</t>
        </is>
      </c>
      <c r="O442" t="inlineStr">
        <is>
          <t>B</t>
        </is>
      </c>
      <c r="P442" t="inlineStr">
        <is>
          <t>własne</t>
        </is>
      </c>
      <c r="Q442" s="21" t="n">
        <v>10</v>
      </c>
      <c r="T442" s="22" t="n">
        <v>0</v>
      </c>
      <c r="U442" s="21" t="n">
        <v>0</v>
      </c>
      <c r="V442" s="21" t="n">
        <v>0</v>
      </c>
      <c r="W442" t="inlineStr">
        <is>
          <t>Magazyn Zabrze</t>
        </is>
      </c>
      <c r="X442" t="inlineStr">
        <is>
          <t>Magazyn Zabrze</t>
        </is>
      </c>
      <c r="Y442" t="inlineStr">
        <is>
          <t>Automatyczne zużycie surowca do produkcji</t>
        </is>
      </c>
      <c r="AA442" s="23" t="n">
        <v>46257.8721412037</v>
      </c>
      <c r="AB442" t="inlineStr">
        <is>
          <t>OP-MIGR-00441</t>
        </is>
      </c>
      <c r="AD442" t="inlineStr">
        <is>
          <t>AKTYWNY</t>
        </is>
      </c>
      <c r="AE442" s="20">
        <f>IF(I442="",0,IF(ISNUMBER(SEARCH("MP",UPPER(J442))),I442,IF(ISNUMBER(SEARCH("TON",UPPER(J442))),I442/Przelicznik_MP_tona,IF(ISNUMBER(SEARCH("M3",UPPER(J442))),I442*Przelicznik_M3_MP,IF(ISNUMBER(SEARCH("GJ",UPPER(J442))),I442/Przelicznik_GJ_tona/Przelicznik_MP_tona,I442)))))</f>
        <v/>
      </c>
      <c r="AF442" s="20">
        <f>IF(I442="",0,IF(ISNUMBER(SEARCH("TON",UPPER(J442))),I442,IF(ISNUMBER(SEARCH("GJ",UPPER(J442))),I442/Przelicznik_GJ_tona,AE442*Przelicznik_MP_tona)))</f>
        <v/>
      </c>
      <c r="AG442" s="20">
        <f>AF442*Przelicznik_GJ_tona</f>
        <v/>
      </c>
      <c r="AH442" s="20">
        <f>IF(UPPER(AD442)="SKORYGOWANY",0,IF(OR(UPPER(E442)="TRANSPORT",UPPER(E442)="MM"),0,IF(UPPER(G442)&lt;&gt;"TAK",0,IF(OR(UPPER(E442)="ZAKUP",UPPER(E442)="PRODUKCJA"),AE442,IF(OR(UPPER(E442)="SPRZEDAŻ",UPPER(E442)="ZUŻYCIE"),-AE442,0)))))</f>
        <v/>
      </c>
      <c r="AI442" s="20">
        <f>IF(UPPER(AD442)="SKORYGOWANY",0,IF(OR(UPPER(E442)="TRANSPORT",UPPER(E442)="MM"),0,IF(UPPER(G442)&lt;&gt;"TAK",0,IF(OR(UPPER(E442)="ZAKUP",UPPER(E442)="PRODUKCJA"),AF442,IF(OR(UPPER(E442)="SPRZEDAŻ",UPPER(E442)="ZUŻYCIE"),-AF442,0)))))</f>
        <v/>
      </c>
      <c r="AJ442" s="21">
        <f>IF(UPPER(AD442)="SKORYGOWANY",0,IF(UPPER(E442)="ZAKUP",IF(L442&lt;&gt;"",L442,I442*K442),0))</f>
        <v/>
      </c>
      <c r="AK442" s="21">
        <f>IF(UPPER(AD442)="SKORYGOWANY",0,IF(UPPER(E442)="SPRZEDAŻ",IF(L442&lt;&gt;"",L442,I442*M442),0))</f>
        <v/>
      </c>
      <c r="AL442" s="21">
        <f>AE442*Q442</f>
        <v/>
      </c>
      <c r="AM442">
        <f>IF(R442="","",IF(LOWER(R442)="brak","Brak",IF(OR(ISNUMBER(SEARCH("własn",LOWER(R442))),ISNUMBER(SEARCH("wlasn",LOWER(R442))),ISNUMBER(SEARCH("wojciechowski",LOWER(R442)))),"Własny","Zewnętrzny")))</f>
        <v/>
      </c>
      <c r="AN442" s="24">
        <f>IF(C442="","",YEAR(C442))</f>
        <v/>
      </c>
      <c r="AO442" s="24">
        <f>IF(C442="","",MONTH(C442))</f>
        <v/>
      </c>
      <c r="AP442">
        <f>IF(C442="","",UPPER(TEXT(C442,"mmmm")))</f>
        <v/>
      </c>
      <c r="AQ442">
        <f>IF(C442="","","Q"&amp;ROUNDUP(MONTH(C442)/3,0))</f>
        <v/>
      </c>
    </row>
    <row r="443">
      <c r="A443" s="19" t="n">
        <v>46253</v>
      </c>
      <c r="B443" t="inlineStr">
        <is>
          <t>Ściborzyce</t>
        </is>
      </c>
      <c r="C443" s="19" t="n">
        <v>46253</v>
      </c>
      <c r="D443" t="inlineStr">
        <is>
          <t>Magazyn Zabrze</t>
        </is>
      </c>
      <c r="E443" t="inlineStr">
        <is>
          <t>ZAKUP</t>
        </is>
      </c>
      <c r="F443" t="inlineStr">
        <is>
          <t>PZ/88</t>
        </is>
      </c>
      <c r="G443" t="inlineStr">
        <is>
          <t>TAK</t>
        </is>
      </c>
      <c r="H443" t="inlineStr">
        <is>
          <t>KZR</t>
        </is>
      </c>
      <c r="I443" s="20" t="n">
        <v>65</v>
      </c>
      <c r="J443" t="inlineStr">
        <is>
          <t>MP</t>
        </is>
      </c>
      <c r="K443" s="21" t="n">
        <v>0</v>
      </c>
      <c r="L443" s="21" t="n">
        <v>0</v>
      </c>
      <c r="M443" s="21" t="n">
        <v>0</v>
      </c>
      <c r="N443" t="inlineStr">
        <is>
          <t>Zrębka Produkcyjna Inwestycyjna</t>
        </is>
      </c>
      <c r="O443" t="inlineStr">
        <is>
          <t>B</t>
        </is>
      </c>
      <c r="Q443" s="21" t="n">
        <v>0</v>
      </c>
      <c r="R443" t="inlineStr">
        <is>
          <t>własny (Łukasz Wojciechowski)</t>
        </is>
      </c>
      <c r="S443" t="inlineStr">
        <is>
          <t>SK 7J885</t>
        </is>
      </c>
      <c r="T443" s="22" t="n">
        <v>210</v>
      </c>
      <c r="U443" s="21" t="n">
        <v>5</v>
      </c>
      <c r="V443" s="21" t="n">
        <v>1050</v>
      </c>
      <c r="W443" t="inlineStr">
        <is>
          <t>Magazyn Zabrze</t>
        </is>
      </c>
      <c r="Y443" t="inlineStr">
        <is>
          <t>Kierowca z Brąszewic, jechał pojazdem Tomasza Kretka</t>
        </is>
      </c>
      <c r="Z443" t="inlineStr">
        <is>
          <t>Marcin Kwiatkowski</t>
        </is>
      </c>
      <c r="AA443" s="23" t="n">
        <v>46257.87373842593</v>
      </c>
      <c r="AB443" t="inlineStr">
        <is>
          <t>OP-MIGR-00442</t>
        </is>
      </c>
      <c r="AD443" t="inlineStr">
        <is>
          <t>AKTYWNY</t>
        </is>
      </c>
      <c r="AE443" s="20">
        <f>IF(I443="",0,IF(ISNUMBER(SEARCH("MP",UPPER(J443))),I443,IF(ISNUMBER(SEARCH("TON",UPPER(J443))),I443/Przelicznik_MP_tona,IF(ISNUMBER(SEARCH("M3",UPPER(J443))),I443*Przelicznik_M3_MP,IF(ISNUMBER(SEARCH("GJ",UPPER(J443))),I443/Przelicznik_GJ_tona/Przelicznik_MP_tona,I443)))))</f>
        <v/>
      </c>
      <c r="AF443" s="20">
        <f>IF(I443="",0,IF(ISNUMBER(SEARCH("TON",UPPER(J443))),I443,IF(ISNUMBER(SEARCH("GJ",UPPER(J443))),I443/Przelicznik_GJ_tona,AE443*Przelicznik_MP_tona)))</f>
        <v/>
      </c>
      <c r="AG443" s="20">
        <f>AF443*Przelicznik_GJ_tona</f>
        <v/>
      </c>
      <c r="AH443" s="20">
        <f>IF(UPPER(AD443)="SKORYGOWANY",0,IF(OR(UPPER(E443)="TRANSPORT",UPPER(E443)="MM"),0,IF(UPPER(G443)&lt;&gt;"TAK",0,IF(OR(UPPER(E443)="ZAKUP",UPPER(E443)="PRODUKCJA"),AE443,IF(OR(UPPER(E443)="SPRZEDAŻ",UPPER(E443)="ZUŻYCIE"),-AE443,0)))))</f>
        <v/>
      </c>
      <c r="AI443" s="20">
        <f>IF(UPPER(AD443)="SKORYGOWANY",0,IF(OR(UPPER(E443)="TRANSPORT",UPPER(E443)="MM"),0,IF(UPPER(G443)&lt;&gt;"TAK",0,IF(OR(UPPER(E443)="ZAKUP",UPPER(E443)="PRODUKCJA"),AF443,IF(OR(UPPER(E443)="SPRZEDAŻ",UPPER(E443)="ZUŻYCIE"),-AF443,0)))))</f>
        <v/>
      </c>
      <c r="AJ443" s="21">
        <f>IF(UPPER(AD443)="SKORYGOWANY",0,IF(UPPER(E443)="ZAKUP",IF(L443&lt;&gt;"",L443,I443*K443),0))</f>
        <v/>
      </c>
      <c r="AK443" s="21">
        <f>IF(UPPER(AD443)="SKORYGOWANY",0,IF(UPPER(E443)="SPRZEDAŻ",IF(L443&lt;&gt;"",L443,I443*M443),0))</f>
        <v/>
      </c>
      <c r="AL443" s="21">
        <f>AE443*Q443</f>
        <v/>
      </c>
      <c r="AM443">
        <f>IF(R443="","",IF(LOWER(R443)="brak","Brak",IF(OR(ISNUMBER(SEARCH("własn",LOWER(R443))),ISNUMBER(SEARCH("wlasn",LOWER(R443))),ISNUMBER(SEARCH("wojciechowski",LOWER(R443)))),"Własny","Zewnętrzny")))</f>
        <v/>
      </c>
      <c r="AN443" s="24">
        <f>IF(C443="","",YEAR(C443))</f>
        <v/>
      </c>
      <c r="AO443" s="24">
        <f>IF(C443="","",MONTH(C443))</f>
        <v/>
      </c>
      <c r="AP443">
        <f>IF(C443="","",UPPER(TEXT(C443,"mmmm")))</f>
        <v/>
      </c>
      <c r="AQ443">
        <f>IF(C443="","","Q"&amp;ROUNDUP(MONTH(C443)/3,0))</f>
        <v/>
      </c>
    </row>
    <row r="444">
      <c r="A444" s="19" t="n">
        <v>46253</v>
      </c>
      <c r="C444" s="19" t="n">
        <v>46253</v>
      </c>
      <c r="D444" t="inlineStr">
        <is>
          <t>Grandpol</t>
        </is>
      </c>
      <c r="E444" t="inlineStr">
        <is>
          <t>ZAKUP</t>
        </is>
      </c>
      <c r="F444" t="inlineStr">
        <is>
          <t>PZ/89</t>
        </is>
      </c>
      <c r="G444" t="inlineStr">
        <is>
          <t>NIE</t>
        </is>
      </c>
      <c r="H444" t="inlineStr">
        <is>
          <t>KZR</t>
        </is>
      </c>
      <c r="I444" s="20" t="n">
        <v>85</v>
      </c>
      <c r="J444" t="inlineStr">
        <is>
          <t>MP</t>
        </is>
      </c>
      <c r="K444" s="21" t="n">
        <v>45</v>
      </c>
      <c r="L444" s="21" t="n">
        <v>3825</v>
      </c>
      <c r="M444" s="21" t="n">
        <v>0</v>
      </c>
      <c r="N444" t="inlineStr">
        <is>
          <t>Drewno przemysłowe z wycinek inwest.</t>
        </is>
      </c>
      <c r="Q444" s="21" t="n">
        <v>0</v>
      </c>
      <c r="T444" s="22" t="n">
        <v>0</v>
      </c>
      <c r="U444" s="21" t="n">
        <v>0</v>
      </c>
      <c r="V444" s="21" t="n">
        <v>0</v>
      </c>
      <c r="W444" t="inlineStr">
        <is>
          <t>Magazyn Zabrze</t>
        </is>
      </c>
      <c r="Y444" t="inlineStr">
        <is>
          <t>Waga: 24 500 kg</t>
        </is>
      </c>
      <c r="Z444" t="inlineStr">
        <is>
          <t>Marcin Kwiatkowski</t>
        </is>
      </c>
      <c r="AA444" s="23" t="n">
        <v>46257.8768287037</v>
      </c>
      <c r="AB444" t="inlineStr">
        <is>
          <t>OP-MIGR-00443</t>
        </is>
      </c>
      <c r="AD444" t="inlineStr">
        <is>
          <t>AKTYWNY</t>
        </is>
      </c>
      <c r="AE444" s="20">
        <f>IF(I444="",0,IF(ISNUMBER(SEARCH("MP",UPPER(J444))),I444,IF(ISNUMBER(SEARCH("TON",UPPER(J444))),I444/Przelicznik_MP_tona,IF(ISNUMBER(SEARCH("M3",UPPER(J444))),I444*Przelicznik_M3_MP,IF(ISNUMBER(SEARCH("GJ",UPPER(J444))),I444/Przelicznik_GJ_tona/Przelicznik_MP_tona,I444)))))</f>
        <v/>
      </c>
      <c r="AF444" s="20">
        <f>IF(I444="",0,IF(ISNUMBER(SEARCH("TON",UPPER(J444))),I444,IF(ISNUMBER(SEARCH("GJ",UPPER(J444))),I444/Przelicznik_GJ_tona,AE444*Przelicznik_MP_tona)))</f>
        <v/>
      </c>
      <c r="AG444" s="20">
        <f>AF444*Przelicznik_GJ_tona</f>
        <v/>
      </c>
      <c r="AH444" s="20">
        <f>IF(UPPER(AD444)="SKORYGOWANY",0,IF(OR(UPPER(E444)="TRANSPORT",UPPER(E444)="MM"),0,IF(UPPER(G444)&lt;&gt;"TAK",0,IF(OR(UPPER(E444)="ZAKUP",UPPER(E444)="PRODUKCJA"),AE444,IF(OR(UPPER(E444)="SPRZEDAŻ",UPPER(E444)="ZUŻYCIE"),-AE444,0)))))</f>
        <v/>
      </c>
      <c r="AI444" s="20">
        <f>IF(UPPER(AD444)="SKORYGOWANY",0,IF(OR(UPPER(E444)="TRANSPORT",UPPER(E444)="MM"),0,IF(UPPER(G444)&lt;&gt;"TAK",0,IF(OR(UPPER(E444)="ZAKUP",UPPER(E444)="PRODUKCJA"),AF444,IF(OR(UPPER(E444)="SPRZEDAŻ",UPPER(E444)="ZUŻYCIE"),-AF444,0)))))</f>
        <v/>
      </c>
      <c r="AJ444" s="21">
        <f>IF(UPPER(AD444)="SKORYGOWANY",0,IF(UPPER(E444)="ZAKUP",IF(L444&lt;&gt;"",L444,I444*K444),0))</f>
        <v/>
      </c>
      <c r="AK444" s="21">
        <f>IF(UPPER(AD444)="SKORYGOWANY",0,IF(UPPER(E444)="SPRZEDAŻ",IF(L444&lt;&gt;"",L444,I444*M444),0))</f>
        <v/>
      </c>
      <c r="AL444" s="21">
        <f>AE444*Q444</f>
        <v/>
      </c>
      <c r="AM444">
        <f>IF(R444="","",IF(LOWER(R444)="brak","Brak",IF(OR(ISNUMBER(SEARCH("własn",LOWER(R444))),ISNUMBER(SEARCH("wlasn",LOWER(R444))),ISNUMBER(SEARCH("wojciechowski",LOWER(R444)))),"Własny","Zewnętrzny")))</f>
        <v/>
      </c>
      <c r="AN444" s="24">
        <f>IF(C444="","",YEAR(C444))</f>
        <v/>
      </c>
      <c r="AO444" s="24">
        <f>IF(C444="","",MONTH(C444))</f>
        <v/>
      </c>
      <c r="AP444">
        <f>IF(C444="","",UPPER(TEXT(C444,"mmmm")))</f>
        <v/>
      </c>
      <c r="AQ444">
        <f>IF(C444="","","Q"&amp;ROUNDUP(MONTH(C444)/3,0))</f>
        <v/>
      </c>
    </row>
    <row r="445">
      <c r="A445" s="19" t="n">
        <v>46253</v>
      </c>
      <c r="C445" s="19" t="n">
        <v>46253</v>
      </c>
      <c r="D445" t="inlineStr">
        <is>
          <t>Magazyn Zabrze</t>
        </is>
      </c>
      <c r="E445" t="inlineStr">
        <is>
          <t>PRODUKCJA</t>
        </is>
      </c>
      <c r="F445" t="inlineStr">
        <is>
          <t>PZ/89</t>
        </is>
      </c>
      <c r="G445" t="inlineStr">
        <is>
          <t>TAK</t>
        </is>
      </c>
      <c r="H445" t="inlineStr">
        <is>
          <t>KZR</t>
        </is>
      </c>
      <c r="I445" s="20" t="n">
        <v>85</v>
      </c>
      <c r="J445" t="inlineStr">
        <is>
          <t>MP</t>
        </is>
      </c>
      <c r="K445" s="21" t="n">
        <v>0</v>
      </c>
      <c r="L445" s="21" t="n">
        <v>0</v>
      </c>
      <c r="M445" s="21" t="n">
        <v>0</v>
      </c>
      <c r="N445" t="inlineStr">
        <is>
          <t>Zrębka Produkcyjna Inwestycyjna</t>
        </is>
      </c>
      <c r="O445" t="inlineStr">
        <is>
          <t>B</t>
        </is>
      </c>
      <c r="P445" t="inlineStr">
        <is>
          <t>własne</t>
        </is>
      </c>
      <c r="Q445" s="21" t="n">
        <v>10</v>
      </c>
      <c r="T445" s="22" t="n">
        <v>0</v>
      </c>
      <c r="U445" s="21" t="n">
        <v>0</v>
      </c>
      <c r="V445" s="21" t="n">
        <v>0</v>
      </c>
      <c r="W445" t="inlineStr">
        <is>
          <t>Magazyn Zabrze</t>
        </is>
      </c>
      <c r="X445" t="inlineStr">
        <is>
          <t>Magazyn Zabrze</t>
        </is>
      </c>
      <c r="Y445" t="inlineStr">
        <is>
          <t>Rębak z Brąszewic, rębakowy Łukasz Kempski</t>
        </is>
      </c>
      <c r="Z445" t="inlineStr">
        <is>
          <t>Marcin Kwiatkowski</t>
        </is>
      </c>
      <c r="AA445" s="23" t="n">
        <v>46257.8790625</v>
      </c>
      <c r="AB445" t="inlineStr">
        <is>
          <t>OP-MIGR-00444</t>
        </is>
      </c>
      <c r="AD445" t="inlineStr">
        <is>
          <t>AKTYWNY</t>
        </is>
      </c>
      <c r="AE445" s="20">
        <f>IF(I445="",0,IF(ISNUMBER(SEARCH("MP",UPPER(J445))),I445,IF(ISNUMBER(SEARCH("TON",UPPER(J445))),I445/Przelicznik_MP_tona,IF(ISNUMBER(SEARCH("M3",UPPER(J445))),I445*Przelicznik_M3_MP,IF(ISNUMBER(SEARCH("GJ",UPPER(J445))),I445/Przelicznik_GJ_tona/Przelicznik_MP_tona,I445)))))</f>
        <v/>
      </c>
      <c r="AF445" s="20">
        <f>IF(I445="",0,IF(ISNUMBER(SEARCH("TON",UPPER(J445))),I445,IF(ISNUMBER(SEARCH("GJ",UPPER(J445))),I445/Przelicznik_GJ_tona,AE445*Przelicznik_MP_tona)))</f>
        <v/>
      </c>
      <c r="AG445" s="20">
        <f>AF445*Przelicznik_GJ_tona</f>
        <v/>
      </c>
      <c r="AH445" s="20">
        <f>IF(UPPER(AD445)="SKORYGOWANY",0,IF(OR(UPPER(E445)="TRANSPORT",UPPER(E445)="MM"),0,IF(UPPER(G445)&lt;&gt;"TAK",0,IF(OR(UPPER(E445)="ZAKUP",UPPER(E445)="PRODUKCJA"),AE445,IF(OR(UPPER(E445)="SPRZEDAŻ",UPPER(E445)="ZUŻYCIE"),-AE445,0)))))</f>
        <v/>
      </c>
      <c r="AI445" s="20">
        <f>IF(UPPER(AD445)="SKORYGOWANY",0,IF(OR(UPPER(E445)="TRANSPORT",UPPER(E445)="MM"),0,IF(UPPER(G445)&lt;&gt;"TAK",0,IF(OR(UPPER(E445)="ZAKUP",UPPER(E445)="PRODUKCJA"),AF445,IF(OR(UPPER(E445)="SPRZEDAŻ",UPPER(E445)="ZUŻYCIE"),-AF445,0)))))</f>
        <v/>
      </c>
      <c r="AJ445" s="21">
        <f>IF(UPPER(AD445)="SKORYGOWANY",0,IF(UPPER(E445)="ZAKUP",IF(L445&lt;&gt;"",L445,I445*K445),0))</f>
        <v/>
      </c>
      <c r="AK445" s="21">
        <f>IF(UPPER(AD445)="SKORYGOWANY",0,IF(UPPER(E445)="SPRZEDAŻ",IF(L445&lt;&gt;"",L445,I445*M445),0))</f>
        <v/>
      </c>
      <c r="AL445" s="21">
        <f>AE445*Q445</f>
        <v/>
      </c>
      <c r="AM445">
        <f>IF(R445="","",IF(LOWER(R445)="brak","Brak",IF(OR(ISNUMBER(SEARCH("własn",LOWER(R445))),ISNUMBER(SEARCH("wlasn",LOWER(R445))),ISNUMBER(SEARCH("wojciechowski",LOWER(R445)))),"Własny","Zewnętrzny")))</f>
        <v/>
      </c>
      <c r="AN445" s="24">
        <f>IF(C445="","",YEAR(C445))</f>
        <v/>
      </c>
      <c r="AO445" s="24">
        <f>IF(C445="","",MONTH(C445))</f>
        <v/>
      </c>
      <c r="AP445">
        <f>IF(C445="","",UPPER(TEXT(C445,"mmmm")))</f>
        <v/>
      </c>
      <c r="AQ445">
        <f>IF(C445="","","Q"&amp;ROUNDUP(MONTH(C445)/3,0))</f>
        <v/>
      </c>
    </row>
    <row r="446">
      <c r="A446" s="19" t="n">
        <v>46253</v>
      </c>
      <c r="C446" s="19" t="n">
        <v>46253</v>
      </c>
      <c r="D446" t="inlineStr">
        <is>
          <t>Magazyn Zabrze</t>
        </is>
      </c>
      <c r="E446" t="inlineStr">
        <is>
          <t>ZUŻYCIE</t>
        </is>
      </c>
      <c r="F446" t="inlineStr">
        <is>
          <t>PZ/89</t>
        </is>
      </c>
      <c r="G446" t="inlineStr">
        <is>
          <t>TAK</t>
        </is>
      </c>
      <c r="H446" t="inlineStr">
        <is>
          <t>KZR</t>
        </is>
      </c>
      <c r="I446" s="20" t="n">
        <v>85</v>
      </c>
      <c r="J446" t="inlineStr">
        <is>
          <t>MP</t>
        </is>
      </c>
      <c r="K446" s="21" t="n">
        <v>0</v>
      </c>
      <c r="L446" s="21" t="n">
        <v>0</v>
      </c>
      <c r="M446" s="21" t="n">
        <v>0</v>
      </c>
      <c r="N446" t="inlineStr">
        <is>
          <t>Zrębka Produkcyjna Inwestycyjna</t>
        </is>
      </c>
      <c r="O446" t="inlineStr">
        <is>
          <t>B</t>
        </is>
      </c>
      <c r="P446" t="inlineStr">
        <is>
          <t>własne</t>
        </is>
      </c>
      <c r="Q446" s="21" t="n">
        <v>10</v>
      </c>
      <c r="T446" s="22" t="n">
        <v>0</v>
      </c>
      <c r="U446" s="21" t="n">
        <v>0</v>
      </c>
      <c r="V446" s="21" t="n">
        <v>0</v>
      </c>
      <c r="W446" t="inlineStr">
        <is>
          <t>Magazyn Zabrze</t>
        </is>
      </c>
      <c r="X446" t="inlineStr">
        <is>
          <t>Magazyn Zabrze</t>
        </is>
      </c>
      <c r="Y446" t="inlineStr">
        <is>
          <t>Automatyczne zużycie surowca do produkcji</t>
        </is>
      </c>
      <c r="AA446" s="23" t="n">
        <v>46257.8790625</v>
      </c>
      <c r="AB446" t="inlineStr">
        <is>
          <t>OP-MIGR-00445</t>
        </is>
      </c>
      <c r="AD446" t="inlineStr">
        <is>
          <t>AKTYWNY</t>
        </is>
      </c>
      <c r="AE446" s="20">
        <f>IF(I446="",0,IF(ISNUMBER(SEARCH("MP",UPPER(J446))),I446,IF(ISNUMBER(SEARCH("TON",UPPER(J446))),I446/Przelicznik_MP_tona,IF(ISNUMBER(SEARCH("M3",UPPER(J446))),I446*Przelicznik_M3_MP,IF(ISNUMBER(SEARCH("GJ",UPPER(J446))),I446/Przelicznik_GJ_tona/Przelicznik_MP_tona,I446)))))</f>
        <v/>
      </c>
      <c r="AF446" s="20">
        <f>IF(I446="",0,IF(ISNUMBER(SEARCH("TON",UPPER(J446))),I446,IF(ISNUMBER(SEARCH("GJ",UPPER(J446))),I446/Przelicznik_GJ_tona,AE446*Przelicznik_MP_tona)))</f>
        <v/>
      </c>
      <c r="AG446" s="20">
        <f>AF446*Przelicznik_GJ_tona</f>
        <v/>
      </c>
      <c r="AH446" s="20">
        <f>IF(UPPER(AD446)="SKORYGOWANY",0,IF(OR(UPPER(E446)="TRANSPORT",UPPER(E446)="MM"),0,IF(UPPER(G446)&lt;&gt;"TAK",0,IF(OR(UPPER(E446)="ZAKUP",UPPER(E446)="PRODUKCJA"),AE446,IF(OR(UPPER(E446)="SPRZEDAŻ",UPPER(E446)="ZUŻYCIE"),-AE446,0)))))</f>
        <v/>
      </c>
      <c r="AI446" s="20">
        <f>IF(UPPER(AD446)="SKORYGOWANY",0,IF(OR(UPPER(E446)="TRANSPORT",UPPER(E446)="MM"),0,IF(UPPER(G446)&lt;&gt;"TAK",0,IF(OR(UPPER(E446)="ZAKUP",UPPER(E446)="PRODUKCJA"),AF446,IF(OR(UPPER(E446)="SPRZEDAŻ",UPPER(E446)="ZUŻYCIE"),-AF446,0)))))</f>
        <v/>
      </c>
      <c r="AJ446" s="21">
        <f>IF(UPPER(AD446)="SKORYGOWANY",0,IF(UPPER(E446)="ZAKUP",IF(L446&lt;&gt;"",L446,I446*K446),0))</f>
        <v/>
      </c>
      <c r="AK446" s="21">
        <f>IF(UPPER(AD446)="SKORYGOWANY",0,IF(UPPER(E446)="SPRZEDAŻ",IF(L446&lt;&gt;"",L446,I446*M446),0))</f>
        <v/>
      </c>
      <c r="AL446" s="21">
        <f>AE446*Q446</f>
        <v/>
      </c>
      <c r="AM446">
        <f>IF(R446="","",IF(LOWER(R446)="brak","Brak",IF(OR(ISNUMBER(SEARCH("własn",LOWER(R446))),ISNUMBER(SEARCH("wlasn",LOWER(R446))),ISNUMBER(SEARCH("wojciechowski",LOWER(R446)))),"Własny","Zewnętrzny")))</f>
        <v/>
      </c>
      <c r="AN446" s="24">
        <f>IF(C446="","",YEAR(C446))</f>
        <v/>
      </c>
      <c r="AO446" s="24">
        <f>IF(C446="","",MONTH(C446))</f>
        <v/>
      </c>
      <c r="AP446">
        <f>IF(C446="","",UPPER(TEXT(C446,"mmmm")))</f>
        <v/>
      </c>
      <c r="AQ446">
        <f>IF(C446="","","Q"&amp;ROUNDUP(MONTH(C446)/3,0))</f>
        <v/>
      </c>
    </row>
    <row r="447">
      <c r="A447" s="19" t="n">
        <v>46253</v>
      </c>
      <c r="B447" t="inlineStr">
        <is>
          <t>Głubczyce</t>
        </is>
      </c>
      <c r="C447" s="19" t="n">
        <v>46253</v>
      </c>
      <c r="D447" t="inlineStr">
        <is>
          <t>Magazyn Zabrze</t>
        </is>
      </c>
      <c r="E447" t="inlineStr">
        <is>
          <t>ZAKUP</t>
        </is>
      </c>
      <c r="F447" t="inlineStr">
        <is>
          <t>PZ/89</t>
        </is>
      </c>
      <c r="G447" t="inlineStr">
        <is>
          <t>TAK</t>
        </is>
      </c>
      <c r="H447" t="inlineStr">
        <is>
          <t>KZR</t>
        </is>
      </c>
      <c r="I447" s="20" t="n">
        <v>85</v>
      </c>
      <c r="J447" t="inlineStr">
        <is>
          <t>MP</t>
        </is>
      </c>
      <c r="K447" s="21" t="n">
        <v>0</v>
      </c>
      <c r="L447" s="21" t="n">
        <v>0</v>
      </c>
      <c r="M447" s="21" t="n">
        <v>0</v>
      </c>
      <c r="N447" t="inlineStr">
        <is>
          <t>Zrębka Produkcyjna Inwestycyjna</t>
        </is>
      </c>
      <c r="O447" t="inlineStr">
        <is>
          <t>B</t>
        </is>
      </c>
      <c r="Q447" s="21" t="n">
        <v>0</v>
      </c>
      <c r="R447" t="inlineStr">
        <is>
          <t>własny (Chrzan)</t>
        </is>
      </c>
      <c r="S447" t="inlineStr">
        <is>
          <t>SK 5L809</t>
        </is>
      </c>
      <c r="T447" s="22" t="n">
        <v>182</v>
      </c>
      <c r="U447" s="21" t="n">
        <v>5</v>
      </c>
      <c r="V447" s="21" t="n">
        <v>910</v>
      </c>
      <c r="W447" t="inlineStr">
        <is>
          <t>Magazyn Zabrze</t>
        </is>
      </c>
      <c r="Z447" t="inlineStr">
        <is>
          <t>Marcin Kwiatkowski</t>
        </is>
      </c>
      <c r="AA447" s="23" t="n">
        <v>46257.88081018518</v>
      </c>
      <c r="AB447" t="inlineStr">
        <is>
          <t>OP-MIGR-00446</t>
        </is>
      </c>
      <c r="AD447" t="inlineStr">
        <is>
          <t>AKTYWNY</t>
        </is>
      </c>
      <c r="AE447" s="20">
        <f>IF(I447="",0,IF(ISNUMBER(SEARCH("MP",UPPER(J447))),I447,IF(ISNUMBER(SEARCH("TON",UPPER(J447))),I447/Przelicznik_MP_tona,IF(ISNUMBER(SEARCH("M3",UPPER(J447))),I447*Przelicznik_M3_MP,IF(ISNUMBER(SEARCH("GJ",UPPER(J447))),I447/Przelicznik_GJ_tona/Przelicznik_MP_tona,I447)))))</f>
        <v/>
      </c>
      <c r="AF447" s="20">
        <f>IF(I447="",0,IF(ISNUMBER(SEARCH("TON",UPPER(J447))),I447,IF(ISNUMBER(SEARCH("GJ",UPPER(J447))),I447/Przelicznik_GJ_tona,AE447*Przelicznik_MP_tona)))</f>
        <v/>
      </c>
      <c r="AG447" s="20">
        <f>AF447*Przelicznik_GJ_tona</f>
        <v/>
      </c>
      <c r="AH447" s="20">
        <f>IF(UPPER(AD447)="SKORYGOWANY",0,IF(OR(UPPER(E447)="TRANSPORT",UPPER(E447)="MM"),0,IF(UPPER(G447)&lt;&gt;"TAK",0,IF(OR(UPPER(E447)="ZAKUP",UPPER(E447)="PRODUKCJA"),AE447,IF(OR(UPPER(E447)="SPRZEDAŻ",UPPER(E447)="ZUŻYCIE"),-AE447,0)))))</f>
        <v/>
      </c>
      <c r="AI447" s="20">
        <f>IF(UPPER(AD447)="SKORYGOWANY",0,IF(OR(UPPER(E447)="TRANSPORT",UPPER(E447)="MM"),0,IF(UPPER(G447)&lt;&gt;"TAK",0,IF(OR(UPPER(E447)="ZAKUP",UPPER(E447)="PRODUKCJA"),AF447,IF(OR(UPPER(E447)="SPRZEDAŻ",UPPER(E447)="ZUŻYCIE"),-AF447,0)))))</f>
        <v/>
      </c>
      <c r="AJ447" s="21">
        <f>IF(UPPER(AD447)="SKORYGOWANY",0,IF(UPPER(E447)="ZAKUP",IF(L447&lt;&gt;"",L447,I447*K447),0))</f>
        <v/>
      </c>
      <c r="AK447" s="21">
        <f>IF(UPPER(AD447)="SKORYGOWANY",0,IF(UPPER(E447)="SPRZEDAŻ",IF(L447&lt;&gt;"",L447,I447*M447),0))</f>
        <v/>
      </c>
      <c r="AL447" s="21">
        <f>AE447*Q447</f>
        <v/>
      </c>
      <c r="AM447">
        <f>IF(R447="","",IF(LOWER(R447)="brak","Brak",IF(OR(ISNUMBER(SEARCH("własn",LOWER(R447))),ISNUMBER(SEARCH("wlasn",LOWER(R447))),ISNUMBER(SEARCH("wojciechowski",LOWER(R447)))),"Własny","Zewnętrzny")))</f>
        <v/>
      </c>
      <c r="AN447" s="24">
        <f>IF(C447="","",YEAR(C447))</f>
        <v/>
      </c>
      <c r="AO447" s="24">
        <f>IF(C447="","",MONTH(C447))</f>
        <v/>
      </c>
      <c r="AP447">
        <f>IF(C447="","",UPPER(TEXT(C447,"mmmm")))</f>
        <v/>
      </c>
      <c r="AQ447">
        <f>IF(C447="","","Q"&amp;ROUNDUP(MONTH(C447)/3,0))</f>
        <v/>
      </c>
    </row>
    <row r="448">
      <c r="A448" s="19" t="n">
        <v>46253</v>
      </c>
      <c r="C448" s="19" t="n">
        <v>46253</v>
      </c>
      <c r="D448" t="inlineStr">
        <is>
          <t>Grandpol</t>
        </is>
      </c>
      <c r="E448" t="inlineStr">
        <is>
          <t>ZAKUP</t>
        </is>
      </c>
      <c r="F448" t="inlineStr">
        <is>
          <t>PZ/90</t>
        </is>
      </c>
      <c r="G448" t="inlineStr">
        <is>
          <t>NIE</t>
        </is>
      </c>
      <c r="H448" t="inlineStr">
        <is>
          <t>KZR</t>
        </is>
      </c>
      <c r="I448" s="20" t="n">
        <v>82</v>
      </c>
      <c r="J448" t="inlineStr">
        <is>
          <t>MP</t>
        </is>
      </c>
      <c r="K448" s="21" t="n">
        <v>45</v>
      </c>
      <c r="L448" s="21" t="n">
        <v>3690</v>
      </c>
      <c r="M448" s="21" t="n">
        <v>0</v>
      </c>
      <c r="N448" t="inlineStr">
        <is>
          <t>Drewno przemysłowe z wycinek inwest.</t>
        </is>
      </c>
      <c r="Q448" s="21" t="n">
        <v>0</v>
      </c>
      <c r="T448" s="22" t="n">
        <v>0</v>
      </c>
      <c r="U448" s="21" t="n">
        <v>0</v>
      </c>
      <c r="V448" s="21" t="n">
        <v>0</v>
      </c>
      <c r="W448" t="inlineStr">
        <is>
          <t>Magazyn Zabrze</t>
        </is>
      </c>
      <c r="Y448" t="inlineStr">
        <is>
          <t>Waga: 25 900 kg</t>
        </is>
      </c>
      <c r="Z448" t="inlineStr">
        <is>
          <t>Marcin Kwiatkowski</t>
        </is>
      </c>
      <c r="AA448" s="23" t="n">
        <v>46257.88229166667</v>
      </c>
      <c r="AB448" t="inlineStr">
        <is>
          <t>OP-MIGR-00447</t>
        </is>
      </c>
      <c r="AD448" t="inlineStr">
        <is>
          <t>AKTYWNY</t>
        </is>
      </c>
      <c r="AE448" s="20">
        <f>IF(I448="",0,IF(ISNUMBER(SEARCH("MP",UPPER(J448))),I448,IF(ISNUMBER(SEARCH("TON",UPPER(J448))),I448/Przelicznik_MP_tona,IF(ISNUMBER(SEARCH("M3",UPPER(J448))),I448*Przelicznik_M3_MP,IF(ISNUMBER(SEARCH("GJ",UPPER(J448))),I448/Przelicznik_GJ_tona/Przelicznik_MP_tona,I448)))))</f>
        <v/>
      </c>
      <c r="AF448" s="20">
        <f>IF(I448="",0,IF(ISNUMBER(SEARCH("TON",UPPER(J448))),I448,IF(ISNUMBER(SEARCH("GJ",UPPER(J448))),I448/Przelicznik_GJ_tona,AE448*Przelicznik_MP_tona)))</f>
        <v/>
      </c>
      <c r="AG448" s="20">
        <f>AF448*Przelicznik_GJ_tona</f>
        <v/>
      </c>
      <c r="AH448" s="20">
        <f>IF(UPPER(AD448)="SKORYGOWANY",0,IF(OR(UPPER(E448)="TRANSPORT",UPPER(E448)="MM"),0,IF(UPPER(G448)&lt;&gt;"TAK",0,IF(OR(UPPER(E448)="ZAKUP",UPPER(E448)="PRODUKCJA"),AE448,IF(OR(UPPER(E448)="SPRZEDAŻ",UPPER(E448)="ZUŻYCIE"),-AE448,0)))))</f>
        <v/>
      </c>
      <c r="AI448" s="20">
        <f>IF(UPPER(AD448)="SKORYGOWANY",0,IF(OR(UPPER(E448)="TRANSPORT",UPPER(E448)="MM"),0,IF(UPPER(G448)&lt;&gt;"TAK",0,IF(OR(UPPER(E448)="ZAKUP",UPPER(E448)="PRODUKCJA"),AF448,IF(OR(UPPER(E448)="SPRZEDAŻ",UPPER(E448)="ZUŻYCIE"),-AF448,0)))))</f>
        <v/>
      </c>
      <c r="AJ448" s="21">
        <f>IF(UPPER(AD448)="SKORYGOWANY",0,IF(UPPER(E448)="ZAKUP",IF(L448&lt;&gt;"",L448,I448*K448),0))</f>
        <v/>
      </c>
      <c r="AK448" s="21">
        <f>IF(UPPER(AD448)="SKORYGOWANY",0,IF(UPPER(E448)="SPRZEDAŻ",IF(L448&lt;&gt;"",L448,I448*M448),0))</f>
        <v/>
      </c>
      <c r="AL448" s="21">
        <f>AE448*Q448</f>
        <v/>
      </c>
      <c r="AM448">
        <f>IF(R448="","",IF(LOWER(R448)="brak","Brak",IF(OR(ISNUMBER(SEARCH("własn",LOWER(R448))),ISNUMBER(SEARCH("wlasn",LOWER(R448))),ISNUMBER(SEARCH("wojciechowski",LOWER(R448)))),"Własny","Zewnętrzny")))</f>
        <v/>
      </c>
      <c r="AN448" s="24">
        <f>IF(C448="","",YEAR(C448))</f>
        <v/>
      </c>
      <c r="AO448" s="24">
        <f>IF(C448="","",MONTH(C448))</f>
        <v/>
      </c>
      <c r="AP448">
        <f>IF(C448="","",UPPER(TEXT(C448,"mmmm")))</f>
        <v/>
      </c>
      <c r="AQ448">
        <f>IF(C448="","","Q"&amp;ROUNDUP(MONTH(C448)/3,0))</f>
        <v/>
      </c>
    </row>
    <row r="449">
      <c r="A449" s="19" t="n">
        <v>46253</v>
      </c>
      <c r="C449" s="19" t="n">
        <v>46253</v>
      </c>
      <c r="D449" t="inlineStr">
        <is>
          <t>Magazyn Zabrze</t>
        </is>
      </c>
      <c r="E449" t="inlineStr">
        <is>
          <t>PRODUKCJA</t>
        </is>
      </c>
      <c r="F449" t="inlineStr">
        <is>
          <t>PZ/90</t>
        </is>
      </c>
      <c r="G449" t="inlineStr">
        <is>
          <t>TAK</t>
        </is>
      </c>
      <c r="H449" t="inlineStr">
        <is>
          <t>KZR</t>
        </is>
      </c>
      <c r="I449" s="20" t="n">
        <v>82</v>
      </c>
      <c r="J449" t="inlineStr">
        <is>
          <t>MP</t>
        </is>
      </c>
      <c r="K449" s="21" t="n">
        <v>0</v>
      </c>
      <c r="L449" s="21" t="n">
        <v>0</v>
      </c>
      <c r="M449" s="21" t="n">
        <v>0</v>
      </c>
      <c r="N449" t="inlineStr">
        <is>
          <t>Zrębka Produkcyjna Inwestycyjna</t>
        </is>
      </c>
      <c r="O449" t="inlineStr">
        <is>
          <t>B</t>
        </is>
      </c>
      <c r="P449" t="inlineStr">
        <is>
          <t>własne</t>
        </is>
      </c>
      <c r="Q449" s="21" t="n">
        <v>10</v>
      </c>
      <c r="T449" s="22" t="n">
        <v>0</v>
      </c>
      <c r="U449" s="21" t="n">
        <v>0</v>
      </c>
      <c r="V449" s="21" t="n">
        <v>0</v>
      </c>
      <c r="W449" t="inlineStr">
        <is>
          <t>Magazyn Zabrze</t>
        </is>
      </c>
      <c r="X449" t="inlineStr">
        <is>
          <t>Magazyn Zabrze</t>
        </is>
      </c>
      <c r="Y449" t="inlineStr">
        <is>
          <t>Rębak z Brąszewic, rębakowy Łukasz Kempski</t>
        </is>
      </c>
      <c r="Z449" t="inlineStr">
        <is>
          <t>Marcin Kwiatkowski</t>
        </is>
      </c>
      <c r="AA449" s="23" t="n">
        <v>46257.88402777778</v>
      </c>
      <c r="AB449" t="inlineStr">
        <is>
          <t>OP-MIGR-00448</t>
        </is>
      </c>
      <c r="AD449" t="inlineStr">
        <is>
          <t>AKTYWNY</t>
        </is>
      </c>
      <c r="AE449" s="20">
        <f>IF(I449="",0,IF(ISNUMBER(SEARCH("MP",UPPER(J449))),I449,IF(ISNUMBER(SEARCH("TON",UPPER(J449))),I449/Przelicznik_MP_tona,IF(ISNUMBER(SEARCH("M3",UPPER(J449))),I449*Przelicznik_M3_MP,IF(ISNUMBER(SEARCH("GJ",UPPER(J449))),I449/Przelicznik_GJ_tona/Przelicznik_MP_tona,I449)))))</f>
        <v/>
      </c>
      <c r="AF449" s="20">
        <f>IF(I449="",0,IF(ISNUMBER(SEARCH("TON",UPPER(J449))),I449,IF(ISNUMBER(SEARCH("GJ",UPPER(J449))),I449/Przelicznik_GJ_tona,AE449*Przelicznik_MP_tona)))</f>
        <v/>
      </c>
      <c r="AG449" s="20">
        <f>AF449*Przelicznik_GJ_tona</f>
        <v/>
      </c>
      <c r="AH449" s="20">
        <f>IF(UPPER(AD449)="SKORYGOWANY",0,IF(OR(UPPER(E449)="TRANSPORT",UPPER(E449)="MM"),0,IF(UPPER(G449)&lt;&gt;"TAK",0,IF(OR(UPPER(E449)="ZAKUP",UPPER(E449)="PRODUKCJA"),AE449,IF(OR(UPPER(E449)="SPRZEDAŻ",UPPER(E449)="ZUŻYCIE"),-AE449,0)))))</f>
        <v/>
      </c>
      <c r="AI449" s="20">
        <f>IF(UPPER(AD449)="SKORYGOWANY",0,IF(OR(UPPER(E449)="TRANSPORT",UPPER(E449)="MM"),0,IF(UPPER(G449)&lt;&gt;"TAK",0,IF(OR(UPPER(E449)="ZAKUP",UPPER(E449)="PRODUKCJA"),AF449,IF(OR(UPPER(E449)="SPRZEDAŻ",UPPER(E449)="ZUŻYCIE"),-AF449,0)))))</f>
        <v/>
      </c>
      <c r="AJ449" s="21">
        <f>IF(UPPER(AD449)="SKORYGOWANY",0,IF(UPPER(E449)="ZAKUP",IF(L449&lt;&gt;"",L449,I449*K449),0))</f>
        <v/>
      </c>
      <c r="AK449" s="21">
        <f>IF(UPPER(AD449)="SKORYGOWANY",0,IF(UPPER(E449)="SPRZEDAŻ",IF(L449&lt;&gt;"",L449,I449*M449),0))</f>
        <v/>
      </c>
      <c r="AL449" s="21">
        <f>AE449*Q449</f>
        <v/>
      </c>
      <c r="AM449">
        <f>IF(R449="","",IF(LOWER(R449)="brak","Brak",IF(OR(ISNUMBER(SEARCH("własn",LOWER(R449))),ISNUMBER(SEARCH("wlasn",LOWER(R449))),ISNUMBER(SEARCH("wojciechowski",LOWER(R449)))),"Własny","Zewnętrzny")))</f>
        <v/>
      </c>
      <c r="AN449" s="24">
        <f>IF(C449="","",YEAR(C449))</f>
        <v/>
      </c>
      <c r="AO449" s="24">
        <f>IF(C449="","",MONTH(C449))</f>
        <v/>
      </c>
      <c r="AP449">
        <f>IF(C449="","",UPPER(TEXT(C449,"mmmm")))</f>
        <v/>
      </c>
      <c r="AQ449">
        <f>IF(C449="","","Q"&amp;ROUNDUP(MONTH(C449)/3,0))</f>
        <v/>
      </c>
    </row>
    <row r="450">
      <c r="A450" s="19" t="n">
        <v>46253</v>
      </c>
      <c r="C450" s="19" t="n">
        <v>46253</v>
      </c>
      <c r="D450" t="inlineStr">
        <is>
          <t>Magazyn Zabrze</t>
        </is>
      </c>
      <c r="E450" t="inlineStr">
        <is>
          <t>ZUŻYCIE</t>
        </is>
      </c>
      <c r="F450" t="inlineStr">
        <is>
          <t>PZ/90</t>
        </is>
      </c>
      <c r="G450" t="inlineStr">
        <is>
          <t>TAK</t>
        </is>
      </c>
      <c r="H450" t="inlineStr">
        <is>
          <t>KZR</t>
        </is>
      </c>
      <c r="I450" s="20" t="n">
        <v>82</v>
      </c>
      <c r="J450" t="inlineStr">
        <is>
          <t>MP</t>
        </is>
      </c>
      <c r="K450" s="21" t="n">
        <v>0</v>
      </c>
      <c r="L450" s="21" t="n">
        <v>0</v>
      </c>
      <c r="M450" s="21" t="n">
        <v>0</v>
      </c>
      <c r="N450" t="inlineStr">
        <is>
          <t>Zrębka Produkcyjna Inwestycyjna</t>
        </is>
      </c>
      <c r="O450" t="inlineStr">
        <is>
          <t>B</t>
        </is>
      </c>
      <c r="P450" t="inlineStr">
        <is>
          <t>własne</t>
        </is>
      </c>
      <c r="Q450" s="21" t="n">
        <v>10</v>
      </c>
      <c r="T450" s="22" t="n">
        <v>0</v>
      </c>
      <c r="U450" s="21" t="n">
        <v>0</v>
      </c>
      <c r="V450" s="21" t="n">
        <v>0</v>
      </c>
      <c r="W450" t="inlineStr">
        <is>
          <t>Magazyn Zabrze</t>
        </is>
      </c>
      <c r="X450" t="inlineStr">
        <is>
          <t>Magazyn Zabrze</t>
        </is>
      </c>
      <c r="Y450" t="inlineStr">
        <is>
          <t>Automatyczne zużycie surowca do produkcji</t>
        </is>
      </c>
      <c r="AA450" s="23" t="n">
        <v>46257.88402777778</v>
      </c>
      <c r="AB450" t="inlineStr">
        <is>
          <t>OP-MIGR-00449</t>
        </is>
      </c>
      <c r="AD450" t="inlineStr">
        <is>
          <t>AKTYWNY</t>
        </is>
      </c>
      <c r="AE450" s="20">
        <f>IF(I450="",0,IF(ISNUMBER(SEARCH("MP",UPPER(J450))),I450,IF(ISNUMBER(SEARCH("TON",UPPER(J450))),I450/Przelicznik_MP_tona,IF(ISNUMBER(SEARCH("M3",UPPER(J450))),I450*Przelicznik_M3_MP,IF(ISNUMBER(SEARCH("GJ",UPPER(J450))),I450/Przelicznik_GJ_tona/Przelicznik_MP_tona,I450)))))</f>
        <v/>
      </c>
      <c r="AF450" s="20">
        <f>IF(I450="",0,IF(ISNUMBER(SEARCH("TON",UPPER(J450))),I450,IF(ISNUMBER(SEARCH("GJ",UPPER(J450))),I450/Przelicznik_GJ_tona,AE450*Przelicznik_MP_tona)))</f>
        <v/>
      </c>
      <c r="AG450" s="20">
        <f>AF450*Przelicznik_GJ_tona</f>
        <v/>
      </c>
      <c r="AH450" s="20">
        <f>IF(UPPER(AD450)="SKORYGOWANY",0,IF(OR(UPPER(E450)="TRANSPORT",UPPER(E450)="MM"),0,IF(UPPER(G450)&lt;&gt;"TAK",0,IF(OR(UPPER(E450)="ZAKUP",UPPER(E450)="PRODUKCJA"),AE450,IF(OR(UPPER(E450)="SPRZEDAŻ",UPPER(E450)="ZUŻYCIE"),-AE450,0)))))</f>
        <v/>
      </c>
      <c r="AI450" s="20">
        <f>IF(UPPER(AD450)="SKORYGOWANY",0,IF(OR(UPPER(E450)="TRANSPORT",UPPER(E450)="MM"),0,IF(UPPER(G450)&lt;&gt;"TAK",0,IF(OR(UPPER(E450)="ZAKUP",UPPER(E450)="PRODUKCJA"),AF450,IF(OR(UPPER(E450)="SPRZEDAŻ",UPPER(E450)="ZUŻYCIE"),-AF450,0)))))</f>
        <v/>
      </c>
      <c r="AJ450" s="21">
        <f>IF(UPPER(AD450)="SKORYGOWANY",0,IF(UPPER(E450)="ZAKUP",IF(L450&lt;&gt;"",L450,I450*K450),0))</f>
        <v/>
      </c>
      <c r="AK450" s="21">
        <f>IF(UPPER(AD450)="SKORYGOWANY",0,IF(UPPER(E450)="SPRZEDAŻ",IF(L450&lt;&gt;"",L450,I450*M450),0))</f>
        <v/>
      </c>
      <c r="AL450" s="21">
        <f>AE450*Q450</f>
        <v/>
      </c>
      <c r="AM450">
        <f>IF(R450="","",IF(LOWER(R450)="brak","Brak",IF(OR(ISNUMBER(SEARCH("własn",LOWER(R450))),ISNUMBER(SEARCH("wlasn",LOWER(R450))),ISNUMBER(SEARCH("wojciechowski",LOWER(R450)))),"Własny","Zewnętrzny")))</f>
        <v/>
      </c>
      <c r="AN450" s="24">
        <f>IF(C450="","",YEAR(C450))</f>
        <v/>
      </c>
      <c r="AO450" s="24">
        <f>IF(C450="","",MONTH(C450))</f>
        <v/>
      </c>
      <c r="AP450">
        <f>IF(C450="","",UPPER(TEXT(C450,"mmmm")))</f>
        <v/>
      </c>
      <c r="AQ450">
        <f>IF(C450="","","Q"&amp;ROUNDUP(MONTH(C450)/3,0))</f>
        <v/>
      </c>
    </row>
    <row r="451">
      <c r="A451" s="19" t="n">
        <v>46253</v>
      </c>
      <c r="B451" t="inlineStr">
        <is>
          <t>Głubczyce</t>
        </is>
      </c>
      <c r="C451" s="19" t="n">
        <v>46253</v>
      </c>
      <c r="D451" t="inlineStr">
        <is>
          <t>Magazyn Zabrze</t>
        </is>
      </c>
      <c r="E451" t="inlineStr">
        <is>
          <t>ZAKUP</t>
        </is>
      </c>
      <c r="F451" t="inlineStr">
        <is>
          <t>PZ/90</t>
        </is>
      </c>
      <c r="G451" t="inlineStr">
        <is>
          <t>TAK</t>
        </is>
      </c>
      <c r="H451" t="inlineStr">
        <is>
          <t>KZR</t>
        </is>
      </c>
      <c r="I451" s="20" t="n">
        <v>82</v>
      </c>
      <c r="J451" t="inlineStr">
        <is>
          <t>MP</t>
        </is>
      </c>
      <c r="K451" s="21" t="n">
        <v>0</v>
      </c>
      <c r="L451" s="21" t="n">
        <v>0</v>
      </c>
      <c r="M451" s="21" t="n">
        <v>0</v>
      </c>
      <c r="N451" t="inlineStr">
        <is>
          <t>Zrębka Produkcyjna Inwestycyjna</t>
        </is>
      </c>
      <c r="O451" t="inlineStr">
        <is>
          <t>B</t>
        </is>
      </c>
      <c r="Q451" s="21" t="n">
        <v>0</v>
      </c>
      <c r="R451" t="inlineStr">
        <is>
          <t>własny (Wilczak)</t>
        </is>
      </c>
      <c r="S451" t="inlineStr">
        <is>
          <t>SK 7J884</t>
        </is>
      </c>
      <c r="T451" s="22" t="n">
        <v>182</v>
      </c>
      <c r="U451" s="21" t="n">
        <v>5</v>
      </c>
      <c r="V451" s="21" t="n">
        <v>910</v>
      </c>
      <c r="W451" t="inlineStr">
        <is>
          <t>Magazyn Zabrze</t>
        </is>
      </c>
      <c r="Z451" t="inlineStr">
        <is>
          <t>Marcin Kwiatkowski</t>
        </is>
      </c>
      <c r="AA451" s="23" t="n">
        <v>46257.88512731482</v>
      </c>
      <c r="AB451" t="inlineStr">
        <is>
          <t>OP-MIGR-00450</t>
        </is>
      </c>
      <c r="AD451" t="inlineStr">
        <is>
          <t>AKTYWNY</t>
        </is>
      </c>
      <c r="AE451" s="20">
        <f>IF(I451="",0,IF(ISNUMBER(SEARCH("MP",UPPER(J451))),I451,IF(ISNUMBER(SEARCH("TON",UPPER(J451))),I451/Przelicznik_MP_tona,IF(ISNUMBER(SEARCH("M3",UPPER(J451))),I451*Przelicznik_M3_MP,IF(ISNUMBER(SEARCH("GJ",UPPER(J451))),I451/Przelicznik_GJ_tona/Przelicznik_MP_tona,I451)))))</f>
        <v/>
      </c>
      <c r="AF451" s="20">
        <f>IF(I451="",0,IF(ISNUMBER(SEARCH("TON",UPPER(J451))),I451,IF(ISNUMBER(SEARCH("GJ",UPPER(J451))),I451/Przelicznik_GJ_tona,AE451*Przelicznik_MP_tona)))</f>
        <v/>
      </c>
      <c r="AG451" s="20">
        <f>AF451*Przelicznik_GJ_tona</f>
        <v/>
      </c>
      <c r="AH451" s="20">
        <f>IF(UPPER(AD451)="SKORYGOWANY",0,IF(OR(UPPER(E451)="TRANSPORT",UPPER(E451)="MM"),0,IF(UPPER(G451)&lt;&gt;"TAK",0,IF(OR(UPPER(E451)="ZAKUP",UPPER(E451)="PRODUKCJA"),AE451,IF(OR(UPPER(E451)="SPRZEDAŻ",UPPER(E451)="ZUŻYCIE"),-AE451,0)))))</f>
        <v/>
      </c>
      <c r="AI451" s="20">
        <f>IF(UPPER(AD451)="SKORYGOWANY",0,IF(OR(UPPER(E451)="TRANSPORT",UPPER(E451)="MM"),0,IF(UPPER(G451)&lt;&gt;"TAK",0,IF(OR(UPPER(E451)="ZAKUP",UPPER(E451)="PRODUKCJA"),AF451,IF(OR(UPPER(E451)="SPRZEDAŻ",UPPER(E451)="ZUŻYCIE"),-AF451,0)))))</f>
        <v/>
      </c>
      <c r="AJ451" s="21">
        <f>IF(UPPER(AD451)="SKORYGOWANY",0,IF(UPPER(E451)="ZAKUP",IF(L451&lt;&gt;"",L451,I451*K451),0))</f>
        <v/>
      </c>
      <c r="AK451" s="21">
        <f>IF(UPPER(AD451)="SKORYGOWANY",0,IF(UPPER(E451)="SPRZEDAŻ",IF(L451&lt;&gt;"",L451,I451*M451),0))</f>
        <v/>
      </c>
      <c r="AL451" s="21">
        <f>AE451*Q451</f>
        <v/>
      </c>
      <c r="AM451">
        <f>IF(R451="","",IF(LOWER(R451)="brak","Brak",IF(OR(ISNUMBER(SEARCH("własn",LOWER(R451))),ISNUMBER(SEARCH("wlasn",LOWER(R451))),ISNUMBER(SEARCH("wojciechowski",LOWER(R451)))),"Własny","Zewnętrzny")))</f>
        <v/>
      </c>
      <c r="AN451" s="24">
        <f>IF(C451="","",YEAR(C451))</f>
        <v/>
      </c>
      <c r="AO451" s="24">
        <f>IF(C451="","",MONTH(C451))</f>
        <v/>
      </c>
      <c r="AP451">
        <f>IF(C451="","",UPPER(TEXT(C451,"mmmm")))</f>
        <v/>
      </c>
      <c r="AQ451">
        <f>IF(C451="","","Q"&amp;ROUNDUP(MONTH(C451)/3,0))</f>
        <v/>
      </c>
    </row>
    <row r="452">
      <c r="A452" s="19" t="n">
        <v>46254</v>
      </c>
      <c r="C452" s="19" t="n">
        <v>46254</v>
      </c>
      <c r="D452" t="inlineStr">
        <is>
          <t>Lander Agro</t>
        </is>
      </c>
      <c r="E452" t="inlineStr">
        <is>
          <t>ZAKUP</t>
        </is>
      </c>
      <c r="F452" t="inlineStr">
        <is>
          <t>PZ/42/D</t>
        </is>
      </c>
      <c r="G452" t="inlineStr">
        <is>
          <t>TAK</t>
        </is>
      </c>
      <c r="H452" t="inlineStr">
        <is>
          <t>KZR</t>
        </is>
      </c>
      <c r="I452" s="20" t="n">
        <v>29.05</v>
      </c>
      <c r="J452" t="inlineStr">
        <is>
          <t>M3</t>
        </is>
      </c>
      <c r="K452" s="21" t="n">
        <v>230</v>
      </c>
      <c r="L452" s="21" t="n">
        <v>6681.5</v>
      </c>
      <c r="M452" s="21" t="n">
        <v>0</v>
      </c>
      <c r="N452" t="inlineStr">
        <is>
          <t>Drewno opałowe z lasu</t>
        </is>
      </c>
      <c r="Q452" s="21" t="n">
        <v>0</v>
      </c>
      <c r="T452" s="22" t="n">
        <v>0</v>
      </c>
      <c r="U452" s="21" t="n">
        <v>0</v>
      </c>
      <c r="V452" s="21" t="n">
        <v>0</v>
      </c>
      <c r="W452" t="inlineStr">
        <is>
          <t>Magazyn Zabrze</t>
        </is>
      </c>
      <c r="Y452" t="inlineStr">
        <is>
          <t>Waga: 25 140 kg</t>
        </is>
      </c>
      <c r="Z452" t="inlineStr">
        <is>
          <t>Marcin Kwiatkowski</t>
        </is>
      </c>
      <c r="AA452" s="23" t="n">
        <v>46257.8870949074</v>
      </c>
      <c r="AB452" t="inlineStr">
        <is>
          <t>OP-MIGR-00451</t>
        </is>
      </c>
      <c r="AD452" t="inlineStr">
        <is>
          <t>AKTYWNY</t>
        </is>
      </c>
      <c r="AE452" s="20">
        <f>IF(I452="",0,IF(ISNUMBER(SEARCH("MP",UPPER(J452))),I452,IF(ISNUMBER(SEARCH("TON",UPPER(J452))),I452/Przelicznik_MP_tona,IF(ISNUMBER(SEARCH("M3",UPPER(J452))),I452*Przelicznik_M3_MP,IF(ISNUMBER(SEARCH("GJ",UPPER(J452))),I452/Przelicznik_GJ_tona/Przelicznik_MP_tona,I452)))))</f>
        <v/>
      </c>
      <c r="AF452" s="20">
        <f>IF(I452="",0,IF(ISNUMBER(SEARCH("TON",UPPER(J452))),I452,IF(ISNUMBER(SEARCH("GJ",UPPER(J452))),I452/Przelicznik_GJ_tona,AE452*Przelicznik_MP_tona)))</f>
        <v/>
      </c>
      <c r="AG452" s="20">
        <f>AF452*Przelicznik_GJ_tona</f>
        <v/>
      </c>
      <c r="AH452" s="20">
        <f>IF(UPPER(AD452)="SKORYGOWANY",0,IF(OR(UPPER(E452)="TRANSPORT",UPPER(E452)="MM"),0,IF(UPPER(G452)&lt;&gt;"TAK",0,IF(OR(UPPER(E452)="ZAKUP",UPPER(E452)="PRODUKCJA"),AE452,IF(OR(UPPER(E452)="SPRZEDAŻ",UPPER(E452)="ZUŻYCIE"),-AE452,0)))))</f>
        <v/>
      </c>
      <c r="AI452" s="20">
        <f>IF(UPPER(AD452)="SKORYGOWANY",0,IF(OR(UPPER(E452)="TRANSPORT",UPPER(E452)="MM"),0,IF(UPPER(G452)&lt;&gt;"TAK",0,IF(OR(UPPER(E452)="ZAKUP",UPPER(E452)="PRODUKCJA"),AF452,IF(OR(UPPER(E452)="SPRZEDAŻ",UPPER(E452)="ZUŻYCIE"),-AF452,0)))))</f>
        <v/>
      </c>
      <c r="AJ452" s="21">
        <f>IF(UPPER(AD452)="SKORYGOWANY",0,IF(UPPER(E452)="ZAKUP",IF(L452&lt;&gt;"",L452,I452*K452),0))</f>
        <v/>
      </c>
      <c r="AK452" s="21">
        <f>IF(UPPER(AD452)="SKORYGOWANY",0,IF(UPPER(E452)="SPRZEDAŻ",IF(L452&lt;&gt;"",L452,I452*M452),0))</f>
        <v/>
      </c>
      <c r="AL452" s="21">
        <f>AE452*Q452</f>
        <v/>
      </c>
      <c r="AM452">
        <f>IF(R452="","",IF(LOWER(R452)="brak","Brak",IF(OR(ISNUMBER(SEARCH("własn",LOWER(R452))),ISNUMBER(SEARCH("wlasn",LOWER(R452))),ISNUMBER(SEARCH("wojciechowski",LOWER(R452)))),"Własny","Zewnętrzny")))</f>
        <v/>
      </c>
      <c r="AN452" s="24">
        <f>IF(C452="","",YEAR(C452))</f>
        <v/>
      </c>
      <c r="AO452" s="24">
        <f>IF(C452="","",MONTH(C452))</f>
        <v/>
      </c>
      <c r="AP452">
        <f>IF(C452="","",UPPER(TEXT(C452,"mmmm")))</f>
        <v/>
      </c>
      <c r="AQ452">
        <f>IF(C452="","","Q"&amp;ROUNDUP(MONTH(C452)/3,0))</f>
        <v/>
      </c>
    </row>
    <row r="453">
      <c r="A453" s="19" t="n">
        <v>46254</v>
      </c>
      <c r="C453" s="19" t="n">
        <v>46254</v>
      </c>
      <c r="D453" t="inlineStr">
        <is>
          <t>Walber</t>
        </is>
      </c>
      <c r="E453" t="inlineStr">
        <is>
          <t>ZAKUP</t>
        </is>
      </c>
      <c r="F453" t="inlineStr">
        <is>
          <t>PZ/91</t>
        </is>
      </c>
      <c r="G453" t="inlineStr">
        <is>
          <t>TAK</t>
        </is>
      </c>
      <c r="H453" t="inlineStr">
        <is>
          <t>KZR</t>
        </is>
      </c>
      <c r="I453" s="20" t="n">
        <v>90</v>
      </c>
      <c r="J453" t="inlineStr">
        <is>
          <t>MP</t>
        </is>
      </c>
      <c r="K453" s="21" t="n">
        <v>105</v>
      </c>
      <c r="L453" s="21" t="n">
        <v>6198.5</v>
      </c>
      <c r="M453" s="21" t="n">
        <v>0</v>
      </c>
      <c r="N453" t="inlineStr">
        <is>
          <t>Zrębka towar</t>
        </is>
      </c>
      <c r="O453" t="inlineStr">
        <is>
          <t>B</t>
        </is>
      </c>
      <c r="Q453" s="21" t="n">
        <v>0</v>
      </c>
      <c r="T453" s="22" t="n">
        <v>0</v>
      </c>
      <c r="U453" s="21" t="n">
        <v>0</v>
      </c>
      <c r="V453" s="21" t="n">
        <v>0</v>
      </c>
      <c r="W453" t="inlineStr">
        <is>
          <t>Magazyn Zabrze</t>
        </is>
      </c>
      <c r="Y453" t="inlineStr">
        <is>
          <t>22,54T</t>
        </is>
      </c>
      <c r="Z453" t="inlineStr">
        <is>
          <t>Marcin Kwiatkowski</t>
        </is>
      </c>
      <c r="AA453" s="23" t="n">
        <v>46257.89314814815</v>
      </c>
      <c r="AB453" t="inlineStr">
        <is>
          <t>OP-MIGR-00452</t>
        </is>
      </c>
      <c r="AD453" t="inlineStr">
        <is>
          <t>AKTYWNY</t>
        </is>
      </c>
      <c r="AE453" s="20">
        <f>IF(I453="",0,IF(ISNUMBER(SEARCH("MP",UPPER(J453))),I453,IF(ISNUMBER(SEARCH("TON",UPPER(J453))),I453/Przelicznik_MP_tona,IF(ISNUMBER(SEARCH("M3",UPPER(J453))),I453*Przelicznik_M3_MP,IF(ISNUMBER(SEARCH("GJ",UPPER(J453))),I453/Przelicznik_GJ_tona/Przelicznik_MP_tona,I453)))))</f>
        <v/>
      </c>
      <c r="AF453" s="20">
        <f>IF(I453="",0,IF(ISNUMBER(SEARCH("TON",UPPER(J453))),I453,IF(ISNUMBER(SEARCH("GJ",UPPER(J453))),I453/Przelicznik_GJ_tona,AE453*Przelicznik_MP_tona)))</f>
        <v/>
      </c>
      <c r="AG453" s="20">
        <f>AF453*Przelicznik_GJ_tona</f>
        <v/>
      </c>
      <c r="AH453" s="20">
        <f>IF(UPPER(AD453)="SKORYGOWANY",0,IF(OR(UPPER(E453)="TRANSPORT",UPPER(E453)="MM"),0,IF(UPPER(G453)&lt;&gt;"TAK",0,IF(OR(UPPER(E453)="ZAKUP",UPPER(E453)="PRODUKCJA"),AE453,IF(OR(UPPER(E453)="SPRZEDAŻ",UPPER(E453)="ZUŻYCIE"),-AE453,0)))))</f>
        <v/>
      </c>
      <c r="AI453" s="20">
        <f>IF(UPPER(AD453)="SKORYGOWANY",0,IF(OR(UPPER(E453)="TRANSPORT",UPPER(E453)="MM"),0,IF(UPPER(G453)&lt;&gt;"TAK",0,IF(OR(UPPER(E453)="ZAKUP",UPPER(E453)="PRODUKCJA"),AF453,IF(OR(UPPER(E453)="SPRZEDAŻ",UPPER(E453)="ZUŻYCIE"),-AF453,0)))))</f>
        <v/>
      </c>
      <c r="AJ453" s="21">
        <f>IF(UPPER(AD453)="SKORYGOWANY",0,IF(UPPER(E453)="ZAKUP",IF(L453&lt;&gt;"",L453,I453*K453),0))</f>
        <v/>
      </c>
      <c r="AK453" s="21">
        <f>IF(UPPER(AD453)="SKORYGOWANY",0,IF(UPPER(E453)="SPRZEDAŻ",IF(L453&lt;&gt;"",L453,I453*M453),0))</f>
        <v/>
      </c>
      <c r="AL453" s="21">
        <f>AE453*Q453</f>
        <v/>
      </c>
      <c r="AM453">
        <f>IF(R453="","",IF(LOWER(R453)="brak","Brak",IF(OR(ISNUMBER(SEARCH("własn",LOWER(R453))),ISNUMBER(SEARCH("wlasn",LOWER(R453))),ISNUMBER(SEARCH("wojciechowski",LOWER(R453)))),"Własny","Zewnętrzny")))</f>
        <v/>
      </c>
      <c r="AN453" s="24">
        <f>IF(C453="","",YEAR(C453))</f>
        <v/>
      </c>
      <c r="AO453" s="24">
        <f>IF(C453="","",MONTH(C453))</f>
        <v/>
      </c>
      <c r="AP453">
        <f>IF(C453="","",UPPER(TEXT(C453,"mmmm")))</f>
        <v/>
      </c>
      <c r="AQ453">
        <f>IF(C453="","","Q"&amp;ROUNDUP(MONTH(C453)/3,0))</f>
        <v/>
      </c>
    </row>
    <row r="454">
      <c r="A454" s="19" t="n">
        <v>46254</v>
      </c>
      <c r="C454" s="19" t="n">
        <v>46254</v>
      </c>
      <c r="D454" t="inlineStr">
        <is>
          <t>Grandpol</t>
        </is>
      </c>
      <c r="E454" t="inlineStr">
        <is>
          <t>ZAKUP</t>
        </is>
      </c>
      <c r="F454" t="inlineStr">
        <is>
          <t>PZ/92</t>
        </is>
      </c>
      <c r="G454" t="inlineStr">
        <is>
          <t>NIE</t>
        </is>
      </c>
      <c r="H454" t="inlineStr">
        <is>
          <t>KZR</t>
        </is>
      </c>
      <c r="I454" s="20" t="n">
        <v>55</v>
      </c>
      <c r="J454" t="inlineStr">
        <is>
          <t>MP</t>
        </is>
      </c>
      <c r="K454" s="21" t="n">
        <v>45</v>
      </c>
      <c r="L454" s="21" t="n">
        <v>2475</v>
      </c>
      <c r="M454" s="21" t="n">
        <v>0</v>
      </c>
      <c r="N454" t="inlineStr">
        <is>
          <t>Drewno przemysłowe z wycinek inwest.</t>
        </is>
      </c>
      <c r="Q454" s="21" t="n">
        <v>0</v>
      </c>
      <c r="T454" s="22" t="n">
        <v>0</v>
      </c>
      <c r="U454" s="21" t="n">
        <v>0</v>
      </c>
      <c r="V454" s="21" t="n">
        <v>0</v>
      </c>
      <c r="W454" t="inlineStr">
        <is>
          <t>Magazyn Zabrze</t>
        </is>
      </c>
      <c r="Y454" t="inlineStr">
        <is>
          <t>Waga: 13 820 kg</t>
        </is>
      </c>
      <c r="Z454" t="inlineStr">
        <is>
          <t>Marcin Kwiatkowski</t>
        </is>
      </c>
      <c r="AA454" s="23" t="n">
        <v>46257.89582175926</v>
      </c>
      <c r="AB454" t="inlineStr">
        <is>
          <t>OP-MIGR-00453</t>
        </is>
      </c>
      <c r="AD454" t="inlineStr">
        <is>
          <t>AKTYWNY</t>
        </is>
      </c>
      <c r="AE454" s="20">
        <f>IF(I454="",0,IF(ISNUMBER(SEARCH("MP",UPPER(J454))),I454,IF(ISNUMBER(SEARCH("TON",UPPER(J454))),I454/Przelicznik_MP_tona,IF(ISNUMBER(SEARCH("M3",UPPER(J454))),I454*Przelicznik_M3_MP,IF(ISNUMBER(SEARCH("GJ",UPPER(J454))),I454/Przelicznik_GJ_tona/Przelicznik_MP_tona,I454)))))</f>
        <v/>
      </c>
      <c r="AF454" s="20">
        <f>IF(I454="",0,IF(ISNUMBER(SEARCH("TON",UPPER(J454))),I454,IF(ISNUMBER(SEARCH("GJ",UPPER(J454))),I454/Przelicznik_GJ_tona,AE454*Przelicznik_MP_tona)))</f>
        <v/>
      </c>
      <c r="AG454" s="20">
        <f>AF454*Przelicznik_GJ_tona</f>
        <v/>
      </c>
      <c r="AH454" s="20">
        <f>IF(UPPER(AD454)="SKORYGOWANY",0,IF(OR(UPPER(E454)="TRANSPORT",UPPER(E454)="MM"),0,IF(UPPER(G454)&lt;&gt;"TAK",0,IF(OR(UPPER(E454)="ZAKUP",UPPER(E454)="PRODUKCJA"),AE454,IF(OR(UPPER(E454)="SPRZEDAŻ",UPPER(E454)="ZUŻYCIE"),-AE454,0)))))</f>
        <v/>
      </c>
      <c r="AI454" s="20">
        <f>IF(UPPER(AD454)="SKORYGOWANY",0,IF(OR(UPPER(E454)="TRANSPORT",UPPER(E454)="MM"),0,IF(UPPER(G454)&lt;&gt;"TAK",0,IF(OR(UPPER(E454)="ZAKUP",UPPER(E454)="PRODUKCJA"),AF454,IF(OR(UPPER(E454)="SPRZEDAŻ",UPPER(E454)="ZUŻYCIE"),-AF454,0)))))</f>
        <v/>
      </c>
      <c r="AJ454" s="21">
        <f>IF(UPPER(AD454)="SKORYGOWANY",0,IF(UPPER(E454)="ZAKUP",IF(L454&lt;&gt;"",L454,I454*K454),0))</f>
        <v/>
      </c>
      <c r="AK454" s="21">
        <f>IF(UPPER(AD454)="SKORYGOWANY",0,IF(UPPER(E454)="SPRZEDAŻ",IF(L454&lt;&gt;"",L454,I454*M454),0))</f>
        <v/>
      </c>
      <c r="AL454" s="21">
        <f>AE454*Q454</f>
        <v/>
      </c>
      <c r="AM454">
        <f>IF(R454="","",IF(LOWER(R454)="brak","Brak",IF(OR(ISNUMBER(SEARCH("własn",LOWER(R454))),ISNUMBER(SEARCH("wlasn",LOWER(R454))),ISNUMBER(SEARCH("wojciechowski",LOWER(R454)))),"Własny","Zewnętrzny")))</f>
        <v/>
      </c>
      <c r="AN454" s="24">
        <f>IF(C454="","",YEAR(C454))</f>
        <v/>
      </c>
      <c r="AO454" s="24">
        <f>IF(C454="","",MONTH(C454))</f>
        <v/>
      </c>
      <c r="AP454">
        <f>IF(C454="","",UPPER(TEXT(C454,"mmmm")))</f>
        <v/>
      </c>
      <c r="AQ454">
        <f>IF(C454="","","Q"&amp;ROUNDUP(MONTH(C454)/3,0))</f>
        <v/>
      </c>
    </row>
    <row r="455">
      <c r="A455" s="19" t="n">
        <v>46254</v>
      </c>
      <c r="C455" s="19" t="n">
        <v>46254</v>
      </c>
      <c r="D455" t="inlineStr">
        <is>
          <t>Magazyn Zabrze</t>
        </is>
      </c>
      <c r="E455" t="inlineStr">
        <is>
          <t>PRODUKCJA</t>
        </is>
      </c>
      <c r="F455" t="inlineStr">
        <is>
          <t>PZ/92</t>
        </is>
      </c>
      <c r="G455" t="inlineStr">
        <is>
          <t>TAK</t>
        </is>
      </c>
      <c r="H455" t="inlineStr">
        <is>
          <t>KZR</t>
        </is>
      </c>
      <c r="I455" s="20" t="n">
        <v>55</v>
      </c>
      <c r="J455" t="inlineStr">
        <is>
          <t>MP</t>
        </is>
      </c>
      <c r="K455" s="21" t="n">
        <v>0</v>
      </c>
      <c r="L455" s="21" t="n">
        <v>0</v>
      </c>
      <c r="M455" s="21" t="n">
        <v>0</v>
      </c>
      <c r="N455" t="inlineStr">
        <is>
          <t>Zrębka Produkcyjna Inwestycyjna</t>
        </is>
      </c>
      <c r="O455" t="inlineStr">
        <is>
          <t>B</t>
        </is>
      </c>
      <c r="P455" t="inlineStr">
        <is>
          <t>własne</t>
        </is>
      </c>
      <c r="Q455" s="21" t="n">
        <v>10</v>
      </c>
      <c r="T455" s="22" t="n">
        <v>0</v>
      </c>
      <c r="U455" s="21" t="n">
        <v>0</v>
      </c>
      <c r="V455" s="21" t="n">
        <v>0</v>
      </c>
      <c r="W455" t="inlineStr">
        <is>
          <t>Magazyn Zabrze</t>
        </is>
      </c>
      <c r="X455" t="inlineStr">
        <is>
          <t>Magazyn Zabrze</t>
        </is>
      </c>
      <c r="Y455" t="inlineStr">
        <is>
          <t>Rębak z Brąszewic, rębakowy Łukasz Kempski</t>
        </is>
      </c>
      <c r="Z455" t="inlineStr">
        <is>
          <t>Marcin Kwiatkowski</t>
        </is>
      </c>
      <c r="AA455" s="23" t="n">
        <v>46257.89672453704</v>
      </c>
      <c r="AB455" t="inlineStr">
        <is>
          <t>OP-MIGR-00454</t>
        </is>
      </c>
      <c r="AD455" t="inlineStr">
        <is>
          <t>AKTYWNY</t>
        </is>
      </c>
      <c r="AE455" s="20">
        <f>IF(I455="",0,IF(ISNUMBER(SEARCH("MP",UPPER(J455))),I455,IF(ISNUMBER(SEARCH("TON",UPPER(J455))),I455/Przelicznik_MP_tona,IF(ISNUMBER(SEARCH("M3",UPPER(J455))),I455*Przelicznik_M3_MP,IF(ISNUMBER(SEARCH("GJ",UPPER(J455))),I455/Przelicznik_GJ_tona/Przelicznik_MP_tona,I455)))))</f>
        <v/>
      </c>
      <c r="AF455" s="20">
        <f>IF(I455="",0,IF(ISNUMBER(SEARCH("TON",UPPER(J455))),I455,IF(ISNUMBER(SEARCH("GJ",UPPER(J455))),I455/Przelicznik_GJ_tona,AE455*Przelicznik_MP_tona)))</f>
        <v/>
      </c>
      <c r="AG455" s="20">
        <f>AF455*Przelicznik_GJ_tona</f>
        <v/>
      </c>
      <c r="AH455" s="20">
        <f>IF(UPPER(AD455)="SKORYGOWANY",0,IF(OR(UPPER(E455)="TRANSPORT",UPPER(E455)="MM"),0,IF(UPPER(G455)&lt;&gt;"TAK",0,IF(OR(UPPER(E455)="ZAKUP",UPPER(E455)="PRODUKCJA"),AE455,IF(OR(UPPER(E455)="SPRZEDAŻ",UPPER(E455)="ZUŻYCIE"),-AE455,0)))))</f>
        <v/>
      </c>
      <c r="AI455" s="20">
        <f>IF(UPPER(AD455)="SKORYGOWANY",0,IF(OR(UPPER(E455)="TRANSPORT",UPPER(E455)="MM"),0,IF(UPPER(G455)&lt;&gt;"TAK",0,IF(OR(UPPER(E455)="ZAKUP",UPPER(E455)="PRODUKCJA"),AF455,IF(OR(UPPER(E455)="SPRZEDAŻ",UPPER(E455)="ZUŻYCIE"),-AF455,0)))))</f>
        <v/>
      </c>
      <c r="AJ455" s="21">
        <f>IF(UPPER(AD455)="SKORYGOWANY",0,IF(UPPER(E455)="ZAKUP",IF(L455&lt;&gt;"",L455,I455*K455),0))</f>
        <v/>
      </c>
      <c r="AK455" s="21">
        <f>IF(UPPER(AD455)="SKORYGOWANY",0,IF(UPPER(E455)="SPRZEDAŻ",IF(L455&lt;&gt;"",L455,I455*M455),0))</f>
        <v/>
      </c>
      <c r="AL455" s="21">
        <f>AE455*Q455</f>
        <v/>
      </c>
      <c r="AM455">
        <f>IF(R455="","",IF(LOWER(R455)="brak","Brak",IF(OR(ISNUMBER(SEARCH("własn",LOWER(R455))),ISNUMBER(SEARCH("wlasn",LOWER(R455))),ISNUMBER(SEARCH("wojciechowski",LOWER(R455)))),"Własny","Zewnętrzny")))</f>
        <v/>
      </c>
      <c r="AN455" s="24">
        <f>IF(C455="","",YEAR(C455))</f>
        <v/>
      </c>
      <c r="AO455" s="24">
        <f>IF(C455="","",MONTH(C455))</f>
        <v/>
      </c>
      <c r="AP455">
        <f>IF(C455="","",UPPER(TEXT(C455,"mmmm")))</f>
        <v/>
      </c>
      <c r="AQ455">
        <f>IF(C455="","","Q"&amp;ROUNDUP(MONTH(C455)/3,0))</f>
        <v/>
      </c>
    </row>
    <row r="456">
      <c r="A456" s="19" t="n">
        <v>46254</v>
      </c>
      <c r="C456" s="19" t="n">
        <v>46254</v>
      </c>
      <c r="D456" t="inlineStr">
        <is>
          <t>Magazyn Zabrze</t>
        </is>
      </c>
      <c r="E456" t="inlineStr">
        <is>
          <t>ZUŻYCIE</t>
        </is>
      </c>
      <c r="F456" t="inlineStr">
        <is>
          <t>PZ/92</t>
        </is>
      </c>
      <c r="G456" t="inlineStr">
        <is>
          <t>TAK</t>
        </is>
      </c>
      <c r="H456" t="inlineStr">
        <is>
          <t>KZR</t>
        </is>
      </c>
      <c r="I456" s="20" t="n">
        <v>55</v>
      </c>
      <c r="J456" t="inlineStr">
        <is>
          <t>MP</t>
        </is>
      </c>
      <c r="K456" s="21" t="n">
        <v>0</v>
      </c>
      <c r="L456" s="21" t="n">
        <v>0</v>
      </c>
      <c r="M456" s="21" t="n">
        <v>0</v>
      </c>
      <c r="N456" t="inlineStr">
        <is>
          <t>Zrębka Produkcyjna Inwestycyjna</t>
        </is>
      </c>
      <c r="O456" t="inlineStr">
        <is>
          <t>B</t>
        </is>
      </c>
      <c r="P456" t="inlineStr">
        <is>
          <t>własne</t>
        </is>
      </c>
      <c r="Q456" s="21" t="n">
        <v>10</v>
      </c>
      <c r="T456" s="22" t="n">
        <v>0</v>
      </c>
      <c r="U456" s="21" t="n">
        <v>0</v>
      </c>
      <c r="V456" s="21" t="n">
        <v>0</v>
      </c>
      <c r="W456" t="inlineStr">
        <is>
          <t>Magazyn Zabrze</t>
        </is>
      </c>
      <c r="X456" t="inlineStr">
        <is>
          <t>Magazyn Zabrze</t>
        </is>
      </c>
      <c r="Y456" t="inlineStr">
        <is>
          <t>Automatyczne zużycie surowca do produkcji</t>
        </is>
      </c>
      <c r="AA456" s="23" t="n">
        <v>46257.89672453704</v>
      </c>
      <c r="AB456" t="inlineStr">
        <is>
          <t>OP-MIGR-00455</t>
        </is>
      </c>
      <c r="AD456" t="inlineStr">
        <is>
          <t>AKTYWNY</t>
        </is>
      </c>
      <c r="AE456" s="20">
        <f>IF(I456="",0,IF(ISNUMBER(SEARCH("MP",UPPER(J456))),I456,IF(ISNUMBER(SEARCH("TON",UPPER(J456))),I456/Przelicznik_MP_tona,IF(ISNUMBER(SEARCH("M3",UPPER(J456))),I456*Przelicznik_M3_MP,IF(ISNUMBER(SEARCH("GJ",UPPER(J456))),I456/Przelicznik_GJ_tona/Przelicznik_MP_tona,I456)))))</f>
        <v/>
      </c>
      <c r="AF456" s="20">
        <f>IF(I456="",0,IF(ISNUMBER(SEARCH("TON",UPPER(J456))),I456,IF(ISNUMBER(SEARCH("GJ",UPPER(J456))),I456/Przelicznik_GJ_tona,AE456*Przelicznik_MP_tona)))</f>
        <v/>
      </c>
      <c r="AG456" s="20">
        <f>AF456*Przelicznik_GJ_tona</f>
        <v/>
      </c>
      <c r="AH456" s="20">
        <f>IF(UPPER(AD456)="SKORYGOWANY",0,IF(OR(UPPER(E456)="TRANSPORT",UPPER(E456)="MM"),0,IF(UPPER(G456)&lt;&gt;"TAK",0,IF(OR(UPPER(E456)="ZAKUP",UPPER(E456)="PRODUKCJA"),AE456,IF(OR(UPPER(E456)="SPRZEDAŻ",UPPER(E456)="ZUŻYCIE"),-AE456,0)))))</f>
        <v/>
      </c>
      <c r="AI456" s="20">
        <f>IF(UPPER(AD456)="SKORYGOWANY",0,IF(OR(UPPER(E456)="TRANSPORT",UPPER(E456)="MM"),0,IF(UPPER(G456)&lt;&gt;"TAK",0,IF(OR(UPPER(E456)="ZAKUP",UPPER(E456)="PRODUKCJA"),AF456,IF(OR(UPPER(E456)="SPRZEDAŻ",UPPER(E456)="ZUŻYCIE"),-AF456,0)))))</f>
        <v/>
      </c>
      <c r="AJ456" s="21">
        <f>IF(UPPER(AD456)="SKORYGOWANY",0,IF(UPPER(E456)="ZAKUP",IF(L456&lt;&gt;"",L456,I456*K456),0))</f>
        <v/>
      </c>
      <c r="AK456" s="21">
        <f>IF(UPPER(AD456)="SKORYGOWANY",0,IF(UPPER(E456)="SPRZEDAŻ",IF(L456&lt;&gt;"",L456,I456*M456),0))</f>
        <v/>
      </c>
      <c r="AL456" s="21">
        <f>AE456*Q456</f>
        <v/>
      </c>
      <c r="AM456">
        <f>IF(R456="","",IF(LOWER(R456)="brak","Brak",IF(OR(ISNUMBER(SEARCH("własn",LOWER(R456))),ISNUMBER(SEARCH("wlasn",LOWER(R456))),ISNUMBER(SEARCH("wojciechowski",LOWER(R456)))),"Własny","Zewnętrzny")))</f>
        <v/>
      </c>
      <c r="AN456" s="24">
        <f>IF(C456="","",YEAR(C456))</f>
        <v/>
      </c>
      <c r="AO456" s="24">
        <f>IF(C456="","",MONTH(C456))</f>
        <v/>
      </c>
      <c r="AP456">
        <f>IF(C456="","",UPPER(TEXT(C456,"mmmm")))</f>
        <v/>
      </c>
      <c r="AQ456">
        <f>IF(C456="","","Q"&amp;ROUNDUP(MONTH(C456)/3,0))</f>
        <v/>
      </c>
    </row>
    <row r="457">
      <c r="A457" s="19" t="n">
        <v>46254</v>
      </c>
      <c r="B457" t="inlineStr">
        <is>
          <t>Głubczyce</t>
        </is>
      </c>
      <c r="C457" s="19" t="n">
        <v>46254</v>
      </c>
      <c r="D457" t="inlineStr">
        <is>
          <t>Magazyn Zabrze</t>
        </is>
      </c>
      <c r="E457" t="inlineStr">
        <is>
          <t>ZAKUP</t>
        </is>
      </c>
      <c r="F457" t="inlineStr">
        <is>
          <t>PZ/92</t>
        </is>
      </c>
      <c r="G457" t="inlineStr">
        <is>
          <t>TAK</t>
        </is>
      </c>
      <c r="H457" t="inlineStr">
        <is>
          <t>KZR</t>
        </is>
      </c>
      <c r="I457" s="20" t="n">
        <v>55</v>
      </c>
      <c r="J457" t="inlineStr">
        <is>
          <t>MP</t>
        </is>
      </c>
      <c r="K457" s="21" t="n">
        <v>0</v>
      </c>
      <c r="L457" s="21" t="n">
        <v>0</v>
      </c>
      <c r="M457" s="21" t="n">
        <v>0</v>
      </c>
      <c r="N457" t="inlineStr">
        <is>
          <t>Zrębka Produkcyjna Inwestycyjna</t>
        </is>
      </c>
      <c r="O457" t="inlineStr">
        <is>
          <t>B</t>
        </is>
      </c>
      <c r="Q457" s="21" t="n">
        <v>0</v>
      </c>
      <c r="R457" t="inlineStr">
        <is>
          <t>Lander Agro</t>
        </is>
      </c>
      <c r="S457" t="inlineStr">
        <is>
          <t>PY 30536</t>
        </is>
      </c>
      <c r="T457" s="22" t="n">
        <v>182</v>
      </c>
      <c r="U457" s="21" t="n">
        <v>5</v>
      </c>
      <c r="V457" s="21" t="n">
        <v>0</v>
      </c>
      <c r="W457" t="inlineStr">
        <is>
          <t>Magazyn Zabrze</t>
        </is>
      </c>
      <c r="Y457" t="inlineStr">
        <is>
          <t>Brak informacji nt. kosztu transportu, kierowca z Lander Agro</t>
        </is>
      </c>
      <c r="Z457" t="inlineStr">
        <is>
          <t>Marcin Kwiatkowski</t>
        </is>
      </c>
      <c r="AA457" s="23" t="n">
        <v>46257.89825231482</v>
      </c>
      <c r="AB457" t="inlineStr">
        <is>
          <t>OP-MIGR-00456</t>
        </is>
      </c>
      <c r="AD457" t="inlineStr">
        <is>
          <t>AKTYWNY</t>
        </is>
      </c>
      <c r="AE457" s="20">
        <f>IF(I457="",0,IF(ISNUMBER(SEARCH("MP",UPPER(J457))),I457,IF(ISNUMBER(SEARCH("TON",UPPER(J457))),I457/Przelicznik_MP_tona,IF(ISNUMBER(SEARCH("M3",UPPER(J457))),I457*Przelicznik_M3_MP,IF(ISNUMBER(SEARCH("GJ",UPPER(J457))),I457/Przelicznik_GJ_tona/Przelicznik_MP_tona,I457)))))</f>
        <v/>
      </c>
      <c r="AF457" s="20">
        <f>IF(I457="",0,IF(ISNUMBER(SEARCH("TON",UPPER(J457))),I457,IF(ISNUMBER(SEARCH("GJ",UPPER(J457))),I457/Przelicznik_GJ_tona,AE457*Przelicznik_MP_tona)))</f>
        <v/>
      </c>
      <c r="AG457" s="20">
        <f>AF457*Przelicznik_GJ_tona</f>
        <v/>
      </c>
      <c r="AH457" s="20">
        <f>IF(UPPER(AD457)="SKORYGOWANY",0,IF(OR(UPPER(E457)="TRANSPORT",UPPER(E457)="MM"),0,IF(UPPER(G457)&lt;&gt;"TAK",0,IF(OR(UPPER(E457)="ZAKUP",UPPER(E457)="PRODUKCJA"),AE457,IF(OR(UPPER(E457)="SPRZEDAŻ",UPPER(E457)="ZUŻYCIE"),-AE457,0)))))</f>
        <v/>
      </c>
      <c r="AI457" s="20">
        <f>IF(UPPER(AD457)="SKORYGOWANY",0,IF(OR(UPPER(E457)="TRANSPORT",UPPER(E457)="MM"),0,IF(UPPER(G457)&lt;&gt;"TAK",0,IF(OR(UPPER(E457)="ZAKUP",UPPER(E457)="PRODUKCJA"),AF457,IF(OR(UPPER(E457)="SPRZEDAŻ",UPPER(E457)="ZUŻYCIE"),-AF457,0)))))</f>
        <v/>
      </c>
      <c r="AJ457" s="21">
        <f>IF(UPPER(AD457)="SKORYGOWANY",0,IF(UPPER(E457)="ZAKUP",IF(L457&lt;&gt;"",L457,I457*K457),0))</f>
        <v/>
      </c>
      <c r="AK457" s="21">
        <f>IF(UPPER(AD457)="SKORYGOWANY",0,IF(UPPER(E457)="SPRZEDAŻ",IF(L457&lt;&gt;"",L457,I457*M457),0))</f>
        <v/>
      </c>
      <c r="AL457" s="21">
        <f>AE457*Q457</f>
        <v/>
      </c>
      <c r="AM457">
        <f>IF(R457="","",IF(LOWER(R457)="brak","Brak",IF(OR(ISNUMBER(SEARCH("własn",LOWER(R457))),ISNUMBER(SEARCH("wlasn",LOWER(R457))),ISNUMBER(SEARCH("wojciechowski",LOWER(R457)))),"Własny","Zewnętrzny")))</f>
        <v/>
      </c>
      <c r="AN457" s="24">
        <f>IF(C457="","",YEAR(C457))</f>
        <v/>
      </c>
      <c r="AO457" s="24">
        <f>IF(C457="","",MONTH(C457))</f>
        <v/>
      </c>
      <c r="AP457">
        <f>IF(C457="","",UPPER(TEXT(C457,"mmmm")))</f>
        <v/>
      </c>
      <c r="AQ457">
        <f>IF(C457="","","Q"&amp;ROUNDUP(MONTH(C457)/3,0))</f>
        <v/>
      </c>
    </row>
    <row r="458">
      <c r="A458" s="19" t="n">
        <v>46254</v>
      </c>
      <c r="C458" s="19" t="n">
        <v>46254</v>
      </c>
      <c r="D458" t="inlineStr">
        <is>
          <t>Grandpol</t>
        </is>
      </c>
      <c r="E458" t="inlineStr">
        <is>
          <t>ZAKUP</t>
        </is>
      </c>
      <c r="F458" t="inlineStr">
        <is>
          <t>PZ/93</t>
        </is>
      </c>
      <c r="G458" t="inlineStr">
        <is>
          <t>NIE</t>
        </is>
      </c>
      <c r="H458" t="inlineStr">
        <is>
          <t>KZR</t>
        </is>
      </c>
      <c r="I458" s="20" t="n">
        <v>55</v>
      </c>
      <c r="J458" t="inlineStr">
        <is>
          <t>MP</t>
        </is>
      </c>
      <c r="K458" s="21" t="n">
        <v>45</v>
      </c>
      <c r="L458" s="21" t="n">
        <v>2475</v>
      </c>
      <c r="M458" s="21" t="n">
        <v>0</v>
      </c>
      <c r="N458" t="inlineStr">
        <is>
          <t>Drewno przemysłowe z wycinek inwest.</t>
        </is>
      </c>
      <c r="Q458" s="21" t="n">
        <v>0</v>
      </c>
      <c r="T458" s="22" t="n">
        <v>0</v>
      </c>
      <c r="U458" s="21" t="n">
        <v>0</v>
      </c>
      <c r="V458" s="21" t="n">
        <v>0</v>
      </c>
      <c r="W458" t="inlineStr">
        <is>
          <t>Magazyn Zabrze</t>
        </is>
      </c>
      <c r="Y458" t="inlineStr">
        <is>
          <t>Waga: 19 480 kg</t>
        </is>
      </c>
      <c r="Z458" t="inlineStr">
        <is>
          <t>Marcin Kwiatkowski</t>
        </is>
      </c>
      <c r="AA458" s="23" t="n">
        <v>46257.9013425926</v>
      </c>
      <c r="AB458" t="inlineStr">
        <is>
          <t>OP-MIGR-00457</t>
        </is>
      </c>
      <c r="AD458" t="inlineStr">
        <is>
          <t>AKTYWNY</t>
        </is>
      </c>
      <c r="AE458" s="20">
        <f>IF(I458="",0,IF(ISNUMBER(SEARCH("MP",UPPER(J458))),I458,IF(ISNUMBER(SEARCH("TON",UPPER(J458))),I458/Przelicznik_MP_tona,IF(ISNUMBER(SEARCH("M3",UPPER(J458))),I458*Przelicznik_M3_MP,IF(ISNUMBER(SEARCH("GJ",UPPER(J458))),I458/Przelicznik_GJ_tona/Przelicznik_MP_tona,I458)))))</f>
        <v/>
      </c>
      <c r="AF458" s="20">
        <f>IF(I458="",0,IF(ISNUMBER(SEARCH("TON",UPPER(J458))),I458,IF(ISNUMBER(SEARCH("GJ",UPPER(J458))),I458/Przelicznik_GJ_tona,AE458*Przelicznik_MP_tona)))</f>
        <v/>
      </c>
      <c r="AG458" s="20">
        <f>AF458*Przelicznik_GJ_tona</f>
        <v/>
      </c>
      <c r="AH458" s="20">
        <f>IF(UPPER(AD458)="SKORYGOWANY",0,IF(OR(UPPER(E458)="TRANSPORT",UPPER(E458)="MM"),0,IF(UPPER(G458)&lt;&gt;"TAK",0,IF(OR(UPPER(E458)="ZAKUP",UPPER(E458)="PRODUKCJA"),AE458,IF(OR(UPPER(E458)="SPRZEDAŻ",UPPER(E458)="ZUŻYCIE"),-AE458,0)))))</f>
        <v/>
      </c>
      <c r="AI458" s="20">
        <f>IF(UPPER(AD458)="SKORYGOWANY",0,IF(OR(UPPER(E458)="TRANSPORT",UPPER(E458)="MM"),0,IF(UPPER(G458)&lt;&gt;"TAK",0,IF(OR(UPPER(E458)="ZAKUP",UPPER(E458)="PRODUKCJA"),AF458,IF(OR(UPPER(E458)="SPRZEDAŻ",UPPER(E458)="ZUŻYCIE"),-AF458,0)))))</f>
        <v/>
      </c>
      <c r="AJ458" s="21">
        <f>IF(UPPER(AD458)="SKORYGOWANY",0,IF(UPPER(E458)="ZAKUP",IF(L458&lt;&gt;"",L458,I458*K458),0))</f>
        <v/>
      </c>
      <c r="AK458" s="21">
        <f>IF(UPPER(AD458)="SKORYGOWANY",0,IF(UPPER(E458)="SPRZEDAŻ",IF(L458&lt;&gt;"",L458,I458*M458),0))</f>
        <v/>
      </c>
      <c r="AL458" s="21">
        <f>AE458*Q458</f>
        <v/>
      </c>
      <c r="AM458">
        <f>IF(R458="","",IF(LOWER(R458)="brak","Brak",IF(OR(ISNUMBER(SEARCH("własn",LOWER(R458))),ISNUMBER(SEARCH("wlasn",LOWER(R458))),ISNUMBER(SEARCH("wojciechowski",LOWER(R458)))),"Własny","Zewnętrzny")))</f>
        <v/>
      </c>
      <c r="AN458" s="24">
        <f>IF(C458="","",YEAR(C458))</f>
        <v/>
      </c>
      <c r="AO458" s="24">
        <f>IF(C458="","",MONTH(C458))</f>
        <v/>
      </c>
      <c r="AP458">
        <f>IF(C458="","",UPPER(TEXT(C458,"mmmm")))</f>
        <v/>
      </c>
      <c r="AQ458">
        <f>IF(C458="","","Q"&amp;ROUNDUP(MONTH(C458)/3,0))</f>
        <v/>
      </c>
    </row>
    <row r="459">
      <c r="A459" s="19" t="n">
        <v>46254</v>
      </c>
      <c r="C459" s="19" t="n">
        <v>46254</v>
      </c>
      <c r="D459" t="inlineStr">
        <is>
          <t>Magazyn Zabrze</t>
        </is>
      </c>
      <c r="E459" t="inlineStr">
        <is>
          <t>PRODUKCJA</t>
        </is>
      </c>
      <c r="F459" t="inlineStr">
        <is>
          <t>PZ/93</t>
        </is>
      </c>
      <c r="G459" t="inlineStr">
        <is>
          <t>TAK</t>
        </is>
      </c>
      <c r="H459" t="inlineStr">
        <is>
          <t>KZR</t>
        </is>
      </c>
      <c r="I459" s="20" t="n">
        <v>55</v>
      </c>
      <c r="J459" t="inlineStr">
        <is>
          <t>MP</t>
        </is>
      </c>
      <c r="K459" s="21" t="n">
        <v>0</v>
      </c>
      <c r="L459" s="21" t="n">
        <v>0</v>
      </c>
      <c r="M459" s="21" t="n">
        <v>0</v>
      </c>
      <c r="N459" t="inlineStr">
        <is>
          <t>Zrębka Produkcyjna Inwestycyjna</t>
        </is>
      </c>
      <c r="O459" t="inlineStr">
        <is>
          <t>B</t>
        </is>
      </c>
      <c r="P459" t="inlineStr">
        <is>
          <t>własne</t>
        </is>
      </c>
      <c r="Q459" s="21" t="n">
        <v>10</v>
      </c>
      <c r="T459" s="22" t="n">
        <v>0</v>
      </c>
      <c r="U459" s="21" t="n">
        <v>0</v>
      </c>
      <c r="V459" s="21" t="n">
        <v>0</v>
      </c>
      <c r="W459" t="inlineStr">
        <is>
          <t>Magazyn Zabrze</t>
        </is>
      </c>
      <c r="X459" t="inlineStr">
        <is>
          <t>Magazyn Zabrze</t>
        </is>
      </c>
      <c r="Y459" t="inlineStr">
        <is>
          <t>Rębak z Brąszewic, rębakowy Łukasz Kempski</t>
        </is>
      </c>
      <c r="Z459" t="inlineStr">
        <is>
          <t>Marcin Kwiatkowski</t>
        </is>
      </c>
      <c r="AA459" s="23" t="n">
        <v>46257.90202546296</v>
      </c>
      <c r="AB459" t="inlineStr">
        <is>
          <t>OP-MIGR-00458</t>
        </is>
      </c>
      <c r="AD459" t="inlineStr">
        <is>
          <t>AKTYWNY</t>
        </is>
      </c>
      <c r="AE459" s="20">
        <f>IF(I459="",0,IF(ISNUMBER(SEARCH("MP",UPPER(J459))),I459,IF(ISNUMBER(SEARCH("TON",UPPER(J459))),I459/Przelicznik_MP_tona,IF(ISNUMBER(SEARCH("M3",UPPER(J459))),I459*Przelicznik_M3_MP,IF(ISNUMBER(SEARCH("GJ",UPPER(J459))),I459/Przelicznik_GJ_tona/Przelicznik_MP_tona,I459)))))</f>
        <v/>
      </c>
      <c r="AF459" s="20">
        <f>IF(I459="",0,IF(ISNUMBER(SEARCH("TON",UPPER(J459))),I459,IF(ISNUMBER(SEARCH("GJ",UPPER(J459))),I459/Przelicznik_GJ_tona,AE459*Przelicznik_MP_tona)))</f>
        <v/>
      </c>
      <c r="AG459" s="20">
        <f>AF459*Przelicznik_GJ_tona</f>
        <v/>
      </c>
      <c r="AH459" s="20">
        <f>IF(UPPER(AD459)="SKORYGOWANY",0,IF(OR(UPPER(E459)="TRANSPORT",UPPER(E459)="MM"),0,IF(UPPER(G459)&lt;&gt;"TAK",0,IF(OR(UPPER(E459)="ZAKUP",UPPER(E459)="PRODUKCJA"),AE459,IF(OR(UPPER(E459)="SPRZEDAŻ",UPPER(E459)="ZUŻYCIE"),-AE459,0)))))</f>
        <v/>
      </c>
      <c r="AI459" s="20">
        <f>IF(UPPER(AD459)="SKORYGOWANY",0,IF(OR(UPPER(E459)="TRANSPORT",UPPER(E459)="MM"),0,IF(UPPER(G459)&lt;&gt;"TAK",0,IF(OR(UPPER(E459)="ZAKUP",UPPER(E459)="PRODUKCJA"),AF459,IF(OR(UPPER(E459)="SPRZEDAŻ",UPPER(E459)="ZUŻYCIE"),-AF459,0)))))</f>
        <v/>
      </c>
      <c r="AJ459" s="21">
        <f>IF(UPPER(AD459)="SKORYGOWANY",0,IF(UPPER(E459)="ZAKUP",IF(L459&lt;&gt;"",L459,I459*K459),0))</f>
        <v/>
      </c>
      <c r="AK459" s="21">
        <f>IF(UPPER(AD459)="SKORYGOWANY",0,IF(UPPER(E459)="SPRZEDAŻ",IF(L459&lt;&gt;"",L459,I459*M459),0))</f>
        <v/>
      </c>
      <c r="AL459" s="21">
        <f>AE459*Q459</f>
        <v/>
      </c>
      <c r="AM459">
        <f>IF(R459="","",IF(LOWER(R459)="brak","Brak",IF(OR(ISNUMBER(SEARCH("własn",LOWER(R459))),ISNUMBER(SEARCH("wlasn",LOWER(R459))),ISNUMBER(SEARCH("wojciechowski",LOWER(R459)))),"Własny","Zewnętrzny")))</f>
        <v/>
      </c>
      <c r="AN459" s="24">
        <f>IF(C459="","",YEAR(C459))</f>
        <v/>
      </c>
      <c r="AO459" s="24">
        <f>IF(C459="","",MONTH(C459))</f>
        <v/>
      </c>
      <c r="AP459">
        <f>IF(C459="","",UPPER(TEXT(C459,"mmmm")))</f>
        <v/>
      </c>
      <c r="AQ459">
        <f>IF(C459="","","Q"&amp;ROUNDUP(MONTH(C459)/3,0))</f>
        <v/>
      </c>
    </row>
    <row r="460">
      <c r="A460" s="19" t="n">
        <v>46254</v>
      </c>
      <c r="C460" s="19" t="n">
        <v>46254</v>
      </c>
      <c r="D460" t="inlineStr">
        <is>
          <t>Magazyn Zabrze</t>
        </is>
      </c>
      <c r="E460" t="inlineStr">
        <is>
          <t>ZUŻYCIE</t>
        </is>
      </c>
      <c r="F460" t="inlineStr">
        <is>
          <t>PZ/93</t>
        </is>
      </c>
      <c r="G460" t="inlineStr">
        <is>
          <t>TAK</t>
        </is>
      </c>
      <c r="H460" t="inlineStr">
        <is>
          <t>KZR</t>
        </is>
      </c>
      <c r="I460" s="20" t="n">
        <v>55</v>
      </c>
      <c r="J460" t="inlineStr">
        <is>
          <t>MP</t>
        </is>
      </c>
      <c r="K460" s="21" t="n">
        <v>0</v>
      </c>
      <c r="L460" s="21" t="n">
        <v>0</v>
      </c>
      <c r="M460" s="21" t="n">
        <v>0</v>
      </c>
      <c r="N460" t="inlineStr">
        <is>
          <t>Zrębka Produkcyjna Inwestycyjna</t>
        </is>
      </c>
      <c r="O460" t="inlineStr">
        <is>
          <t>B</t>
        </is>
      </c>
      <c r="P460" t="inlineStr">
        <is>
          <t>własne</t>
        </is>
      </c>
      <c r="Q460" s="21" t="n">
        <v>10</v>
      </c>
      <c r="T460" s="22" t="n">
        <v>0</v>
      </c>
      <c r="U460" s="21" t="n">
        <v>0</v>
      </c>
      <c r="V460" s="21" t="n">
        <v>0</v>
      </c>
      <c r="W460" t="inlineStr">
        <is>
          <t>Magazyn Zabrze</t>
        </is>
      </c>
      <c r="X460" t="inlineStr">
        <is>
          <t>Magazyn Zabrze</t>
        </is>
      </c>
      <c r="Y460" t="inlineStr">
        <is>
          <t>Automatyczne zużycie surowca do produkcji</t>
        </is>
      </c>
      <c r="AA460" s="23" t="n">
        <v>46257.90202546296</v>
      </c>
      <c r="AB460" t="inlineStr">
        <is>
          <t>OP-MIGR-00459</t>
        </is>
      </c>
      <c r="AD460" t="inlineStr">
        <is>
          <t>AKTYWNY</t>
        </is>
      </c>
      <c r="AE460" s="20">
        <f>IF(I460="",0,IF(ISNUMBER(SEARCH("MP",UPPER(J460))),I460,IF(ISNUMBER(SEARCH("TON",UPPER(J460))),I460/Przelicznik_MP_tona,IF(ISNUMBER(SEARCH("M3",UPPER(J460))),I460*Przelicznik_M3_MP,IF(ISNUMBER(SEARCH("GJ",UPPER(J460))),I460/Przelicznik_GJ_tona/Przelicznik_MP_tona,I460)))))</f>
        <v/>
      </c>
      <c r="AF460" s="20">
        <f>IF(I460="",0,IF(ISNUMBER(SEARCH("TON",UPPER(J460))),I460,IF(ISNUMBER(SEARCH("GJ",UPPER(J460))),I460/Przelicznik_GJ_tona,AE460*Przelicznik_MP_tona)))</f>
        <v/>
      </c>
      <c r="AG460" s="20">
        <f>AF460*Przelicznik_GJ_tona</f>
        <v/>
      </c>
      <c r="AH460" s="20">
        <f>IF(UPPER(AD460)="SKORYGOWANY",0,IF(OR(UPPER(E460)="TRANSPORT",UPPER(E460)="MM"),0,IF(UPPER(G460)&lt;&gt;"TAK",0,IF(OR(UPPER(E460)="ZAKUP",UPPER(E460)="PRODUKCJA"),AE460,IF(OR(UPPER(E460)="SPRZEDAŻ",UPPER(E460)="ZUŻYCIE"),-AE460,0)))))</f>
        <v/>
      </c>
      <c r="AI460" s="20">
        <f>IF(UPPER(AD460)="SKORYGOWANY",0,IF(OR(UPPER(E460)="TRANSPORT",UPPER(E460)="MM"),0,IF(UPPER(G460)&lt;&gt;"TAK",0,IF(OR(UPPER(E460)="ZAKUP",UPPER(E460)="PRODUKCJA"),AF460,IF(OR(UPPER(E460)="SPRZEDAŻ",UPPER(E460)="ZUŻYCIE"),-AF460,0)))))</f>
        <v/>
      </c>
      <c r="AJ460" s="21">
        <f>IF(UPPER(AD460)="SKORYGOWANY",0,IF(UPPER(E460)="ZAKUP",IF(L460&lt;&gt;"",L460,I460*K460),0))</f>
        <v/>
      </c>
      <c r="AK460" s="21">
        <f>IF(UPPER(AD460)="SKORYGOWANY",0,IF(UPPER(E460)="SPRZEDAŻ",IF(L460&lt;&gt;"",L460,I460*M460),0))</f>
        <v/>
      </c>
      <c r="AL460" s="21">
        <f>AE460*Q460</f>
        <v/>
      </c>
      <c r="AM460">
        <f>IF(R460="","",IF(LOWER(R460)="brak","Brak",IF(OR(ISNUMBER(SEARCH("własn",LOWER(R460))),ISNUMBER(SEARCH("wlasn",LOWER(R460))),ISNUMBER(SEARCH("wojciechowski",LOWER(R460)))),"Własny","Zewnętrzny")))</f>
        <v/>
      </c>
      <c r="AN460" s="24">
        <f>IF(C460="","",YEAR(C460))</f>
        <v/>
      </c>
      <c r="AO460" s="24">
        <f>IF(C460="","",MONTH(C460))</f>
        <v/>
      </c>
      <c r="AP460">
        <f>IF(C460="","",UPPER(TEXT(C460,"mmmm")))</f>
        <v/>
      </c>
      <c r="AQ460">
        <f>IF(C460="","","Q"&amp;ROUNDUP(MONTH(C460)/3,0))</f>
        <v/>
      </c>
    </row>
    <row r="461">
      <c r="A461" s="19" t="n">
        <v>46254</v>
      </c>
      <c r="B461" t="inlineStr">
        <is>
          <t>Głubczyce</t>
        </is>
      </c>
      <c r="C461" s="19" t="n">
        <v>46254</v>
      </c>
      <c r="D461" t="inlineStr">
        <is>
          <t>Magazyn Zabrze</t>
        </is>
      </c>
      <c r="E461" t="inlineStr">
        <is>
          <t>ZAKUP</t>
        </is>
      </c>
      <c r="F461" t="inlineStr">
        <is>
          <t>PZ/93</t>
        </is>
      </c>
      <c r="G461" t="inlineStr">
        <is>
          <t>TAK</t>
        </is>
      </c>
      <c r="H461" t="inlineStr">
        <is>
          <t>KZR</t>
        </is>
      </c>
      <c r="I461" s="20" t="n">
        <v>55</v>
      </c>
      <c r="J461" t="inlineStr">
        <is>
          <t>MP</t>
        </is>
      </c>
      <c r="K461" s="21" t="n">
        <v>0</v>
      </c>
      <c r="L461" s="21" t="n">
        <v>0</v>
      </c>
      <c r="M461" s="21" t="n">
        <v>0</v>
      </c>
      <c r="N461" t="inlineStr">
        <is>
          <t>Zrębka Produkcyjna Inwestycyjna</t>
        </is>
      </c>
      <c r="O461" t="inlineStr">
        <is>
          <t>B</t>
        </is>
      </c>
      <c r="Q461" s="21" t="n">
        <v>0</v>
      </c>
      <c r="R461" t="inlineStr">
        <is>
          <t>własny (Chrzan)</t>
        </is>
      </c>
      <c r="S461" t="inlineStr">
        <is>
          <t>SK 5L809</t>
        </is>
      </c>
      <c r="T461" s="22" t="n">
        <v>182</v>
      </c>
      <c r="U461" s="21" t="n">
        <v>5</v>
      </c>
      <c r="V461" s="21" t="n">
        <v>910</v>
      </c>
      <c r="W461" t="inlineStr">
        <is>
          <t>Magazyn Zabrze</t>
        </is>
      </c>
      <c r="Z461" t="inlineStr">
        <is>
          <t>Marcin Kwiatkowski</t>
        </is>
      </c>
      <c r="AA461" s="23" t="n">
        <v>46257.90302083334</v>
      </c>
      <c r="AB461" t="inlineStr">
        <is>
          <t>OP-MIGR-00460</t>
        </is>
      </c>
      <c r="AD461" t="inlineStr">
        <is>
          <t>AKTYWNY</t>
        </is>
      </c>
      <c r="AE461" s="20">
        <f>IF(I461="",0,IF(ISNUMBER(SEARCH("MP",UPPER(J461))),I461,IF(ISNUMBER(SEARCH("TON",UPPER(J461))),I461/Przelicznik_MP_tona,IF(ISNUMBER(SEARCH("M3",UPPER(J461))),I461*Przelicznik_M3_MP,IF(ISNUMBER(SEARCH("GJ",UPPER(J461))),I461/Przelicznik_GJ_tona/Przelicznik_MP_tona,I461)))))</f>
        <v/>
      </c>
      <c r="AF461" s="20">
        <f>IF(I461="",0,IF(ISNUMBER(SEARCH("TON",UPPER(J461))),I461,IF(ISNUMBER(SEARCH("GJ",UPPER(J461))),I461/Przelicznik_GJ_tona,AE461*Przelicznik_MP_tona)))</f>
        <v/>
      </c>
      <c r="AG461" s="20">
        <f>AF461*Przelicznik_GJ_tona</f>
        <v/>
      </c>
      <c r="AH461" s="20">
        <f>IF(UPPER(AD461)="SKORYGOWANY",0,IF(OR(UPPER(E461)="TRANSPORT",UPPER(E461)="MM"),0,IF(UPPER(G461)&lt;&gt;"TAK",0,IF(OR(UPPER(E461)="ZAKUP",UPPER(E461)="PRODUKCJA"),AE461,IF(OR(UPPER(E461)="SPRZEDAŻ",UPPER(E461)="ZUŻYCIE"),-AE461,0)))))</f>
        <v/>
      </c>
      <c r="AI461" s="20">
        <f>IF(UPPER(AD461)="SKORYGOWANY",0,IF(OR(UPPER(E461)="TRANSPORT",UPPER(E461)="MM"),0,IF(UPPER(G461)&lt;&gt;"TAK",0,IF(OR(UPPER(E461)="ZAKUP",UPPER(E461)="PRODUKCJA"),AF461,IF(OR(UPPER(E461)="SPRZEDAŻ",UPPER(E461)="ZUŻYCIE"),-AF461,0)))))</f>
        <v/>
      </c>
      <c r="AJ461" s="21">
        <f>IF(UPPER(AD461)="SKORYGOWANY",0,IF(UPPER(E461)="ZAKUP",IF(L461&lt;&gt;"",L461,I461*K461),0))</f>
        <v/>
      </c>
      <c r="AK461" s="21">
        <f>IF(UPPER(AD461)="SKORYGOWANY",0,IF(UPPER(E461)="SPRZEDAŻ",IF(L461&lt;&gt;"",L461,I461*M461),0))</f>
        <v/>
      </c>
      <c r="AL461" s="21">
        <f>AE461*Q461</f>
        <v/>
      </c>
      <c r="AM461">
        <f>IF(R461="","",IF(LOWER(R461)="brak","Brak",IF(OR(ISNUMBER(SEARCH("własn",LOWER(R461))),ISNUMBER(SEARCH("wlasn",LOWER(R461))),ISNUMBER(SEARCH("wojciechowski",LOWER(R461)))),"Własny","Zewnętrzny")))</f>
        <v/>
      </c>
      <c r="AN461" s="24">
        <f>IF(C461="","",YEAR(C461))</f>
        <v/>
      </c>
      <c r="AO461" s="24">
        <f>IF(C461="","",MONTH(C461))</f>
        <v/>
      </c>
      <c r="AP461">
        <f>IF(C461="","",UPPER(TEXT(C461,"mmmm")))</f>
        <v/>
      </c>
      <c r="AQ461">
        <f>IF(C461="","","Q"&amp;ROUNDUP(MONTH(C461)/3,0))</f>
        <v/>
      </c>
    </row>
    <row r="462">
      <c r="A462" s="19" t="n">
        <v>46254</v>
      </c>
      <c r="C462" s="19" t="n">
        <v>46254</v>
      </c>
      <c r="D462" t="inlineStr">
        <is>
          <t>Grandpol</t>
        </is>
      </c>
      <c r="E462" t="inlineStr">
        <is>
          <t>ZAKUP</t>
        </is>
      </c>
      <c r="F462" t="inlineStr">
        <is>
          <t>PZ/94</t>
        </is>
      </c>
      <c r="G462" t="inlineStr">
        <is>
          <t>NIE</t>
        </is>
      </c>
      <c r="H462" t="inlineStr">
        <is>
          <t>KZR</t>
        </is>
      </c>
      <c r="I462" s="20" t="n">
        <v>82</v>
      </c>
      <c r="J462" t="inlineStr">
        <is>
          <t>MP</t>
        </is>
      </c>
      <c r="K462" s="21" t="n">
        <v>45</v>
      </c>
      <c r="L462" s="21" t="n">
        <v>3690</v>
      </c>
      <c r="M462" s="21" t="n">
        <v>0</v>
      </c>
      <c r="N462" t="inlineStr">
        <is>
          <t>Drewno przemysłowe z wycinek inwest.</t>
        </is>
      </c>
      <c r="Q462" s="21" t="n">
        <v>0</v>
      </c>
      <c r="T462" s="22" t="n">
        <v>0</v>
      </c>
      <c r="U462" s="21" t="n">
        <v>0</v>
      </c>
      <c r="V462" s="21" t="n">
        <v>0</v>
      </c>
      <c r="W462" t="inlineStr">
        <is>
          <t>Magazyn Zabrze</t>
        </is>
      </c>
      <c r="Y462" t="inlineStr">
        <is>
          <t>Waga: 25 080 kg</t>
        </is>
      </c>
      <c r="Z462" t="inlineStr">
        <is>
          <t>Marcin Kwiatkowski</t>
        </is>
      </c>
      <c r="AA462" s="23" t="n">
        <v>46257.90458333334</v>
      </c>
      <c r="AB462" t="inlineStr">
        <is>
          <t>OP-MIGR-00461</t>
        </is>
      </c>
      <c r="AD462" t="inlineStr">
        <is>
          <t>AKTYWNY</t>
        </is>
      </c>
      <c r="AE462" s="20">
        <f>IF(I462="",0,IF(ISNUMBER(SEARCH("MP",UPPER(J462))),I462,IF(ISNUMBER(SEARCH("TON",UPPER(J462))),I462/Przelicznik_MP_tona,IF(ISNUMBER(SEARCH("M3",UPPER(J462))),I462*Przelicznik_M3_MP,IF(ISNUMBER(SEARCH("GJ",UPPER(J462))),I462/Przelicznik_GJ_tona/Przelicznik_MP_tona,I462)))))</f>
        <v/>
      </c>
      <c r="AF462" s="20">
        <f>IF(I462="",0,IF(ISNUMBER(SEARCH("TON",UPPER(J462))),I462,IF(ISNUMBER(SEARCH("GJ",UPPER(J462))),I462/Przelicznik_GJ_tona,AE462*Przelicznik_MP_tona)))</f>
        <v/>
      </c>
      <c r="AG462" s="20">
        <f>AF462*Przelicznik_GJ_tona</f>
        <v/>
      </c>
      <c r="AH462" s="20">
        <f>IF(UPPER(AD462)="SKORYGOWANY",0,IF(OR(UPPER(E462)="TRANSPORT",UPPER(E462)="MM"),0,IF(UPPER(G462)&lt;&gt;"TAK",0,IF(OR(UPPER(E462)="ZAKUP",UPPER(E462)="PRODUKCJA"),AE462,IF(OR(UPPER(E462)="SPRZEDAŻ",UPPER(E462)="ZUŻYCIE"),-AE462,0)))))</f>
        <v/>
      </c>
      <c r="AI462" s="20">
        <f>IF(UPPER(AD462)="SKORYGOWANY",0,IF(OR(UPPER(E462)="TRANSPORT",UPPER(E462)="MM"),0,IF(UPPER(G462)&lt;&gt;"TAK",0,IF(OR(UPPER(E462)="ZAKUP",UPPER(E462)="PRODUKCJA"),AF462,IF(OR(UPPER(E462)="SPRZEDAŻ",UPPER(E462)="ZUŻYCIE"),-AF462,0)))))</f>
        <v/>
      </c>
      <c r="AJ462" s="21">
        <f>IF(UPPER(AD462)="SKORYGOWANY",0,IF(UPPER(E462)="ZAKUP",IF(L462&lt;&gt;"",L462,I462*K462),0))</f>
        <v/>
      </c>
      <c r="AK462" s="21">
        <f>IF(UPPER(AD462)="SKORYGOWANY",0,IF(UPPER(E462)="SPRZEDAŻ",IF(L462&lt;&gt;"",L462,I462*M462),0))</f>
        <v/>
      </c>
      <c r="AL462" s="21">
        <f>AE462*Q462</f>
        <v/>
      </c>
      <c r="AM462">
        <f>IF(R462="","",IF(LOWER(R462)="brak","Brak",IF(OR(ISNUMBER(SEARCH("własn",LOWER(R462))),ISNUMBER(SEARCH("wlasn",LOWER(R462))),ISNUMBER(SEARCH("wojciechowski",LOWER(R462)))),"Własny","Zewnętrzny")))</f>
        <v/>
      </c>
      <c r="AN462" s="24">
        <f>IF(C462="","",YEAR(C462))</f>
        <v/>
      </c>
      <c r="AO462" s="24">
        <f>IF(C462="","",MONTH(C462))</f>
        <v/>
      </c>
      <c r="AP462">
        <f>IF(C462="","",UPPER(TEXT(C462,"mmmm")))</f>
        <v/>
      </c>
      <c r="AQ462">
        <f>IF(C462="","","Q"&amp;ROUNDUP(MONTH(C462)/3,0))</f>
        <v/>
      </c>
    </row>
    <row r="463">
      <c r="A463" s="19" t="n">
        <v>46254</v>
      </c>
      <c r="C463" s="19" t="n">
        <v>46254</v>
      </c>
      <c r="D463" t="inlineStr">
        <is>
          <t>Magazyn Zabrze</t>
        </is>
      </c>
      <c r="E463" t="inlineStr">
        <is>
          <t>PRODUKCJA</t>
        </is>
      </c>
      <c r="F463" t="inlineStr">
        <is>
          <t>PZ/94</t>
        </is>
      </c>
      <c r="G463" t="inlineStr">
        <is>
          <t>TAK</t>
        </is>
      </c>
      <c r="H463" t="inlineStr">
        <is>
          <t>KZR</t>
        </is>
      </c>
      <c r="I463" s="20" t="n">
        <v>82</v>
      </c>
      <c r="J463" t="inlineStr">
        <is>
          <t>MP</t>
        </is>
      </c>
      <c r="K463" s="21" t="n">
        <v>0</v>
      </c>
      <c r="L463" s="21" t="n">
        <v>0</v>
      </c>
      <c r="M463" s="21" t="n">
        <v>0</v>
      </c>
      <c r="N463" t="inlineStr">
        <is>
          <t>Zrębka Produkcyjna Inwestycyjna</t>
        </is>
      </c>
      <c r="O463" t="inlineStr">
        <is>
          <t>B</t>
        </is>
      </c>
      <c r="P463" t="inlineStr">
        <is>
          <t>własne</t>
        </is>
      </c>
      <c r="Q463" s="21" t="n">
        <v>10</v>
      </c>
      <c r="T463" s="22" t="n">
        <v>0</v>
      </c>
      <c r="U463" s="21" t="n">
        <v>0</v>
      </c>
      <c r="V463" s="21" t="n">
        <v>0</v>
      </c>
      <c r="W463" t="inlineStr">
        <is>
          <t>Magazyn Zabrze</t>
        </is>
      </c>
      <c r="X463" t="inlineStr">
        <is>
          <t>Magazyn Zabrze</t>
        </is>
      </c>
      <c r="Y463" t="inlineStr">
        <is>
          <t>Rębak z Brąszewic, rębakowy Łukasz Kempski</t>
        </is>
      </c>
      <c r="Z463" t="inlineStr">
        <is>
          <t>Marcin Kwiatkowski</t>
        </is>
      </c>
      <c r="AA463" s="23" t="n">
        <v>46257.90601851852</v>
      </c>
      <c r="AB463" t="inlineStr">
        <is>
          <t>OP-MIGR-00462</t>
        </is>
      </c>
      <c r="AD463" t="inlineStr">
        <is>
          <t>AKTYWNY</t>
        </is>
      </c>
      <c r="AE463" s="20">
        <f>IF(I463="",0,IF(ISNUMBER(SEARCH("MP",UPPER(J463))),I463,IF(ISNUMBER(SEARCH("TON",UPPER(J463))),I463/Przelicznik_MP_tona,IF(ISNUMBER(SEARCH("M3",UPPER(J463))),I463*Przelicznik_M3_MP,IF(ISNUMBER(SEARCH("GJ",UPPER(J463))),I463/Przelicznik_GJ_tona/Przelicznik_MP_tona,I463)))))</f>
        <v/>
      </c>
      <c r="AF463" s="20">
        <f>IF(I463="",0,IF(ISNUMBER(SEARCH("TON",UPPER(J463))),I463,IF(ISNUMBER(SEARCH("GJ",UPPER(J463))),I463/Przelicznik_GJ_tona,AE463*Przelicznik_MP_tona)))</f>
        <v/>
      </c>
      <c r="AG463" s="20">
        <f>AF463*Przelicznik_GJ_tona</f>
        <v/>
      </c>
      <c r="AH463" s="20">
        <f>IF(UPPER(AD463)="SKORYGOWANY",0,IF(OR(UPPER(E463)="TRANSPORT",UPPER(E463)="MM"),0,IF(UPPER(G463)&lt;&gt;"TAK",0,IF(OR(UPPER(E463)="ZAKUP",UPPER(E463)="PRODUKCJA"),AE463,IF(OR(UPPER(E463)="SPRZEDAŻ",UPPER(E463)="ZUŻYCIE"),-AE463,0)))))</f>
        <v/>
      </c>
      <c r="AI463" s="20">
        <f>IF(UPPER(AD463)="SKORYGOWANY",0,IF(OR(UPPER(E463)="TRANSPORT",UPPER(E463)="MM"),0,IF(UPPER(G463)&lt;&gt;"TAK",0,IF(OR(UPPER(E463)="ZAKUP",UPPER(E463)="PRODUKCJA"),AF463,IF(OR(UPPER(E463)="SPRZEDAŻ",UPPER(E463)="ZUŻYCIE"),-AF463,0)))))</f>
        <v/>
      </c>
      <c r="AJ463" s="21">
        <f>IF(UPPER(AD463)="SKORYGOWANY",0,IF(UPPER(E463)="ZAKUP",IF(L463&lt;&gt;"",L463,I463*K463),0))</f>
        <v/>
      </c>
      <c r="AK463" s="21">
        <f>IF(UPPER(AD463)="SKORYGOWANY",0,IF(UPPER(E463)="SPRZEDAŻ",IF(L463&lt;&gt;"",L463,I463*M463),0))</f>
        <v/>
      </c>
      <c r="AL463" s="21">
        <f>AE463*Q463</f>
        <v/>
      </c>
      <c r="AM463">
        <f>IF(R463="","",IF(LOWER(R463)="brak","Brak",IF(OR(ISNUMBER(SEARCH("własn",LOWER(R463))),ISNUMBER(SEARCH("wlasn",LOWER(R463))),ISNUMBER(SEARCH("wojciechowski",LOWER(R463)))),"Własny","Zewnętrzny")))</f>
        <v/>
      </c>
      <c r="AN463" s="24">
        <f>IF(C463="","",YEAR(C463))</f>
        <v/>
      </c>
      <c r="AO463" s="24">
        <f>IF(C463="","",MONTH(C463))</f>
        <v/>
      </c>
      <c r="AP463">
        <f>IF(C463="","",UPPER(TEXT(C463,"mmmm")))</f>
        <v/>
      </c>
      <c r="AQ463">
        <f>IF(C463="","","Q"&amp;ROUNDUP(MONTH(C463)/3,0))</f>
        <v/>
      </c>
    </row>
    <row r="464">
      <c r="A464" s="19" t="n">
        <v>46254</v>
      </c>
      <c r="C464" s="19" t="n">
        <v>46254</v>
      </c>
      <c r="D464" t="inlineStr">
        <is>
          <t>Magazyn Zabrze</t>
        </is>
      </c>
      <c r="E464" t="inlineStr">
        <is>
          <t>ZUŻYCIE</t>
        </is>
      </c>
      <c r="F464" t="inlineStr">
        <is>
          <t>PZ/94</t>
        </is>
      </c>
      <c r="G464" t="inlineStr">
        <is>
          <t>TAK</t>
        </is>
      </c>
      <c r="H464" t="inlineStr">
        <is>
          <t>KZR</t>
        </is>
      </c>
      <c r="I464" s="20" t="n">
        <v>82</v>
      </c>
      <c r="J464" t="inlineStr">
        <is>
          <t>MP</t>
        </is>
      </c>
      <c r="K464" s="21" t="n">
        <v>0</v>
      </c>
      <c r="L464" s="21" t="n">
        <v>0</v>
      </c>
      <c r="M464" s="21" t="n">
        <v>0</v>
      </c>
      <c r="N464" t="inlineStr">
        <is>
          <t>Zrębka Produkcyjna Inwestycyjna</t>
        </is>
      </c>
      <c r="O464" t="inlineStr">
        <is>
          <t>B</t>
        </is>
      </c>
      <c r="P464" t="inlineStr">
        <is>
          <t>własne</t>
        </is>
      </c>
      <c r="Q464" s="21" t="n">
        <v>10</v>
      </c>
      <c r="T464" s="22" t="n">
        <v>0</v>
      </c>
      <c r="U464" s="21" t="n">
        <v>0</v>
      </c>
      <c r="V464" s="21" t="n">
        <v>0</v>
      </c>
      <c r="W464" t="inlineStr">
        <is>
          <t>Magazyn Zabrze</t>
        </is>
      </c>
      <c r="X464" t="inlineStr">
        <is>
          <t>Magazyn Zabrze</t>
        </is>
      </c>
      <c r="Y464" t="inlineStr">
        <is>
          <t>Automatyczne zużycie surowca do produkcji</t>
        </is>
      </c>
      <c r="AA464" s="23" t="n">
        <v>46257.90601851852</v>
      </c>
      <c r="AB464" t="inlineStr">
        <is>
          <t>OP-MIGR-00463</t>
        </is>
      </c>
      <c r="AD464" t="inlineStr">
        <is>
          <t>AKTYWNY</t>
        </is>
      </c>
      <c r="AE464" s="20">
        <f>IF(I464="",0,IF(ISNUMBER(SEARCH("MP",UPPER(J464))),I464,IF(ISNUMBER(SEARCH("TON",UPPER(J464))),I464/Przelicznik_MP_tona,IF(ISNUMBER(SEARCH("M3",UPPER(J464))),I464*Przelicznik_M3_MP,IF(ISNUMBER(SEARCH("GJ",UPPER(J464))),I464/Przelicznik_GJ_tona/Przelicznik_MP_tona,I464)))))</f>
        <v/>
      </c>
      <c r="AF464" s="20">
        <f>IF(I464="",0,IF(ISNUMBER(SEARCH("TON",UPPER(J464))),I464,IF(ISNUMBER(SEARCH("GJ",UPPER(J464))),I464/Przelicznik_GJ_tona,AE464*Przelicznik_MP_tona)))</f>
        <v/>
      </c>
      <c r="AG464" s="20">
        <f>AF464*Przelicznik_GJ_tona</f>
        <v/>
      </c>
      <c r="AH464" s="20">
        <f>IF(UPPER(AD464)="SKORYGOWANY",0,IF(OR(UPPER(E464)="TRANSPORT",UPPER(E464)="MM"),0,IF(UPPER(G464)&lt;&gt;"TAK",0,IF(OR(UPPER(E464)="ZAKUP",UPPER(E464)="PRODUKCJA"),AE464,IF(OR(UPPER(E464)="SPRZEDAŻ",UPPER(E464)="ZUŻYCIE"),-AE464,0)))))</f>
        <v/>
      </c>
      <c r="AI464" s="20">
        <f>IF(UPPER(AD464)="SKORYGOWANY",0,IF(OR(UPPER(E464)="TRANSPORT",UPPER(E464)="MM"),0,IF(UPPER(G464)&lt;&gt;"TAK",0,IF(OR(UPPER(E464)="ZAKUP",UPPER(E464)="PRODUKCJA"),AF464,IF(OR(UPPER(E464)="SPRZEDAŻ",UPPER(E464)="ZUŻYCIE"),-AF464,0)))))</f>
        <v/>
      </c>
      <c r="AJ464" s="21">
        <f>IF(UPPER(AD464)="SKORYGOWANY",0,IF(UPPER(E464)="ZAKUP",IF(L464&lt;&gt;"",L464,I464*K464),0))</f>
        <v/>
      </c>
      <c r="AK464" s="21">
        <f>IF(UPPER(AD464)="SKORYGOWANY",0,IF(UPPER(E464)="SPRZEDAŻ",IF(L464&lt;&gt;"",L464,I464*M464),0))</f>
        <v/>
      </c>
      <c r="AL464" s="21">
        <f>AE464*Q464</f>
        <v/>
      </c>
      <c r="AM464">
        <f>IF(R464="","",IF(LOWER(R464)="brak","Brak",IF(OR(ISNUMBER(SEARCH("własn",LOWER(R464))),ISNUMBER(SEARCH("wlasn",LOWER(R464))),ISNUMBER(SEARCH("wojciechowski",LOWER(R464)))),"Własny","Zewnętrzny")))</f>
        <v/>
      </c>
      <c r="AN464" s="24">
        <f>IF(C464="","",YEAR(C464))</f>
        <v/>
      </c>
      <c r="AO464" s="24">
        <f>IF(C464="","",MONTH(C464))</f>
        <v/>
      </c>
      <c r="AP464">
        <f>IF(C464="","",UPPER(TEXT(C464,"mmmm")))</f>
        <v/>
      </c>
      <c r="AQ464">
        <f>IF(C464="","","Q"&amp;ROUNDUP(MONTH(C464)/3,0))</f>
        <v/>
      </c>
    </row>
    <row r="465">
      <c r="A465" s="19" t="n">
        <v>46254</v>
      </c>
      <c r="B465" t="inlineStr">
        <is>
          <t>Głubczyce</t>
        </is>
      </c>
      <c r="C465" s="19" t="n">
        <v>46254</v>
      </c>
      <c r="D465" t="inlineStr">
        <is>
          <t>Magazyn Zabrze</t>
        </is>
      </c>
      <c r="E465" t="inlineStr">
        <is>
          <t>ZAKUP</t>
        </is>
      </c>
      <c r="F465" t="inlineStr">
        <is>
          <t>PZ/94</t>
        </is>
      </c>
      <c r="G465" t="inlineStr">
        <is>
          <t>TAK</t>
        </is>
      </c>
      <c r="H465" t="inlineStr">
        <is>
          <t>KZR</t>
        </is>
      </c>
      <c r="I465" s="20" t="n">
        <v>82</v>
      </c>
      <c r="J465" t="inlineStr">
        <is>
          <t>MP</t>
        </is>
      </c>
      <c r="K465" s="21" t="n">
        <v>0</v>
      </c>
      <c r="L465" s="21" t="n">
        <v>0</v>
      </c>
      <c r="M465" s="21" t="n">
        <v>0</v>
      </c>
      <c r="N465" t="inlineStr">
        <is>
          <t>Zrębka Produkcyjna Inwestycyjna</t>
        </is>
      </c>
      <c r="O465" t="inlineStr">
        <is>
          <t>B</t>
        </is>
      </c>
      <c r="Q465" s="21" t="n">
        <v>0</v>
      </c>
      <c r="R465" t="inlineStr">
        <is>
          <t>własny (Wilczak)</t>
        </is>
      </c>
      <c r="S465" t="inlineStr">
        <is>
          <t>SK 7J884</t>
        </is>
      </c>
      <c r="T465" s="22" t="n">
        <v>182</v>
      </c>
      <c r="U465" s="21" t="n">
        <v>5</v>
      </c>
      <c r="V465" s="21" t="n">
        <v>910</v>
      </c>
      <c r="W465" t="inlineStr">
        <is>
          <t>Magazyn Zabrze</t>
        </is>
      </c>
      <c r="Z465" t="inlineStr">
        <is>
          <t>Marcin Kwiatkowski</t>
        </is>
      </c>
      <c r="AA465" s="23" t="n">
        <v>46257.90703703704</v>
      </c>
      <c r="AB465" t="inlineStr">
        <is>
          <t>OP-MIGR-00464</t>
        </is>
      </c>
      <c r="AD465" t="inlineStr">
        <is>
          <t>AKTYWNY</t>
        </is>
      </c>
      <c r="AE465" s="20">
        <f>IF(I465="",0,IF(ISNUMBER(SEARCH("MP",UPPER(J465))),I465,IF(ISNUMBER(SEARCH("TON",UPPER(J465))),I465/Przelicznik_MP_tona,IF(ISNUMBER(SEARCH("M3",UPPER(J465))),I465*Przelicznik_M3_MP,IF(ISNUMBER(SEARCH("GJ",UPPER(J465))),I465/Przelicznik_GJ_tona/Przelicznik_MP_tona,I465)))))</f>
        <v/>
      </c>
      <c r="AF465" s="20">
        <f>IF(I465="",0,IF(ISNUMBER(SEARCH("TON",UPPER(J465))),I465,IF(ISNUMBER(SEARCH("GJ",UPPER(J465))),I465/Przelicznik_GJ_tona,AE465*Przelicznik_MP_tona)))</f>
        <v/>
      </c>
      <c r="AG465" s="20">
        <f>AF465*Przelicznik_GJ_tona</f>
        <v/>
      </c>
      <c r="AH465" s="20">
        <f>IF(UPPER(AD465)="SKORYGOWANY",0,IF(OR(UPPER(E465)="TRANSPORT",UPPER(E465)="MM"),0,IF(UPPER(G465)&lt;&gt;"TAK",0,IF(OR(UPPER(E465)="ZAKUP",UPPER(E465)="PRODUKCJA"),AE465,IF(OR(UPPER(E465)="SPRZEDAŻ",UPPER(E465)="ZUŻYCIE"),-AE465,0)))))</f>
        <v/>
      </c>
      <c r="AI465" s="20">
        <f>IF(UPPER(AD465)="SKORYGOWANY",0,IF(OR(UPPER(E465)="TRANSPORT",UPPER(E465)="MM"),0,IF(UPPER(G465)&lt;&gt;"TAK",0,IF(OR(UPPER(E465)="ZAKUP",UPPER(E465)="PRODUKCJA"),AF465,IF(OR(UPPER(E465)="SPRZEDAŻ",UPPER(E465)="ZUŻYCIE"),-AF465,0)))))</f>
        <v/>
      </c>
      <c r="AJ465" s="21">
        <f>IF(UPPER(AD465)="SKORYGOWANY",0,IF(UPPER(E465)="ZAKUP",IF(L465&lt;&gt;"",L465,I465*K465),0))</f>
        <v/>
      </c>
      <c r="AK465" s="21">
        <f>IF(UPPER(AD465)="SKORYGOWANY",0,IF(UPPER(E465)="SPRZEDAŻ",IF(L465&lt;&gt;"",L465,I465*M465),0))</f>
        <v/>
      </c>
      <c r="AL465" s="21">
        <f>AE465*Q465</f>
        <v/>
      </c>
      <c r="AM465">
        <f>IF(R465="","",IF(LOWER(R465)="brak","Brak",IF(OR(ISNUMBER(SEARCH("własn",LOWER(R465))),ISNUMBER(SEARCH("wlasn",LOWER(R465))),ISNUMBER(SEARCH("wojciechowski",LOWER(R465)))),"Własny","Zewnętrzny")))</f>
        <v/>
      </c>
      <c r="AN465" s="24">
        <f>IF(C465="","",YEAR(C465))</f>
        <v/>
      </c>
      <c r="AO465" s="24">
        <f>IF(C465="","",MONTH(C465))</f>
        <v/>
      </c>
      <c r="AP465">
        <f>IF(C465="","",UPPER(TEXT(C465,"mmmm")))</f>
        <v/>
      </c>
      <c r="AQ465">
        <f>IF(C465="","","Q"&amp;ROUNDUP(MONTH(C465)/3,0))</f>
        <v/>
      </c>
    </row>
    <row r="466">
      <c r="A466" s="19" t="n">
        <v>46254</v>
      </c>
      <c r="C466" s="19" t="n">
        <v>46254</v>
      </c>
      <c r="D466" t="inlineStr">
        <is>
          <t>Grandpol</t>
        </is>
      </c>
      <c r="E466" t="inlineStr">
        <is>
          <t>ZAKUP</t>
        </is>
      </c>
      <c r="F466" t="inlineStr">
        <is>
          <t>PZ/95</t>
        </is>
      </c>
      <c r="G466" t="inlineStr">
        <is>
          <t>NIE</t>
        </is>
      </c>
      <c r="H466" t="inlineStr">
        <is>
          <t>KZR</t>
        </is>
      </c>
      <c r="I466" s="20" t="n">
        <v>32</v>
      </c>
      <c r="J466" t="inlineStr">
        <is>
          <t>MP</t>
        </is>
      </c>
      <c r="K466" s="21" t="n">
        <v>45</v>
      </c>
      <c r="L466" s="21" t="n">
        <v>1440</v>
      </c>
      <c r="M466" s="21" t="n">
        <v>0</v>
      </c>
      <c r="N466" t="inlineStr">
        <is>
          <t>Drewno przemysłowe z wycinek inwest.</t>
        </is>
      </c>
      <c r="Q466" s="21" t="n">
        <v>0</v>
      </c>
      <c r="T466" s="22" t="n">
        <v>0</v>
      </c>
      <c r="U466" s="21" t="n">
        <v>0</v>
      </c>
      <c r="V466" s="21" t="n">
        <v>0</v>
      </c>
      <c r="W466" t="inlineStr">
        <is>
          <t>Magazyn Zabrze</t>
        </is>
      </c>
      <c r="Y466" t="inlineStr">
        <is>
          <t>Waga: 13 300 kg</t>
        </is>
      </c>
      <c r="Z466" t="inlineStr">
        <is>
          <t>Marcin Kwiatkowski</t>
        </is>
      </c>
      <c r="AA466" s="23" t="n">
        <v>46257.90820601852</v>
      </c>
      <c r="AB466" t="inlineStr">
        <is>
          <t>OP-MIGR-00465</t>
        </is>
      </c>
      <c r="AD466" t="inlineStr">
        <is>
          <t>AKTYWNY</t>
        </is>
      </c>
      <c r="AE466" s="20">
        <f>IF(I466="",0,IF(ISNUMBER(SEARCH("MP",UPPER(J466))),I466,IF(ISNUMBER(SEARCH("TON",UPPER(J466))),I466/Przelicznik_MP_tona,IF(ISNUMBER(SEARCH("M3",UPPER(J466))),I466*Przelicznik_M3_MP,IF(ISNUMBER(SEARCH("GJ",UPPER(J466))),I466/Przelicznik_GJ_tona/Przelicznik_MP_tona,I466)))))</f>
        <v/>
      </c>
      <c r="AF466" s="20">
        <f>IF(I466="",0,IF(ISNUMBER(SEARCH("TON",UPPER(J466))),I466,IF(ISNUMBER(SEARCH("GJ",UPPER(J466))),I466/Przelicznik_GJ_tona,AE466*Przelicznik_MP_tona)))</f>
        <v/>
      </c>
      <c r="AG466" s="20">
        <f>AF466*Przelicznik_GJ_tona</f>
        <v/>
      </c>
      <c r="AH466" s="20">
        <f>IF(UPPER(AD466)="SKORYGOWANY",0,IF(OR(UPPER(E466)="TRANSPORT",UPPER(E466)="MM"),0,IF(UPPER(G466)&lt;&gt;"TAK",0,IF(OR(UPPER(E466)="ZAKUP",UPPER(E466)="PRODUKCJA"),AE466,IF(OR(UPPER(E466)="SPRZEDAŻ",UPPER(E466)="ZUŻYCIE"),-AE466,0)))))</f>
        <v/>
      </c>
      <c r="AI466" s="20">
        <f>IF(UPPER(AD466)="SKORYGOWANY",0,IF(OR(UPPER(E466)="TRANSPORT",UPPER(E466)="MM"),0,IF(UPPER(G466)&lt;&gt;"TAK",0,IF(OR(UPPER(E466)="ZAKUP",UPPER(E466)="PRODUKCJA"),AF466,IF(OR(UPPER(E466)="SPRZEDAŻ",UPPER(E466)="ZUŻYCIE"),-AF466,0)))))</f>
        <v/>
      </c>
      <c r="AJ466" s="21">
        <f>IF(UPPER(AD466)="SKORYGOWANY",0,IF(UPPER(E466)="ZAKUP",IF(L466&lt;&gt;"",L466,I466*K466),0))</f>
        <v/>
      </c>
      <c r="AK466" s="21">
        <f>IF(UPPER(AD466)="SKORYGOWANY",0,IF(UPPER(E466)="SPRZEDAŻ",IF(L466&lt;&gt;"",L466,I466*M466),0))</f>
        <v/>
      </c>
      <c r="AL466" s="21">
        <f>AE466*Q466</f>
        <v/>
      </c>
      <c r="AM466">
        <f>IF(R466="","",IF(LOWER(R466)="brak","Brak",IF(OR(ISNUMBER(SEARCH("własn",LOWER(R466))),ISNUMBER(SEARCH("wlasn",LOWER(R466))),ISNUMBER(SEARCH("wojciechowski",LOWER(R466)))),"Własny","Zewnętrzny")))</f>
        <v/>
      </c>
      <c r="AN466" s="24">
        <f>IF(C466="","",YEAR(C466))</f>
        <v/>
      </c>
      <c r="AO466" s="24">
        <f>IF(C466="","",MONTH(C466))</f>
        <v/>
      </c>
      <c r="AP466">
        <f>IF(C466="","",UPPER(TEXT(C466,"mmmm")))</f>
        <v/>
      </c>
      <c r="AQ466">
        <f>IF(C466="","","Q"&amp;ROUNDUP(MONTH(C466)/3,0))</f>
        <v/>
      </c>
    </row>
    <row r="467">
      <c r="A467" s="19" t="n">
        <v>46254</v>
      </c>
      <c r="C467" s="19" t="n">
        <v>46254</v>
      </c>
      <c r="D467" t="inlineStr">
        <is>
          <t>Magazyn Zabrze</t>
        </is>
      </c>
      <c r="E467" t="inlineStr">
        <is>
          <t>PRODUKCJA</t>
        </is>
      </c>
      <c r="F467" t="inlineStr">
        <is>
          <t>PZ/95</t>
        </is>
      </c>
      <c r="G467" t="inlineStr">
        <is>
          <t>TAK</t>
        </is>
      </c>
      <c r="H467" t="inlineStr">
        <is>
          <t>KZR</t>
        </is>
      </c>
      <c r="I467" s="20" t="n">
        <v>32</v>
      </c>
      <c r="J467" t="inlineStr">
        <is>
          <t>MP</t>
        </is>
      </c>
      <c r="K467" s="21" t="n">
        <v>0</v>
      </c>
      <c r="L467" s="21" t="n">
        <v>0</v>
      </c>
      <c r="M467" s="21" t="n">
        <v>0</v>
      </c>
      <c r="N467" t="inlineStr">
        <is>
          <t>Zrębka Produkcyjna Inwestycyjna</t>
        </is>
      </c>
      <c r="O467" t="inlineStr">
        <is>
          <t>B</t>
        </is>
      </c>
      <c r="P467" t="inlineStr">
        <is>
          <t>własne</t>
        </is>
      </c>
      <c r="Q467" s="21" t="n">
        <v>10</v>
      </c>
      <c r="T467" s="22" t="n">
        <v>0</v>
      </c>
      <c r="U467" s="21" t="n">
        <v>0</v>
      </c>
      <c r="V467" s="21" t="n">
        <v>0</v>
      </c>
      <c r="W467" t="inlineStr">
        <is>
          <t>Magazyn Zabrze</t>
        </is>
      </c>
      <c r="X467" t="inlineStr">
        <is>
          <t>Magazyn Zabrze</t>
        </is>
      </c>
      <c r="Y467" t="inlineStr">
        <is>
          <t>Rębak z Brąszewic, rębakowy Łukasz Kempski</t>
        </is>
      </c>
      <c r="Z467" t="inlineStr">
        <is>
          <t>Marcin Kwiatkowski</t>
        </is>
      </c>
      <c r="AA467" s="23" t="n">
        <v>46257.90905092593</v>
      </c>
      <c r="AB467" t="inlineStr">
        <is>
          <t>OP-MIGR-00466</t>
        </is>
      </c>
      <c r="AD467" t="inlineStr">
        <is>
          <t>AKTYWNY</t>
        </is>
      </c>
      <c r="AE467" s="20">
        <f>IF(I467="",0,IF(ISNUMBER(SEARCH("MP",UPPER(J467))),I467,IF(ISNUMBER(SEARCH("TON",UPPER(J467))),I467/Przelicznik_MP_tona,IF(ISNUMBER(SEARCH("M3",UPPER(J467))),I467*Przelicznik_M3_MP,IF(ISNUMBER(SEARCH("GJ",UPPER(J467))),I467/Przelicznik_GJ_tona/Przelicznik_MP_tona,I467)))))</f>
        <v/>
      </c>
      <c r="AF467" s="20">
        <f>IF(I467="",0,IF(ISNUMBER(SEARCH("TON",UPPER(J467))),I467,IF(ISNUMBER(SEARCH("GJ",UPPER(J467))),I467/Przelicznik_GJ_tona,AE467*Przelicznik_MP_tona)))</f>
        <v/>
      </c>
      <c r="AG467" s="20">
        <f>AF467*Przelicznik_GJ_tona</f>
        <v/>
      </c>
      <c r="AH467" s="20">
        <f>IF(UPPER(AD467)="SKORYGOWANY",0,IF(OR(UPPER(E467)="TRANSPORT",UPPER(E467)="MM"),0,IF(UPPER(G467)&lt;&gt;"TAK",0,IF(OR(UPPER(E467)="ZAKUP",UPPER(E467)="PRODUKCJA"),AE467,IF(OR(UPPER(E467)="SPRZEDAŻ",UPPER(E467)="ZUŻYCIE"),-AE467,0)))))</f>
        <v/>
      </c>
      <c r="AI467" s="20">
        <f>IF(UPPER(AD467)="SKORYGOWANY",0,IF(OR(UPPER(E467)="TRANSPORT",UPPER(E467)="MM"),0,IF(UPPER(G467)&lt;&gt;"TAK",0,IF(OR(UPPER(E467)="ZAKUP",UPPER(E467)="PRODUKCJA"),AF467,IF(OR(UPPER(E467)="SPRZEDAŻ",UPPER(E467)="ZUŻYCIE"),-AF467,0)))))</f>
        <v/>
      </c>
      <c r="AJ467" s="21">
        <f>IF(UPPER(AD467)="SKORYGOWANY",0,IF(UPPER(E467)="ZAKUP",IF(L467&lt;&gt;"",L467,I467*K467),0))</f>
        <v/>
      </c>
      <c r="AK467" s="21">
        <f>IF(UPPER(AD467)="SKORYGOWANY",0,IF(UPPER(E467)="SPRZEDAŻ",IF(L467&lt;&gt;"",L467,I467*M467),0))</f>
        <v/>
      </c>
      <c r="AL467" s="21">
        <f>AE467*Q467</f>
        <v/>
      </c>
      <c r="AM467">
        <f>IF(R467="","",IF(LOWER(R467)="brak","Brak",IF(OR(ISNUMBER(SEARCH("własn",LOWER(R467))),ISNUMBER(SEARCH("wlasn",LOWER(R467))),ISNUMBER(SEARCH("wojciechowski",LOWER(R467)))),"Własny","Zewnętrzny")))</f>
        <v/>
      </c>
      <c r="AN467" s="24">
        <f>IF(C467="","",YEAR(C467))</f>
        <v/>
      </c>
      <c r="AO467" s="24">
        <f>IF(C467="","",MONTH(C467))</f>
        <v/>
      </c>
      <c r="AP467">
        <f>IF(C467="","",UPPER(TEXT(C467,"mmmm")))</f>
        <v/>
      </c>
      <c r="AQ467">
        <f>IF(C467="","","Q"&amp;ROUNDUP(MONTH(C467)/3,0))</f>
        <v/>
      </c>
    </row>
    <row r="468">
      <c r="A468" s="19" t="n">
        <v>46254</v>
      </c>
      <c r="C468" s="19" t="n">
        <v>46254</v>
      </c>
      <c r="D468" t="inlineStr">
        <is>
          <t>Magazyn Zabrze</t>
        </is>
      </c>
      <c r="E468" t="inlineStr">
        <is>
          <t>ZUŻYCIE</t>
        </is>
      </c>
      <c r="F468" t="inlineStr">
        <is>
          <t>PZ/95</t>
        </is>
      </c>
      <c r="G468" t="inlineStr">
        <is>
          <t>TAK</t>
        </is>
      </c>
      <c r="H468" t="inlineStr">
        <is>
          <t>KZR</t>
        </is>
      </c>
      <c r="I468" s="20" t="n">
        <v>32</v>
      </c>
      <c r="J468" t="inlineStr">
        <is>
          <t>MP</t>
        </is>
      </c>
      <c r="K468" s="21" t="n">
        <v>0</v>
      </c>
      <c r="L468" s="21" t="n">
        <v>0</v>
      </c>
      <c r="M468" s="21" t="n">
        <v>0</v>
      </c>
      <c r="N468" t="inlineStr">
        <is>
          <t>Zrębka Produkcyjna Inwestycyjna</t>
        </is>
      </c>
      <c r="O468" t="inlineStr">
        <is>
          <t>B</t>
        </is>
      </c>
      <c r="P468" t="inlineStr">
        <is>
          <t>własne</t>
        </is>
      </c>
      <c r="Q468" s="21" t="n">
        <v>10</v>
      </c>
      <c r="T468" s="22" t="n">
        <v>0</v>
      </c>
      <c r="U468" s="21" t="n">
        <v>0</v>
      </c>
      <c r="V468" s="21" t="n">
        <v>0</v>
      </c>
      <c r="W468" t="inlineStr">
        <is>
          <t>Magazyn Zabrze</t>
        </is>
      </c>
      <c r="X468" t="inlineStr">
        <is>
          <t>Magazyn Zabrze</t>
        </is>
      </c>
      <c r="Y468" t="inlineStr">
        <is>
          <t>Automatyczne zużycie surowca do produkcji</t>
        </is>
      </c>
      <c r="AA468" s="23" t="n">
        <v>46257.90905092593</v>
      </c>
      <c r="AB468" t="inlineStr">
        <is>
          <t>OP-MIGR-00467</t>
        </is>
      </c>
      <c r="AD468" t="inlineStr">
        <is>
          <t>AKTYWNY</t>
        </is>
      </c>
      <c r="AE468" s="20">
        <f>IF(I468="",0,IF(ISNUMBER(SEARCH("MP",UPPER(J468))),I468,IF(ISNUMBER(SEARCH("TON",UPPER(J468))),I468/Przelicznik_MP_tona,IF(ISNUMBER(SEARCH("M3",UPPER(J468))),I468*Przelicznik_M3_MP,IF(ISNUMBER(SEARCH("GJ",UPPER(J468))),I468/Przelicznik_GJ_tona/Przelicznik_MP_tona,I468)))))</f>
        <v/>
      </c>
      <c r="AF468" s="20">
        <f>IF(I468="",0,IF(ISNUMBER(SEARCH("TON",UPPER(J468))),I468,IF(ISNUMBER(SEARCH("GJ",UPPER(J468))),I468/Przelicznik_GJ_tona,AE468*Przelicznik_MP_tona)))</f>
        <v/>
      </c>
      <c r="AG468" s="20">
        <f>AF468*Przelicznik_GJ_tona</f>
        <v/>
      </c>
      <c r="AH468" s="20">
        <f>IF(UPPER(AD468)="SKORYGOWANY",0,IF(OR(UPPER(E468)="TRANSPORT",UPPER(E468)="MM"),0,IF(UPPER(G468)&lt;&gt;"TAK",0,IF(OR(UPPER(E468)="ZAKUP",UPPER(E468)="PRODUKCJA"),AE468,IF(OR(UPPER(E468)="SPRZEDAŻ",UPPER(E468)="ZUŻYCIE"),-AE468,0)))))</f>
        <v/>
      </c>
      <c r="AI468" s="20">
        <f>IF(UPPER(AD468)="SKORYGOWANY",0,IF(OR(UPPER(E468)="TRANSPORT",UPPER(E468)="MM"),0,IF(UPPER(G468)&lt;&gt;"TAK",0,IF(OR(UPPER(E468)="ZAKUP",UPPER(E468)="PRODUKCJA"),AF468,IF(OR(UPPER(E468)="SPRZEDAŻ",UPPER(E468)="ZUŻYCIE"),-AF468,0)))))</f>
        <v/>
      </c>
      <c r="AJ468" s="21">
        <f>IF(UPPER(AD468)="SKORYGOWANY",0,IF(UPPER(E468)="ZAKUP",IF(L468&lt;&gt;"",L468,I468*K468),0))</f>
        <v/>
      </c>
      <c r="AK468" s="21">
        <f>IF(UPPER(AD468)="SKORYGOWANY",0,IF(UPPER(E468)="SPRZEDAŻ",IF(L468&lt;&gt;"",L468,I468*M468),0))</f>
        <v/>
      </c>
      <c r="AL468" s="21">
        <f>AE468*Q468</f>
        <v/>
      </c>
      <c r="AM468">
        <f>IF(R468="","",IF(LOWER(R468)="brak","Brak",IF(OR(ISNUMBER(SEARCH("własn",LOWER(R468))),ISNUMBER(SEARCH("wlasn",LOWER(R468))),ISNUMBER(SEARCH("wojciechowski",LOWER(R468)))),"Własny","Zewnętrzny")))</f>
        <v/>
      </c>
      <c r="AN468" s="24">
        <f>IF(C468="","",YEAR(C468))</f>
        <v/>
      </c>
      <c r="AO468" s="24">
        <f>IF(C468="","",MONTH(C468))</f>
        <v/>
      </c>
      <c r="AP468">
        <f>IF(C468="","",UPPER(TEXT(C468,"mmmm")))</f>
        <v/>
      </c>
      <c r="AQ468">
        <f>IF(C468="","","Q"&amp;ROUNDUP(MONTH(C468)/3,0))</f>
        <v/>
      </c>
    </row>
    <row r="469">
      <c r="A469" s="19" t="n">
        <v>46254</v>
      </c>
      <c r="B469" t="inlineStr">
        <is>
          <t>Głubczyce</t>
        </is>
      </c>
      <c r="C469" s="19" t="n">
        <v>46254</v>
      </c>
      <c r="D469" t="inlineStr">
        <is>
          <t>Magazyn Zabrze</t>
        </is>
      </c>
      <c r="E469" t="inlineStr">
        <is>
          <t>ZAKUP</t>
        </is>
      </c>
      <c r="F469" t="inlineStr">
        <is>
          <t>PZ/95</t>
        </is>
      </c>
      <c r="G469" t="inlineStr">
        <is>
          <t>TAK</t>
        </is>
      </c>
      <c r="H469" t="inlineStr">
        <is>
          <t>KZR</t>
        </is>
      </c>
      <c r="I469" s="20" t="n">
        <v>32</v>
      </c>
      <c r="J469" t="inlineStr">
        <is>
          <t>MP</t>
        </is>
      </c>
      <c r="K469" s="21" t="n">
        <v>0</v>
      </c>
      <c r="L469" s="21" t="n">
        <v>0</v>
      </c>
      <c r="M469" s="21" t="n">
        <v>0</v>
      </c>
      <c r="N469" t="inlineStr">
        <is>
          <t>Zrębka Produkcyjna Inwestycyjna</t>
        </is>
      </c>
      <c r="O469" t="inlineStr">
        <is>
          <t>B</t>
        </is>
      </c>
      <c r="Q469" s="21" t="n">
        <v>0</v>
      </c>
      <c r="R469" t="inlineStr">
        <is>
          <t>własny (Kretek)</t>
        </is>
      </c>
      <c r="S469" t="inlineStr">
        <is>
          <t>SK 7J885</t>
        </is>
      </c>
      <c r="T469" s="22" t="n">
        <v>182</v>
      </c>
      <c r="U469" s="21" t="n">
        <v>5</v>
      </c>
      <c r="V469" s="21" t="n">
        <v>910</v>
      </c>
      <c r="W469" t="inlineStr">
        <is>
          <t>Magazyn Zabrze</t>
        </is>
      </c>
      <c r="Z469" t="inlineStr">
        <is>
          <t>Marcin Kwiatkowski</t>
        </is>
      </c>
      <c r="AA469" s="23" t="n">
        <v>46257.91069444444</v>
      </c>
      <c r="AB469" t="inlineStr">
        <is>
          <t>OP-MIGR-00468</t>
        </is>
      </c>
      <c r="AD469" t="inlineStr">
        <is>
          <t>AKTYWNY</t>
        </is>
      </c>
      <c r="AE469" s="20">
        <f>IF(I469="",0,IF(ISNUMBER(SEARCH("MP",UPPER(J469))),I469,IF(ISNUMBER(SEARCH("TON",UPPER(J469))),I469/Przelicznik_MP_tona,IF(ISNUMBER(SEARCH("M3",UPPER(J469))),I469*Przelicznik_M3_MP,IF(ISNUMBER(SEARCH("GJ",UPPER(J469))),I469/Przelicznik_GJ_tona/Przelicznik_MP_tona,I469)))))</f>
        <v/>
      </c>
      <c r="AF469" s="20">
        <f>IF(I469="",0,IF(ISNUMBER(SEARCH("TON",UPPER(J469))),I469,IF(ISNUMBER(SEARCH("GJ",UPPER(J469))),I469/Przelicznik_GJ_tona,AE469*Przelicznik_MP_tona)))</f>
        <v/>
      </c>
      <c r="AG469" s="20">
        <f>AF469*Przelicznik_GJ_tona</f>
        <v/>
      </c>
      <c r="AH469" s="20">
        <f>IF(UPPER(AD469)="SKORYGOWANY",0,IF(OR(UPPER(E469)="TRANSPORT",UPPER(E469)="MM"),0,IF(UPPER(G469)&lt;&gt;"TAK",0,IF(OR(UPPER(E469)="ZAKUP",UPPER(E469)="PRODUKCJA"),AE469,IF(OR(UPPER(E469)="SPRZEDAŻ",UPPER(E469)="ZUŻYCIE"),-AE469,0)))))</f>
        <v/>
      </c>
      <c r="AI469" s="20">
        <f>IF(UPPER(AD469)="SKORYGOWANY",0,IF(OR(UPPER(E469)="TRANSPORT",UPPER(E469)="MM"),0,IF(UPPER(G469)&lt;&gt;"TAK",0,IF(OR(UPPER(E469)="ZAKUP",UPPER(E469)="PRODUKCJA"),AF469,IF(OR(UPPER(E469)="SPRZEDAŻ",UPPER(E469)="ZUŻYCIE"),-AF469,0)))))</f>
        <v/>
      </c>
      <c r="AJ469" s="21">
        <f>IF(UPPER(AD469)="SKORYGOWANY",0,IF(UPPER(E469)="ZAKUP",IF(L469&lt;&gt;"",L469,I469*K469),0))</f>
        <v/>
      </c>
      <c r="AK469" s="21">
        <f>IF(UPPER(AD469)="SKORYGOWANY",0,IF(UPPER(E469)="SPRZEDAŻ",IF(L469&lt;&gt;"",L469,I469*M469),0))</f>
        <v/>
      </c>
      <c r="AL469" s="21">
        <f>AE469*Q469</f>
        <v/>
      </c>
      <c r="AM469">
        <f>IF(R469="","",IF(LOWER(R469)="brak","Brak",IF(OR(ISNUMBER(SEARCH("własn",LOWER(R469))),ISNUMBER(SEARCH("wlasn",LOWER(R469))),ISNUMBER(SEARCH("wojciechowski",LOWER(R469)))),"Własny","Zewnętrzny")))</f>
        <v/>
      </c>
      <c r="AN469" s="24">
        <f>IF(C469="","",YEAR(C469))</f>
        <v/>
      </c>
      <c r="AO469" s="24">
        <f>IF(C469="","",MONTH(C469))</f>
        <v/>
      </c>
      <c r="AP469">
        <f>IF(C469="","",UPPER(TEXT(C469,"mmmm")))</f>
        <v/>
      </c>
      <c r="AQ469">
        <f>IF(C469="","","Q"&amp;ROUNDUP(MONTH(C469)/3,0))</f>
        <v/>
      </c>
    </row>
    <row r="470">
      <c r="A470" s="19" t="n">
        <v>46255</v>
      </c>
      <c r="C470" s="19" t="n">
        <v>46255</v>
      </c>
      <c r="D470" t="inlineStr">
        <is>
          <t>Lander Agro</t>
        </is>
      </c>
      <c r="E470" t="inlineStr">
        <is>
          <t>ZAKUP</t>
        </is>
      </c>
      <c r="F470" t="inlineStr">
        <is>
          <t>PZ/43/D</t>
        </is>
      </c>
      <c r="G470" t="inlineStr">
        <is>
          <t>TAK</t>
        </is>
      </c>
      <c r="H470" t="inlineStr">
        <is>
          <t>KZR</t>
        </is>
      </c>
      <c r="I470" s="20" t="n">
        <v>27.16</v>
      </c>
      <c r="J470" t="inlineStr">
        <is>
          <t>M3</t>
        </is>
      </c>
      <c r="K470" s="21" t="n">
        <v>230</v>
      </c>
      <c r="L470" s="21" t="n">
        <v>6246.8</v>
      </c>
      <c r="M470" s="21" t="n">
        <v>0</v>
      </c>
      <c r="N470" t="inlineStr">
        <is>
          <t>Drewno opałowe z lasu</t>
        </is>
      </c>
      <c r="Q470" s="21" t="n">
        <v>0</v>
      </c>
      <c r="T470" s="22" t="n">
        <v>0</v>
      </c>
      <c r="U470" s="21" t="n">
        <v>0</v>
      </c>
      <c r="V470" s="21" t="n">
        <v>0</v>
      </c>
      <c r="W470" t="inlineStr">
        <is>
          <t>Magazyn Zabrze</t>
        </is>
      </c>
      <c r="Y470" t="inlineStr">
        <is>
          <t>Waga: 21 900 kg</t>
        </is>
      </c>
      <c r="Z470" t="inlineStr">
        <is>
          <t>Marcin Kwiatkowski</t>
        </is>
      </c>
      <c r="AA470" s="23" t="n">
        <v>46258.47989583333</v>
      </c>
      <c r="AB470" t="inlineStr">
        <is>
          <t>OP-MIGR-00469</t>
        </is>
      </c>
      <c r="AD470" t="inlineStr">
        <is>
          <t>AKTYWNY</t>
        </is>
      </c>
      <c r="AE470" s="20">
        <f>IF(I470="",0,IF(ISNUMBER(SEARCH("MP",UPPER(J470))),I470,IF(ISNUMBER(SEARCH("TON",UPPER(J470))),I470/Przelicznik_MP_tona,IF(ISNUMBER(SEARCH("M3",UPPER(J470))),I470*Przelicznik_M3_MP,IF(ISNUMBER(SEARCH("GJ",UPPER(J470))),I470/Przelicznik_GJ_tona/Przelicznik_MP_tona,I470)))))</f>
        <v/>
      </c>
      <c r="AF470" s="20">
        <f>IF(I470="",0,IF(ISNUMBER(SEARCH("TON",UPPER(J470))),I470,IF(ISNUMBER(SEARCH("GJ",UPPER(J470))),I470/Przelicznik_GJ_tona,AE470*Przelicznik_MP_tona)))</f>
        <v/>
      </c>
      <c r="AG470" s="20">
        <f>AF470*Przelicznik_GJ_tona</f>
        <v/>
      </c>
      <c r="AH470" s="20">
        <f>IF(UPPER(AD470)="SKORYGOWANY",0,IF(OR(UPPER(E470)="TRANSPORT",UPPER(E470)="MM"),0,IF(UPPER(G470)&lt;&gt;"TAK",0,IF(OR(UPPER(E470)="ZAKUP",UPPER(E470)="PRODUKCJA"),AE470,IF(OR(UPPER(E470)="SPRZEDAŻ",UPPER(E470)="ZUŻYCIE"),-AE470,0)))))</f>
        <v/>
      </c>
      <c r="AI470" s="20">
        <f>IF(UPPER(AD470)="SKORYGOWANY",0,IF(OR(UPPER(E470)="TRANSPORT",UPPER(E470)="MM"),0,IF(UPPER(G470)&lt;&gt;"TAK",0,IF(OR(UPPER(E470)="ZAKUP",UPPER(E470)="PRODUKCJA"),AF470,IF(OR(UPPER(E470)="SPRZEDAŻ",UPPER(E470)="ZUŻYCIE"),-AF470,0)))))</f>
        <v/>
      </c>
      <c r="AJ470" s="21">
        <f>IF(UPPER(AD470)="SKORYGOWANY",0,IF(UPPER(E470)="ZAKUP",IF(L470&lt;&gt;"",L470,I470*K470),0))</f>
        <v/>
      </c>
      <c r="AK470" s="21">
        <f>IF(UPPER(AD470)="SKORYGOWANY",0,IF(UPPER(E470)="SPRZEDAŻ",IF(L470&lt;&gt;"",L470,I470*M470),0))</f>
        <v/>
      </c>
      <c r="AL470" s="21">
        <f>AE470*Q470</f>
        <v/>
      </c>
      <c r="AM470">
        <f>IF(R470="","",IF(LOWER(R470)="brak","Brak",IF(OR(ISNUMBER(SEARCH("własn",LOWER(R470))),ISNUMBER(SEARCH("wlasn",LOWER(R470))),ISNUMBER(SEARCH("wojciechowski",LOWER(R470)))),"Własny","Zewnętrzny")))</f>
        <v/>
      </c>
      <c r="AN470" s="24">
        <f>IF(C470="","",YEAR(C470))</f>
        <v/>
      </c>
      <c r="AO470" s="24">
        <f>IF(C470="","",MONTH(C470))</f>
        <v/>
      </c>
      <c r="AP470">
        <f>IF(C470="","",UPPER(TEXT(C470,"mmmm")))</f>
        <v/>
      </c>
      <c r="AQ470">
        <f>IF(C470="","","Q"&amp;ROUNDUP(MONTH(C470)/3,0))</f>
        <v/>
      </c>
    </row>
    <row r="471">
      <c r="A471" s="19" t="n">
        <v>46255</v>
      </c>
      <c r="C471" s="19" t="n">
        <v>46255</v>
      </c>
      <c r="D471" t="inlineStr">
        <is>
          <t>NDL Świerklaniec, Leśnictwo Mieczysko</t>
        </is>
      </c>
      <c r="E471" t="inlineStr">
        <is>
          <t>ZAKUP</t>
        </is>
      </c>
      <c r="F471" t="inlineStr">
        <is>
          <t>PZ/96   3/202632708/6676</t>
        </is>
      </c>
      <c r="G471" t="inlineStr">
        <is>
          <t>TAK</t>
        </is>
      </c>
      <c r="H471" t="inlineStr">
        <is>
          <t>Deklaracja</t>
        </is>
      </c>
      <c r="I471" s="20" t="n">
        <v>20</v>
      </c>
      <c r="J471" t="inlineStr">
        <is>
          <t>M3</t>
        </is>
      </c>
      <c r="K471" s="21" t="n">
        <v>112</v>
      </c>
      <c r="L471" s="21" t="n">
        <v>2240</v>
      </c>
      <c r="M471" s="21" t="n">
        <v>0</v>
      </c>
      <c r="N471" t="inlineStr">
        <is>
          <t>Drewno opałowe z lasu</t>
        </is>
      </c>
      <c r="Q471" s="21" t="n">
        <v>0</v>
      </c>
      <c r="T471" s="22" t="n">
        <v>0</v>
      </c>
      <c r="U471" s="21" t="n">
        <v>0</v>
      </c>
      <c r="V471" s="21" t="n">
        <v>0</v>
      </c>
      <c r="W471" t="inlineStr">
        <is>
          <t>Magazyn Zabrze</t>
        </is>
      </c>
      <c r="Y471" t="inlineStr">
        <is>
          <t>Waga: 22 260 kg</t>
        </is>
      </c>
      <c r="Z471" t="inlineStr">
        <is>
          <t>Marcin Kwiatkowski</t>
        </is>
      </c>
      <c r="AA471" s="23" t="n">
        <v>46258.48298611111</v>
      </c>
      <c r="AB471" t="inlineStr">
        <is>
          <t>OP-MIGR-00470</t>
        </is>
      </c>
      <c r="AD471" t="inlineStr">
        <is>
          <t>AKTYWNY</t>
        </is>
      </c>
      <c r="AE471" s="20">
        <f>IF(I471="",0,IF(ISNUMBER(SEARCH("MP",UPPER(J471))),I471,IF(ISNUMBER(SEARCH("TON",UPPER(J471))),I471/Przelicznik_MP_tona,IF(ISNUMBER(SEARCH("M3",UPPER(J471))),I471*Przelicznik_M3_MP,IF(ISNUMBER(SEARCH("GJ",UPPER(J471))),I471/Przelicznik_GJ_tona/Przelicznik_MP_tona,I471)))))</f>
        <v/>
      </c>
      <c r="AF471" s="20">
        <f>IF(I471="",0,IF(ISNUMBER(SEARCH("TON",UPPER(J471))),I471,IF(ISNUMBER(SEARCH("GJ",UPPER(J471))),I471/Przelicznik_GJ_tona,AE471*Przelicznik_MP_tona)))</f>
        <v/>
      </c>
      <c r="AG471" s="20">
        <f>AF471*Przelicznik_GJ_tona</f>
        <v/>
      </c>
      <c r="AH471" s="20">
        <f>IF(UPPER(AD471)="SKORYGOWANY",0,IF(OR(UPPER(E471)="TRANSPORT",UPPER(E471)="MM"),0,IF(UPPER(G471)&lt;&gt;"TAK",0,IF(OR(UPPER(E471)="ZAKUP",UPPER(E471)="PRODUKCJA"),AE471,IF(OR(UPPER(E471)="SPRZEDAŻ",UPPER(E471)="ZUŻYCIE"),-AE471,0)))))</f>
        <v/>
      </c>
      <c r="AI471" s="20">
        <f>IF(UPPER(AD471)="SKORYGOWANY",0,IF(OR(UPPER(E471)="TRANSPORT",UPPER(E471)="MM"),0,IF(UPPER(G471)&lt;&gt;"TAK",0,IF(OR(UPPER(E471)="ZAKUP",UPPER(E471)="PRODUKCJA"),AF471,IF(OR(UPPER(E471)="SPRZEDAŻ",UPPER(E471)="ZUŻYCIE"),-AF471,0)))))</f>
        <v/>
      </c>
      <c r="AJ471" s="21">
        <f>IF(UPPER(AD471)="SKORYGOWANY",0,IF(UPPER(E471)="ZAKUP",IF(L471&lt;&gt;"",L471,I471*K471),0))</f>
        <v/>
      </c>
      <c r="AK471" s="21">
        <f>IF(UPPER(AD471)="SKORYGOWANY",0,IF(UPPER(E471)="SPRZEDAŻ",IF(L471&lt;&gt;"",L471,I471*M471),0))</f>
        <v/>
      </c>
      <c r="AL471" s="21">
        <f>AE471*Q471</f>
        <v/>
      </c>
      <c r="AM471">
        <f>IF(R471="","",IF(LOWER(R471)="brak","Brak",IF(OR(ISNUMBER(SEARCH("własn",LOWER(R471))),ISNUMBER(SEARCH("wlasn",LOWER(R471))),ISNUMBER(SEARCH("wojciechowski",LOWER(R471)))),"Własny","Zewnętrzny")))</f>
        <v/>
      </c>
      <c r="AN471" s="24">
        <f>IF(C471="","",YEAR(C471))</f>
        <v/>
      </c>
      <c r="AO471" s="24">
        <f>IF(C471="","",MONTH(C471))</f>
        <v/>
      </c>
      <c r="AP471">
        <f>IF(C471="","",UPPER(TEXT(C471,"mmmm")))</f>
        <v/>
      </c>
      <c r="AQ471">
        <f>IF(C471="","","Q"&amp;ROUNDUP(MONTH(C471)/3,0))</f>
        <v/>
      </c>
    </row>
    <row r="472">
      <c r="A472" s="19" t="n">
        <v>46255</v>
      </c>
      <c r="C472" s="19" t="n">
        <v>46255</v>
      </c>
      <c r="D472" t="inlineStr">
        <is>
          <t>Magazyn Zabrze</t>
        </is>
      </c>
      <c r="E472" t="inlineStr">
        <is>
          <t>PRODUKCJA</t>
        </is>
      </c>
      <c r="F472" t="inlineStr">
        <is>
          <t>PZ/96</t>
        </is>
      </c>
      <c r="G472" t="inlineStr">
        <is>
          <t>TAK</t>
        </is>
      </c>
      <c r="H472" t="inlineStr">
        <is>
          <t>Deklaracja</t>
        </is>
      </c>
      <c r="I472" s="20" t="n">
        <v>80</v>
      </c>
      <c r="J472" t="inlineStr">
        <is>
          <t>MP</t>
        </is>
      </c>
      <c r="K472" s="21" t="n">
        <v>0</v>
      </c>
      <c r="L472" s="21" t="n">
        <v>0</v>
      </c>
      <c r="M472" s="21" t="n">
        <v>0</v>
      </c>
      <c r="N472" t="inlineStr">
        <is>
          <t>Zrębka Produkcyjna Leśna</t>
        </is>
      </c>
      <c r="O472" t="inlineStr">
        <is>
          <t>B</t>
        </is>
      </c>
      <c r="P472" t="inlineStr">
        <is>
          <t>własne</t>
        </is>
      </c>
      <c r="Q472" s="21" t="n">
        <v>10</v>
      </c>
      <c r="T472" s="22" t="n">
        <v>0</v>
      </c>
      <c r="U472" s="21" t="n">
        <v>0</v>
      </c>
      <c r="V472" s="21" t="n">
        <v>0</v>
      </c>
      <c r="W472" t="inlineStr">
        <is>
          <t>Magazyn Zabrze</t>
        </is>
      </c>
      <c r="X472" t="inlineStr">
        <is>
          <t>Magazyn Zabrze</t>
        </is>
      </c>
      <c r="Y472" t="inlineStr">
        <is>
          <t>Rębak z Brąszewic, rębakowy Łukasz Kempski</t>
        </is>
      </c>
      <c r="Z472" t="inlineStr">
        <is>
          <t>Marcin Kwiatkowski</t>
        </is>
      </c>
      <c r="AA472" s="23" t="n">
        <v>46258.48376157408</v>
      </c>
      <c r="AB472" t="inlineStr">
        <is>
          <t>OP-MIGR-00471</t>
        </is>
      </c>
      <c r="AD472" t="inlineStr">
        <is>
          <t>AKTYWNY</t>
        </is>
      </c>
      <c r="AE472" s="20">
        <f>IF(I472="",0,IF(ISNUMBER(SEARCH("MP",UPPER(J472))),I472,IF(ISNUMBER(SEARCH("TON",UPPER(J472))),I472/Przelicznik_MP_tona,IF(ISNUMBER(SEARCH("M3",UPPER(J472))),I472*Przelicznik_M3_MP,IF(ISNUMBER(SEARCH("GJ",UPPER(J472))),I472/Przelicznik_GJ_tona/Przelicznik_MP_tona,I472)))))</f>
        <v/>
      </c>
      <c r="AF472" s="20">
        <f>IF(I472="",0,IF(ISNUMBER(SEARCH("TON",UPPER(J472))),I472,IF(ISNUMBER(SEARCH("GJ",UPPER(J472))),I472/Przelicznik_GJ_tona,AE472*Przelicznik_MP_tona)))</f>
        <v/>
      </c>
      <c r="AG472" s="20">
        <f>AF472*Przelicznik_GJ_tona</f>
        <v/>
      </c>
      <c r="AH472" s="20">
        <f>IF(UPPER(AD472)="SKORYGOWANY",0,IF(OR(UPPER(E472)="TRANSPORT",UPPER(E472)="MM"),0,IF(UPPER(G472)&lt;&gt;"TAK",0,IF(OR(UPPER(E472)="ZAKUP",UPPER(E472)="PRODUKCJA"),AE472,IF(OR(UPPER(E472)="SPRZEDAŻ",UPPER(E472)="ZUŻYCIE"),-AE472,0)))))</f>
        <v/>
      </c>
      <c r="AI472" s="20">
        <f>IF(UPPER(AD472)="SKORYGOWANY",0,IF(OR(UPPER(E472)="TRANSPORT",UPPER(E472)="MM"),0,IF(UPPER(G472)&lt;&gt;"TAK",0,IF(OR(UPPER(E472)="ZAKUP",UPPER(E472)="PRODUKCJA"),AF472,IF(OR(UPPER(E472)="SPRZEDAŻ",UPPER(E472)="ZUŻYCIE"),-AF472,0)))))</f>
        <v/>
      </c>
      <c r="AJ472" s="21">
        <f>IF(UPPER(AD472)="SKORYGOWANY",0,IF(UPPER(E472)="ZAKUP",IF(L472&lt;&gt;"",L472,I472*K472),0))</f>
        <v/>
      </c>
      <c r="AK472" s="21">
        <f>IF(UPPER(AD472)="SKORYGOWANY",0,IF(UPPER(E472)="SPRZEDAŻ",IF(L472&lt;&gt;"",L472,I472*M472),0))</f>
        <v/>
      </c>
      <c r="AL472" s="21">
        <f>AE472*Q472</f>
        <v/>
      </c>
      <c r="AM472">
        <f>IF(R472="","",IF(LOWER(R472)="brak","Brak",IF(OR(ISNUMBER(SEARCH("własn",LOWER(R472))),ISNUMBER(SEARCH("wlasn",LOWER(R472))),ISNUMBER(SEARCH("wojciechowski",LOWER(R472)))),"Własny","Zewnętrzny")))</f>
        <v/>
      </c>
      <c r="AN472" s="24">
        <f>IF(C472="","",YEAR(C472))</f>
        <v/>
      </c>
      <c r="AO472" s="24">
        <f>IF(C472="","",MONTH(C472))</f>
        <v/>
      </c>
      <c r="AP472">
        <f>IF(C472="","",UPPER(TEXT(C472,"mmmm")))</f>
        <v/>
      </c>
      <c r="AQ472">
        <f>IF(C472="","","Q"&amp;ROUNDUP(MONTH(C472)/3,0))</f>
        <v/>
      </c>
    </row>
    <row r="473">
      <c r="A473" s="19" t="n">
        <v>46255</v>
      </c>
      <c r="C473" s="19" t="n">
        <v>46255</v>
      </c>
      <c r="D473" t="inlineStr">
        <is>
          <t>Magazyn Zabrze</t>
        </is>
      </c>
      <c r="E473" t="inlineStr">
        <is>
          <t>ZUŻYCIE</t>
        </is>
      </c>
      <c r="F473" t="inlineStr">
        <is>
          <t>PZ/96</t>
        </is>
      </c>
      <c r="G473" t="inlineStr">
        <is>
          <t>TAK</t>
        </is>
      </c>
      <c r="H473" t="inlineStr">
        <is>
          <t>Deklaracja</t>
        </is>
      </c>
      <c r="I473" s="20" t="n">
        <v>80</v>
      </c>
      <c r="J473" t="inlineStr">
        <is>
          <t>MP</t>
        </is>
      </c>
      <c r="K473" s="21" t="n">
        <v>0</v>
      </c>
      <c r="L473" s="21" t="n">
        <v>0</v>
      </c>
      <c r="M473" s="21" t="n">
        <v>0</v>
      </c>
      <c r="N473" t="inlineStr">
        <is>
          <t>Zrębka Produkcyjna Leśna</t>
        </is>
      </c>
      <c r="O473" t="inlineStr">
        <is>
          <t>B</t>
        </is>
      </c>
      <c r="P473" t="inlineStr">
        <is>
          <t>własne</t>
        </is>
      </c>
      <c r="Q473" s="21" t="n">
        <v>10</v>
      </c>
      <c r="T473" s="22" t="n">
        <v>0</v>
      </c>
      <c r="U473" s="21" t="n">
        <v>0</v>
      </c>
      <c r="V473" s="21" t="n">
        <v>0</v>
      </c>
      <c r="W473" t="inlineStr">
        <is>
          <t>Magazyn Zabrze</t>
        </is>
      </c>
      <c r="X473" t="inlineStr">
        <is>
          <t>Magazyn Zabrze</t>
        </is>
      </c>
      <c r="Y473" t="inlineStr">
        <is>
          <t>Automatyczne zużycie surowca do produkcji</t>
        </is>
      </c>
      <c r="AA473" s="23" t="n">
        <v>46258.48377314815</v>
      </c>
      <c r="AB473" t="inlineStr">
        <is>
          <t>OP-MIGR-00472</t>
        </is>
      </c>
      <c r="AD473" t="inlineStr">
        <is>
          <t>AKTYWNY</t>
        </is>
      </c>
      <c r="AE473" s="20">
        <f>IF(I473="",0,IF(ISNUMBER(SEARCH("MP",UPPER(J473))),I473,IF(ISNUMBER(SEARCH("TON",UPPER(J473))),I473/Przelicznik_MP_tona,IF(ISNUMBER(SEARCH("M3",UPPER(J473))),I473*Przelicznik_M3_MP,IF(ISNUMBER(SEARCH("GJ",UPPER(J473))),I473/Przelicznik_GJ_tona/Przelicznik_MP_tona,I473)))))</f>
        <v/>
      </c>
      <c r="AF473" s="20">
        <f>IF(I473="",0,IF(ISNUMBER(SEARCH("TON",UPPER(J473))),I473,IF(ISNUMBER(SEARCH("GJ",UPPER(J473))),I473/Przelicznik_GJ_tona,AE473*Przelicznik_MP_tona)))</f>
        <v/>
      </c>
      <c r="AG473" s="20">
        <f>AF473*Przelicznik_GJ_tona</f>
        <v/>
      </c>
      <c r="AH473" s="20">
        <f>IF(UPPER(AD473)="SKORYGOWANY",0,IF(OR(UPPER(E473)="TRANSPORT",UPPER(E473)="MM"),0,IF(UPPER(G473)&lt;&gt;"TAK",0,IF(OR(UPPER(E473)="ZAKUP",UPPER(E473)="PRODUKCJA"),AE473,IF(OR(UPPER(E473)="SPRZEDAŻ",UPPER(E473)="ZUŻYCIE"),-AE473,0)))))</f>
        <v/>
      </c>
      <c r="AI473" s="20">
        <f>IF(UPPER(AD473)="SKORYGOWANY",0,IF(OR(UPPER(E473)="TRANSPORT",UPPER(E473)="MM"),0,IF(UPPER(G473)&lt;&gt;"TAK",0,IF(OR(UPPER(E473)="ZAKUP",UPPER(E473)="PRODUKCJA"),AF473,IF(OR(UPPER(E473)="SPRZEDAŻ",UPPER(E473)="ZUŻYCIE"),-AF473,0)))))</f>
        <v/>
      </c>
      <c r="AJ473" s="21">
        <f>IF(UPPER(AD473)="SKORYGOWANY",0,IF(UPPER(E473)="ZAKUP",IF(L473&lt;&gt;"",L473,I473*K473),0))</f>
        <v/>
      </c>
      <c r="AK473" s="21">
        <f>IF(UPPER(AD473)="SKORYGOWANY",0,IF(UPPER(E473)="SPRZEDAŻ",IF(L473&lt;&gt;"",L473,I473*M473),0))</f>
        <v/>
      </c>
      <c r="AL473" s="21">
        <f>AE473*Q473</f>
        <v/>
      </c>
      <c r="AM473">
        <f>IF(R473="","",IF(LOWER(R473)="brak","Brak",IF(OR(ISNUMBER(SEARCH("własn",LOWER(R473))),ISNUMBER(SEARCH("wlasn",LOWER(R473))),ISNUMBER(SEARCH("wojciechowski",LOWER(R473)))),"Własny","Zewnętrzny")))</f>
        <v/>
      </c>
      <c r="AN473" s="24">
        <f>IF(C473="","",YEAR(C473))</f>
        <v/>
      </c>
      <c r="AO473" s="24">
        <f>IF(C473="","",MONTH(C473))</f>
        <v/>
      </c>
      <c r="AP473">
        <f>IF(C473="","",UPPER(TEXT(C473,"mmmm")))</f>
        <v/>
      </c>
      <c r="AQ473">
        <f>IF(C473="","","Q"&amp;ROUNDUP(MONTH(C473)/3,0))</f>
        <v/>
      </c>
    </row>
    <row r="474">
      <c r="A474" s="19" t="n">
        <v>46255</v>
      </c>
      <c r="B474" t="inlineStr">
        <is>
          <t>Mieczysko</t>
        </is>
      </c>
      <c r="C474" s="19" t="n">
        <v>46255</v>
      </c>
      <c r="D474" t="inlineStr">
        <is>
          <t>Magazyn Zabrze</t>
        </is>
      </c>
      <c r="E474" t="inlineStr">
        <is>
          <t>ZAKUP</t>
        </is>
      </c>
      <c r="F474" t="inlineStr">
        <is>
          <t>PZ/96</t>
        </is>
      </c>
      <c r="G474" t="inlineStr">
        <is>
          <t>TAK</t>
        </is>
      </c>
      <c r="H474" t="inlineStr">
        <is>
          <t>Deklaracja</t>
        </is>
      </c>
      <c r="I474" s="20" t="n">
        <v>80</v>
      </c>
      <c r="J474" t="inlineStr">
        <is>
          <t>MP</t>
        </is>
      </c>
      <c r="K474" s="21" t="n">
        <v>0</v>
      </c>
      <c r="L474" s="21" t="n">
        <v>0</v>
      </c>
      <c r="M474" s="21" t="n">
        <v>0</v>
      </c>
      <c r="N474" t="inlineStr">
        <is>
          <t>Zrębka Produkcyjna Leśna</t>
        </is>
      </c>
      <c r="O474" t="inlineStr">
        <is>
          <t>B</t>
        </is>
      </c>
      <c r="Q474" s="21" t="n">
        <v>0</v>
      </c>
      <c r="R474" t="inlineStr">
        <is>
          <t>własny (Kretek)</t>
        </is>
      </c>
      <c r="S474" t="inlineStr">
        <is>
          <t>SK 7J885</t>
        </is>
      </c>
      <c r="T474" s="22" t="n">
        <v>62</v>
      </c>
      <c r="U474" s="21" t="n">
        <v>5</v>
      </c>
      <c r="V474" s="21" t="n">
        <v>310</v>
      </c>
      <c r="W474" t="inlineStr">
        <is>
          <t>Magazyn Zabrze</t>
        </is>
      </c>
      <c r="Z474" t="inlineStr">
        <is>
          <t>Marcin Kwiatkowski</t>
        </is>
      </c>
      <c r="AA474" s="23" t="n">
        <v>46258.48525462963</v>
      </c>
      <c r="AB474" t="inlineStr">
        <is>
          <t>OP-MIGR-00473</t>
        </is>
      </c>
      <c r="AD474" t="inlineStr">
        <is>
          <t>AKTYWNY</t>
        </is>
      </c>
      <c r="AE474" s="20">
        <f>IF(I474="",0,IF(ISNUMBER(SEARCH("MP",UPPER(J474))),I474,IF(ISNUMBER(SEARCH("TON",UPPER(J474))),I474/Przelicznik_MP_tona,IF(ISNUMBER(SEARCH("M3",UPPER(J474))),I474*Przelicznik_M3_MP,IF(ISNUMBER(SEARCH("GJ",UPPER(J474))),I474/Przelicznik_GJ_tona/Przelicznik_MP_tona,I474)))))</f>
        <v/>
      </c>
      <c r="AF474" s="20">
        <f>IF(I474="",0,IF(ISNUMBER(SEARCH("TON",UPPER(J474))),I474,IF(ISNUMBER(SEARCH("GJ",UPPER(J474))),I474/Przelicznik_GJ_tona,AE474*Przelicznik_MP_tona)))</f>
        <v/>
      </c>
      <c r="AG474" s="20">
        <f>AF474*Przelicznik_GJ_tona</f>
        <v/>
      </c>
      <c r="AH474" s="20">
        <f>IF(UPPER(AD474)="SKORYGOWANY",0,IF(OR(UPPER(E474)="TRANSPORT",UPPER(E474)="MM"),0,IF(UPPER(G474)&lt;&gt;"TAK",0,IF(OR(UPPER(E474)="ZAKUP",UPPER(E474)="PRODUKCJA"),AE474,IF(OR(UPPER(E474)="SPRZEDAŻ",UPPER(E474)="ZUŻYCIE"),-AE474,0)))))</f>
        <v/>
      </c>
      <c r="AI474" s="20">
        <f>IF(UPPER(AD474)="SKORYGOWANY",0,IF(OR(UPPER(E474)="TRANSPORT",UPPER(E474)="MM"),0,IF(UPPER(G474)&lt;&gt;"TAK",0,IF(OR(UPPER(E474)="ZAKUP",UPPER(E474)="PRODUKCJA"),AF474,IF(OR(UPPER(E474)="SPRZEDAŻ",UPPER(E474)="ZUŻYCIE"),-AF474,0)))))</f>
        <v/>
      </c>
      <c r="AJ474" s="21">
        <f>IF(UPPER(AD474)="SKORYGOWANY",0,IF(UPPER(E474)="ZAKUP",IF(L474&lt;&gt;"",L474,I474*K474),0))</f>
        <v/>
      </c>
      <c r="AK474" s="21">
        <f>IF(UPPER(AD474)="SKORYGOWANY",0,IF(UPPER(E474)="SPRZEDAŻ",IF(L474&lt;&gt;"",L474,I474*M474),0))</f>
        <v/>
      </c>
      <c r="AL474" s="21">
        <f>AE474*Q474</f>
        <v/>
      </c>
      <c r="AM474">
        <f>IF(R474="","",IF(LOWER(R474)="brak","Brak",IF(OR(ISNUMBER(SEARCH("własn",LOWER(R474))),ISNUMBER(SEARCH("wlasn",LOWER(R474))),ISNUMBER(SEARCH("wojciechowski",LOWER(R474)))),"Własny","Zewnętrzny")))</f>
        <v/>
      </c>
      <c r="AN474" s="24">
        <f>IF(C474="","",YEAR(C474))</f>
        <v/>
      </c>
      <c r="AO474" s="24">
        <f>IF(C474="","",MONTH(C474))</f>
        <v/>
      </c>
      <c r="AP474">
        <f>IF(C474="","",UPPER(TEXT(C474,"mmmm")))</f>
        <v/>
      </c>
      <c r="AQ474">
        <f>IF(C474="","","Q"&amp;ROUNDUP(MONTH(C474)/3,0))</f>
        <v/>
      </c>
    </row>
    <row r="475">
      <c r="A475" s="19" t="n">
        <v>46255</v>
      </c>
      <c r="C475" s="19" t="n">
        <v>46255</v>
      </c>
      <c r="D475" t="inlineStr">
        <is>
          <t>NDL Świerklaniec, Leśnictwo Mieczysko</t>
        </is>
      </c>
      <c r="E475" t="inlineStr">
        <is>
          <t>ZAKUP</t>
        </is>
      </c>
      <c r="F475" t="inlineStr">
        <is>
          <t>PZ/97   3/202632708/6677</t>
        </is>
      </c>
      <c r="G475" t="inlineStr">
        <is>
          <t>TAK</t>
        </is>
      </c>
      <c r="H475" t="inlineStr">
        <is>
          <t>Deklaracja</t>
        </is>
      </c>
      <c r="I475" s="20" t="n">
        <v>20</v>
      </c>
      <c r="J475" t="inlineStr">
        <is>
          <t>M3</t>
        </is>
      </c>
      <c r="K475" s="21" t="n">
        <v>112</v>
      </c>
      <c r="L475" s="21" t="n">
        <v>2240</v>
      </c>
      <c r="M475" s="21" t="n">
        <v>0</v>
      </c>
      <c r="N475" t="inlineStr">
        <is>
          <t>Drewno opałowe z lasu</t>
        </is>
      </c>
      <c r="Q475" s="21" t="n">
        <v>0</v>
      </c>
      <c r="T475" s="22" t="n">
        <v>0</v>
      </c>
      <c r="U475" s="21" t="n">
        <v>0</v>
      </c>
      <c r="V475" s="21" t="n">
        <v>0</v>
      </c>
      <c r="W475" t="inlineStr">
        <is>
          <t>Magazyn Zabrze</t>
        </is>
      </c>
      <c r="Y475" t="inlineStr">
        <is>
          <t>Waga: 22 480 kg</t>
        </is>
      </c>
      <c r="Z475" t="inlineStr">
        <is>
          <t>Marcin Kwiatkowski</t>
        </is>
      </c>
      <c r="AA475" s="23" t="n">
        <v>46258.48652777778</v>
      </c>
      <c r="AB475" t="inlineStr">
        <is>
          <t>OP-MIGR-00474</t>
        </is>
      </c>
      <c r="AD475" t="inlineStr">
        <is>
          <t>AKTYWNY</t>
        </is>
      </c>
      <c r="AE475" s="20">
        <f>IF(I475="",0,IF(ISNUMBER(SEARCH("MP",UPPER(J475))),I475,IF(ISNUMBER(SEARCH("TON",UPPER(J475))),I475/Przelicznik_MP_tona,IF(ISNUMBER(SEARCH("M3",UPPER(J475))),I475*Przelicznik_M3_MP,IF(ISNUMBER(SEARCH("GJ",UPPER(J475))),I475/Przelicznik_GJ_tona/Przelicznik_MP_tona,I475)))))</f>
        <v/>
      </c>
      <c r="AF475" s="20">
        <f>IF(I475="",0,IF(ISNUMBER(SEARCH("TON",UPPER(J475))),I475,IF(ISNUMBER(SEARCH("GJ",UPPER(J475))),I475/Przelicznik_GJ_tona,AE475*Przelicznik_MP_tona)))</f>
        <v/>
      </c>
      <c r="AG475" s="20">
        <f>AF475*Przelicznik_GJ_tona</f>
        <v/>
      </c>
      <c r="AH475" s="20">
        <f>IF(UPPER(AD475)="SKORYGOWANY",0,IF(OR(UPPER(E475)="TRANSPORT",UPPER(E475)="MM"),0,IF(UPPER(G475)&lt;&gt;"TAK",0,IF(OR(UPPER(E475)="ZAKUP",UPPER(E475)="PRODUKCJA"),AE475,IF(OR(UPPER(E475)="SPRZEDAŻ",UPPER(E475)="ZUŻYCIE"),-AE475,0)))))</f>
        <v/>
      </c>
      <c r="AI475" s="20">
        <f>IF(UPPER(AD475)="SKORYGOWANY",0,IF(OR(UPPER(E475)="TRANSPORT",UPPER(E475)="MM"),0,IF(UPPER(G475)&lt;&gt;"TAK",0,IF(OR(UPPER(E475)="ZAKUP",UPPER(E475)="PRODUKCJA"),AF475,IF(OR(UPPER(E475)="SPRZEDAŻ",UPPER(E475)="ZUŻYCIE"),-AF475,0)))))</f>
        <v/>
      </c>
      <c r="AJ475" s="21">
        <f>IF(UPPER(AD475)="SKORYGOWANY",0,IF(UPPER(E475)="ZAKUP",IF(L475&lt;&gt;"",L475,I475*K475),0))</f>
        <v/>
      </c>
      <c r="AK475" s="21">
        <f>IF(UPPER(AD475)="SKORYGOWANY",0,IF(UPPER(E475)="SPRZEDAŻ",IF(L475&lt;&gt;"",L475,I475*M475),0))</f>
        <v/>
      </c>
      <c r="AL475" s="21">
        <f>AE475*Q475</f>
        <v/>
      </c>
      <c r="AM475">
        <f>IF(R475="","",IF(LOWER(R475)="brak","Brak",IF(OR(ISNUMBER(SEARCH("własn",LOWER(R475))),ISNUMBER(SEARCH("wlasn",LOWER(R475))),ISNUMBER(SEARCH("wojciechowski",LOWER(R475)))),"Własny","Zewnętrzny")))</f>
        <v/>
      </c>
      <c r="AN475" s="24">
        <f>IF(C475="","",YEAR(C475))</f>
        <v/>
      </c>
      <c r="AO475" s="24">
        <f>IF(C475="","",MONTH(C475))</f>
        <v/>
      </c>
      <c r="AP475">
        <f>IF(C475="","",UPPER(TEXT(C475,"mmmm")))</f>
        <v/>
      </c>
      <c r="AQ475">
        <f>IF(C475="","","Q"&amp;ROUNDUP(MONTH(C475)/3,0))</f>
        <v/>
      </c>
    </row>
    <row r="476">
      <c r="A476" s="19" t="n">
        <v>46255</v>
      </c>
      <c r="C476" s="19" t="n">
        <v>46255</v>
      </c>
      <c r="D476" t="inlineStr">
        <is>
          <t>Magazyn Zabrze</t>
        </is>
      </c>
      <c r="E476" t="inlineStr">
        <is>
          <t>PRODUKCJA</t>
        </is>
      </c>
      <c r="F476" t="inlineStr">
        <is>
          <t>PZ/97</t>
        </is>
      </c>
      <c r="G476" t="inlineStr">
        <is>
          <t>TAK</t>
        </is>
      </c>
      <c r="H476" t="inlineStr">
        <is>
          <t>Deklaracja</t>
        </is>
      </c>
      <c r="I476" s="20" t="n">
        <v>80</v>
      </c>
      <c r="J476" t="inlineStr">
        <is>
          <t>MP</t>
        </is>
      </c>
      <c r="K476" s="21" t="n">
        <v>0</v>
      </c>
      <c r="L476" s="21" t="n">
        <v>0</v>
      </c>
      <c r="M476" s="21" t="n">
        <v>0</v>
      </c>
      <c r="N476" t="inlineStr">
        <is>
          <t>Zrębka Produkcyjna Leśna</t>
        </is>
      </c>
      <c r="O476" t="inlineStr">
        <is>
          <t>B</t>
        </is>
      </c>
      <c r="P476" t="inlineStr">
        <is>
          <t>własne</t>
        </is>
      </c>
      <c r="Q476" s="21" t="n">
        <v>10</v>
      </c>
      <c r="T476" s="22" t="n">
        <v>0</v>
      </c>
      <c r="U476" s="21" t="n">
        <v>0</v>
      </c>
      <c r="V476" s="21" t="n">
        <v>0</v>
      </c>
      <c r="W476" t="inlineStr">
        <is>
          <t>Magazyn Zabrze</t>
        </is>
      </c>
      <c r="X476" t="inlineStr">
        <is>
          <t>Magazyn Zabrze</t>
        </is>
      </c>
      <c r="Y476" t="inlineStr">
        <is>
          <t>Rębak z Brąszewic, rębakowy Łukasz Kempski</t>
        </is>
      </c>
      <c r="Z476" t="inlineStr">
        <is>
          <t>Marcin Kwiatkowski</t>
        </is>
      </c>
      <c r="AA476" s="23" t="n">
        <v>46258.48726851852</v>
      </c>
      <c r="AB476" t="inlineStr">
        <is>
          <t>OP-MIGR-00475</t>
        </is>
      </c>
      <c r="AD476" t="inlineStr">
        <is>
          <t>AKTYWNY</t>
        </is>
      </c>
      <c r="AE476" s="20">
        <f>IF(I476="",0,IF(ISNUMBER(SEARCH("MP",UPPER(J476))),I476,IF(ISNUMBER(SEARCH("TON",UPPER(J476))),I476/Przelicznik_MP_tona,IF(ISNUMBER(SEARCH("M3",UPPER(J476))),I476*Przelicznik_M3_MP,IF(ISNUMBER(SEARCH("GJ",UPPER(J476))),I476/Przelicznik_GJ_tona/Przelicznik_MP_tona,I476)))))</f>
        <v/>
      </c>
      <c r="AF476" s="20">
        <f>IF(I476="",0,IF(ISNUMBER(SEARCH("TON",UPPER(J476))),I476,IF(ISNUMBER(SEARCH("GJ",UPPER(J476))),I476/Przelicznik_GJ_tona,AE476*Przelicznik_MP_tona)))</f>
        <v/>
      </c>
      <c r="AG476" s="20">
        <f>AF476*Przelicznik_GJ_tona</f>
        <v/>
      </c>
      <c r="AH476" s="20">
        <f>IF(UPPER(AD476)="SKORYGOWANY",0,IF(OR(UPPER(E476)="TRANSPORT",UPPER(E476)="MM"),0,IF(UPPER(G476)&lt;&gt;"TAK",0,IF(OR(UPPER(E476)="ZAKUP",UPPER(E476)="PRODUKCJA"),AE476,IF(OR(UPPER(E476)="SPRZEDAŻ",UPPER(E476)="ZUŻYCIE"),-AE476,0)))))</f>
        <v/>
      </c>
      <c r="AI476" s="20">
        <f>IF(UPPER(AD476)="SKORYGOWANY",0,IF(OR(UPPER(E476)="TRANSPORT",UPPER(E476)="MM"),0,IF(UPPER(G476)&lt;&gt;"TAK",0,IF(OR(UPPER(E476)="ZAKUP",UPPER(E476)="PRODUKCJA"),AF476,IF(OR(UPPER(E476)="SPRZEDAŻ",UPPER(E476)="ZUŻYCIE"),-AF476,0)))))</f>
        <v/>
      </c>
      <c r="AJ476" s="21">
        <f>IF(UPPER(AD476)="SKORYGOWANY",0,IF(UPPER(E476)="ZAKUP",IF(L476&lt;&gt;"",L476,I476*K476),0))</f>
        <v/>
      </c>
      <c r="AK476" s="21">
        <f>IF(UPPER(AD476)="SKORYGOWANY",0,IF(UPPER(E476)="SPRZEDAŻ",IF(L476&lt;&gt;"",L476,I476*M476),0))</f>
        <v/>
      </c>
      <c r="AL476" s="21">
        <f>AE476*Q476</f>
        <v/>
      </c>
      <c r="AM476">
        <f>IF(R476="","",IF(LOWER(R476)="brak","Brak",IF(OR(ISNUMBER(SEARCH("własn",LOWER(R476))),ISNUMBER(SEARCH("wlasn",LOWER(R476))),ISNUMBER(SEARCH("wojciechowski",LOWER(R476)))),"Własny","Zewnętrzny")))</f>
        <v/>
      </c>
      <c r="AN476" s="24">
        <f>IF(C476="","",YEAR(C476))</f>
        <v/>
      </c>
      <c r="AO476" s="24">
        <f>IF(C476="","",MONTH(C476))</f>
        <v/>
      </c>
      <c r="AP476">
        <f>IF(C476="","",UPPER(TEXT(C476,"mmmm")))</f>
        <v/>
      </c>
      <c r="AQ476">
        <f>IF(C476="","","Q"&amp;ROUNDUP(MONTH(C476)/3,0))</f>
        <v/>
      </c>
    </row>
    <row r="477">
      <c r="A477" s="19" t="n">
        <v>46255</v>
      </c>
      <c r="C477" s="19" t="n">
        <v>46255</v>
      </c>
      <c r="D477" t="inlineStr">
        <is>
          <t>Magazyn Zabrze</t>
        </is>
      </c>
      <c r="E477" t="inlineStr">
        <is>
          <t>ZUŻYCIE</t>
        </is>
      </c>
      <c r="F477" t="inlineStr">
        <is>
          <t>PZ/97</t>
        </is>
      </c>
      <c r="G477" t="inlineStr">
        <is>
          <t>TAK</t>
        </is>
      </c>
      <c r="H477" t="inlineStr">
        <is>
          <t>Deklaracja</t>
        </is>
      </c>
      <c r="I477" s="20" t="n">
        <v>80</v>
      </c>
      <c r="J477" t="inlineStr">
        <is>
          <t>MP</t>
        </is>
      </c>
      <c r="K477" s="21" t="n">
        <v>0</v>
      </c>
      <c r="L477" s="21" t="n">
        <v>0</v>
      </c>
      <c r="M477" s="21" t="n">
        <v>0</v>
      </c>
      <c r="N477" t="inlineStr">
        <is>
          <t>Zrębka Produkcyjna Leśna</t>
        </is>
      </c>
      <c r="O477" t="inlineStr">
        <is>
          <t>B</t>
        </is>
      </c>
      <c r="P477" t="inlineStr">
        <is>
          <t>własne</t>
        </is>
      </c>
      <c r="Q477" s="21" t="n">
        <v>10</v>
      </c>
      <c r="T477" s="22" t="n">
        <v>0</v>
      </c>
      <c r="U477" s="21" t="n">
        <v>0</v>
      </c>
      <c r="V477" s="21" t="n">
        <v>0</v>
      </c>
      <c r="W477" t="inlineStr">
        <is>
          <t>Magazyn Zabrze</t>
        </is>
      </c>
      <c r="X477" t="inlineStr">
        <is>
          <t>Magazyn Zabrze</t>
        </is>
      </c>
      <c r="Y477" t="inlineStr">
        <is>
          <t>Automatyczne zużycie surowca do produkcji</t>
        </is>
      </c>
      <c r="AA477" s="23" t="n">
        <v>46258.4872800926</v>
      </c>
      <c r="AB477" t="inlineStr">
        <is>
          <t>OP-MIGR-00476</t>
        </is>
      </c>
      <c r="AD477" t="inlineStr">
        <is>
          <t>AKTYWNY</t>
        </is>
      </c>
      <c r="AE477" s="20">
        <f>IF(I477="",0,IF(ISNUMBER(SEARCH("MP",UPPER(J477))),I477,IF(ISNUMBER(SEARCH("TON",UPPER(J477))),I477/Przelicznik_MP_tona,IF(ISNUMBER(SEARCH("M3",UPPER(J477))),I477*Przelicznik_M3_MP,IF(ISNUMBER(SEARCH("GJ",UPPER(J477))),I477/Przelicznik_GJ_tona/Przelicznik_MP_tona,I477)))))</f>
        <v/>
      </c>
      <c r="AF477" s="20">
        <f>IF(I477="",0,IF(ISNUMBER(SEARCH("TON",UPPER(J477))),I477,IF(ISNUMBER(SEARCH("GJ",UPPER(J477))),I477/Przelicznik_GJ_tona,AE477*Przelicznik_MP_tona)))</f>
        <v/>
      </c>
      <c r="AG477" s="20">
        <f>AF477*Przelicznik_GJ_tona</f>
        <v/>
      </c>
      <c r="AH477" s="20">
        <f>IF(UPPER(AD477)="SKORYGOWANY",0,IF(OR(UPPER(E477)="TRANSPORT",UPPER(E477)="MM"),0,IF(UPPER(G477)&lt;&gt;"TAK",0,IF(OR(UPPER(E477)="ZAKUP",UPPER(E477)="PRODUKCJA"),AE477,IF(OR(UPPER(E477)="SPRZEDAŻ",UPPER(E477)="ZUŻYCIE"),-AE477,0)))))</f>
        <v/>
      </c>
      <c r="AI477" s="20">
        <f>IF(UPPER(AD477)="SKORYGOWANY",0,IF(OR(UPPER(E477)="TRANSPORT",UPPER(E477)="MM"),0,IF(UPPER(G477)&lt;&gt;"TAK",0,IF(OR(UPPER(E477)="ZAKUP",UPPER(E477)="PRODUKCJA"),AF477,IF(OR(UPPER(E477)="SPRZEDAŻ",UPPER(E477)="ZUŻYCIE"),-AF477,0)))))</f>
        <v/>
      </c>
      <c r="AJ477" s="21">
        <f>IF(UPPER(AD477)="SKORYGOWANY",0,IF(UPPER(E477)="ZAKUP",IF(L477&lt;&gt;"",L477,I477*K477),0))</f>
        <v/>
      </c>
      <c r="AK477" s="21">
        <f>IF(UPPER(AD477)="SKORYGOWANY",0,IF(UPPER(E477)="SPRZEDAŻ",IF(L477&lt;&gt;"",L477,I477*M477),0))</f>
        <v/>
      </c>
      <c r="AL477" s="21">
        <f>AE477*Q477</f>
        <v/>
      </c>
      <c r="AM477">
        <f>IF(R477="","",IF(LOWER(R477)="brak","Brak",IF(OR(ISNUMBER(SEARCH("własn",LOWER(R477))),ISNUMBER(SEARCH("wlasn",LOWER(R477))),ISNUMBER(SEARCH("wojciechowski",LOWER(R477)))),"Własny","Zewnętrzny")))</f>
        <v/>
      </c>
      <c r="AN477" s="24">
        <f>IF(C477="","",YEAR(C477))</f>
        <v/>
      </c>
      <c r="AO477" s="24">
        <f>IF(C477="","",MONTH(C477))</f>
        <v/>
      </c>
      <c r="AP477">
        <f>IF(C477="","",UPPER(TEXT(C477,"mmmm")))</f>
        <v/>
      </c>
      <c r="AQ477">
        <f>IF(C477="","","Q"&amp;ROUNDUP(MONTH(C477)/3,0))</f>
        <v/>
      </c>
    </row>
    <row r="478">
      <c r="A478" s="19" t="n">
        <v>46255</v>
      </c>
      <c r="B478" t="inlineStr">
        <is>
          <t>Mieczysko</t>
        </is>
      </c>
      <c r="C478" s="19" t="n">
        <v>46255</v>
      </c>
      <c r="D478" t="inlineStr">
        <is>
          <t>Magazyn Zabrze</t>
        </is>
      </c>
      <c r="E478" t="inlineStr">
        <is>
          <t>ZAKUP</t>
        </is>
      </c>
      <c r="F478" t="inlineStr">
        <is>
          <t>PZ/97</t>
        </is>
      </c>
      <c r="G478" t="inlineStr">
        <is>
          <t>TAK</t>
        </is>
      </c>
      <c r="H478" t="inlineStr">
        <is>
          <t>Deklaracja</t>
        </is>
      </c>
      <c r="I478" s="20" t="n">
        <v>80</v>
      </c>
      <c r="J478" t="inlineStr">
        <is>
          <t>MP</t>
        </is>
      </c>
      <c r="K478" s="21" t="n">
        <v>0</v>
      </c>
      <c r="L478" s="21" t="n">
        <v>0</v>
      </c>
      <c r="M478" s="21" t="n">
        <v>0</v>
      </c>
      <c r="N478" t="inlineStr">
        <is>
          <t>Zrębka Produkcyjna Leśna</t>
        </is>
      </c>
      <c r="O478" t="inlineStr">
        <is>
          <t>B</t>
        </is>
      </c>
      <c r="Q478" s="21" t="n">
        <v>0</v>
      </c>
      <c r="R478" t="inlineStr">
        <is>
          <t>własny (Chrzan)</t>
        </is>
      </c>
      <c r="S478" t="inlineStr">
        <is>
          <t>SK 5L809</t>
        </is>
      </c>
      <c r="T478" s="22" t="n">
        <v>62</v>
      </c>
      <c r="U478" s="21" t="n">
        <v>5</v>
      </c>
      <c r="V478" s="21" t="n">
        <v>310</v>
      </c>
      <c r="W478" t="inlineStr">
        <is>
          <t>Magazyn Zabrze</t>
        </is>
      </c>
      <c r="Z478" t="inlineStr">
        <is>
          <t>Marcin Kwiatkowski</t>
        </is>
      </c>
      <c r="AA478" s="23" t="n">
        <v>46258.48959490741</v>
      </c>
      <c r="AB478" t="inlineStr">
        <is>
          <t>OP-MIGR-00477</t>
        </is>
      </c>
      <c r="AD478" t="inlineStr">
        <is>
          <t>AKTYWNY</t>
        </is>
      </c>
      <c r="AE478" s="20">
        <f>IF(I478="",0,IF(ISNUMBER(SEARCH("MP",UPPER(J478))),I478,IF(ISNUMBER(SEARCH("TON",UPPER(J478))),I478/Przelicznik_MP_tona,IF(ISNUMBER(SEARCH("M3",UPPER(J478))),I478*Przelicznik_M3_MP,IF(ISNUMBER(SEARCH("GJ",UPPER(J478))),I478/Przelicznik_GJ_tona/Przelicznik_MP_tona,I478)))))</f>
        <v/>
      </c>
      <c r="AF478" s="20">
        <f>IF(I478="",0,IF(ISNUMBER(SEARCH("TON",UPPER(J478))),I478,IF(ISNUMBER(SEARCH("GJ",UPPER(J478))),I478/Przelicznik_GJ_tona,AE478*Przelicznik_MP_tona)))</f>
        <v/>
      </c>
      <c r="AG478" s="20">
        <f>AF478*Przelicznik_GJ_tona</f>
        <v/>
      </c>
      <c r="AH478" s="20">
        <f>IF(UPPER(AD478)="SKORYGOWANY",0,IF(OR(UPPER(E478)="TRANSPORT",UPPER(E478)="MM"),0,IF(UPPER(G478)&lt;&gt;"TAK",0,IF(OR(UPPER(E478)="ZAKUP",UPPER(E478)="PRODUKCJA"),AE478,IF(OR(UPPER(E478)="SPRZEDAŻ",UPPER(E478)="ZUŻYCIE"),-AE478,0)))))</f>
        <v/>
      </c>
      <c r="AI478" s="20">
        <f>IF(UPPER(AD478)="SKORYGOWANY",0,IF(OR(UPPER(E478)="TRANSPORT",UPPER(E478)="MM"),0,IF(UPPER(G478)&lt;&gt;"TAK",0,IF(OR(UPPER(E478)="ZAKUP",UPPER(E478)="PRODUKCJA"),AF478,IF(OR(UPPER(E478)="SPRZEDAŻ",UPPER(E478)="ZUŻYCIE"),-AF478,0)))))</f>
        <v/>
      </c>
      <c r="AJ478" s="21">
        <f>IF(UPPER(AD478)="SKORYGOWANY",0,IF(UPPER(E478)="ZAKUP",IF(L478&lt;&gt;"",L478,I478*K478),0))</f>
        <v/>
      </c>
      <c r="AK478" s="21">
        <f>IF(UPPER(AD478)="SKORYGOWANY",0,IF(UPPER(E478)="SPRZEDAŻ",IF(L478&lt;&gt;"",L478,I478*M478),0))</f>
        <v/>
      </c>
      <c r="AL478" s="21">
        <f>AE478*Q478</f>
        <v/>
      </c>
      <c r="AM478">
        <f>IF(R478="","",IF(LOWER(R478)="brak","Brak",IF(OR(ISNUMBER(SEARCH("własn",LOWER(R478))),ISNUMBER(SEARCH("wlasn",LOWER(R478))),ISNUMBER(SEARCH("wojciechowski",LOWER(R478)))),"Własny","Zewnętrzny")))</f>
        <v/>
      </c>
      <c r="AN478" s="24">
        <f>IF(C478="","",YEAR(C478))</f>
        <v/>
      </c>
      <c r="AO478" s="24">
        <f>IF(C478="","",MONTH(C478))</f>
        <v/>
      </c>
      <c r="AP478">
        <f>IF(C478="","",UPPER(TEXT(C478,"mmmm")))</f>
        <v/>
      </c>
      <c r="AQ478">
        <f>IF(C478="","","Q"&amp;ROUNDUP(MONTH(C478)/3,0))</f>
        <v/>
      </c>
    </row>
    <row r="479">
      <c r="A479" s="19" t="n">
        <v>46255</v>
      </c>
      <c r="C479" s="19" t="n">
        <v>46255</v>
      </c>
      <c r="D479" t="inlineStr">
        <is>
          <t>NDL Świerklaniec, Leśnictwo Mieczysko</t>
        </is>
      </c>
      <c r="E479" t="inlineStr">
        <is>
          <t>ZAKUP</t>
        </is>
      </c>
      <c r="F479" t="inlineStr">
        <is>
          <t>PZ/98   3/202632708/6678</t>
        </is>
      </c>
      <c r="G479" t="inlineStr">
        <is>
          <t>TAK</t>
        </is>
      </c>
      <c r="H479" t="inlineStr">
        <is>
          <t>Deklaracja</t>
        </is>
      </c>
      <c r="I479" s="20" t="n">
        <v>12</v>
      </c>
      <c r="J479" t="inlineStr">
        <is>
          <t>M3</t>
        </is>
      </c>
      <c r="K479" s="21" t="n">
        <v>112</v>
      </c>
      <c r="L479" s="21" t="n">
        <v>1344</v>
      </c>
      <c r="M479" s="21" t="n">
        <v>0</v>
      </c>
      <c r="N479" t="inlineStr">
        <is>
          <t>Drewno opałowe z lasu</t>
        </is>
      </c>
      <c r="Q479" s="21" t="n">
        <v>0</v>
      </c>
      <c r="T479" s="22" t="n">
        <v>0</v>
      </c>
      <c r="U479" s="21" t="n">
        <v>0</v>
      </c>
      <c r="V479" s="21" t="n">
        <v>0</v>
      </c>
      <c r="W479" t="inlineStr">
        <is>
          <t>Magazyn Zabrze</t>
        </is>
      </c>
      <c r="Y479" t="inlineStr">
        <is>
          <t>Waga: 21 080 kg</t>
        </is>
      </c>
      <c r="Z479" t="inlineStr">
        <is>
          <t>Marcin Kwiatkowski</t>
        </is>
      </c>
      <c r="AA479" s="23" t="n">
        <v>46258.49145833333</v>
      </c>
      <c r="AB479" t="inlineStr">
        <is>
          <t>OP-MIGR-00478</t>
        </is>
      </c>
      <c r="AD479" t="inlineStr">
        <is>
          <t>AKTYWNY</t>
        </is>
      </c>
      <c r="AE479" s="20">
        <f>IF(I479="",0,IF(ISNUMBER(SEARCH("MP",UPPER(J479))),I479,IF(ISNUMBER(SEARCH("TON",UPPER(J479))),I479/Przelicznik_MP_tona,IF(ISNUMBER(SEARCH("M3",UPPER(J479))),I479*Przelicznik_M3_MP,IF(ISNUMBER(SEARCH("GJ",UPPER(J479))),I479/Przelicznik_GJ_tona/Przelicznik_MP_tona,I479)))))</f>
        <v/>
      </c>
      <c r="AF479" s="20">
        <f>IF(I479="",0,IF(ISNUMBER(SEARCH("TON",UPPER(J479))),I479,IF(ISNUMBER(SEARCH("GJ",UPPER(J479))),I479/Przelicznik_GJ_tona,AE479*Przelicznik_MP_tona)))</f>
        <v/>
      </c>
      <c r="AG479" s="20">
        <f>AF479*Przelicznik_GJ_tona</f>
        <v/>
      </c>
      <c r="AH479" s="20">
        <f>IF(UPPER(AD479)="SKORYGOWANY",0,IF(OR(UPPER(E479)="TRANSPORT",UPPER(E479)="MM"),0,IF(UPPER(G479)&lt;&gt;"TAK",0,IF(OR(UPPER(E479)="ZAKUP",UPPER(E479)="PRODUKCJA"),AE479,IF(OR(UPPER(E479)="SPRZEDAŻ",UPPER(E479)="ZUŻYCIE"),-AE479,0)))))</f>
        <v/>
      </c>
      <c r="AI479" s="20">
        <f>IF(UPPER(AD479)="SKORYGOWANY",0,IF(OR(UPPER(E479)="TRANSPORT",UPPER(E479)="MM"),0,IF(UPPER(G479)&lt;&gt;"TAK",0,IF(OR(UPPER(E479)="ZAKUP",UPPER(E479)="PRODUKCJA"),AF479,IF(OR(UPPER(E479)="SPRZEDAŻ",UPPER(E479)="ZUŻYCIE"),-AF479,0)))))</f>
        <v/>
      </c>
      <c r="AJ479" s="21">
        <f>IF(UPPER(AD479)="SKORYGOWANY",0,IF(UPPER(E479)="ZAKUP",IF(L479&lt;&gt;"",L479,I479*K479),0))</f>
        <v/>
      </c>
      <c r="AK479" s="21">
        <f>IF(UPPER(AD479)="SKORYGOWANY",0,IF(UPPER(E479)="SPRZEDAŻ",IF(L479&lt;&gt;"",L479,I479*M479),0))</f>
        <v/>
      </c>
      <c r="AL479" s="21">
        <f>AE479*Q479</f>
        <v/>
      </c>
      <c r="AM479">
        <f>IF(R479="","",IF(LOWER(R479)="brak","Brak",IF(OR(ISNUMBER(SEARCH("własn",LOWER(R479))),ISNUMBER(SEARCH("wlasn",LOWER(R479))),ISNUMBER(SEARCH("wojciechowski",LOWER(R479)))),"Własny","Zewnętrzny")))</f>
        <v/>
      </c>
      <c r="AN479" s="24">
        <f>IF(C479="","",YEAR(C479))</f>
        <v/>
      </c>
      <c r="AO479" s="24">
        <f>IF(C479="","",MONTH(C479))</f>
        <v/>
      </c>
      <c r="AP479">
        <f>IF(C479="","",UPPER(TEXT(C479,"mmmm")))</f>
        <v/>
      </c>
      <c r="AQ479">
        <f>IF(C479="","","Q"&amp;ROUNDUP(MONTH(C479)/3,0))</f>
        <v/>
      </c>
    </row>
    <row r="480">
      <c r="A480" s="19" t="n">
        <v>46255</v>
      </c>
      <c r="C480" s="19" t="n">
        <v>46255</v>
      </c>
      <c r="D480" t="inlineStr">
        <is>
          <t>Magazyn Zabrze</t>
        </is>
      </c>
      <c r="E480" t="inlineStr">
        <is>
          <t>PRODUKCJA</t>
        </is>
      </c>
      <c r="F480" t="inlineStr">
        <is>
          <t>PZ/98</t>
        </is>
      </c>
      <c r="G480" t="inlineStr">
        <is>
          <t>TAK</t>
        </is>
      </c>
      <c r="H480" t="inlineStr">
        <is>
          <t>Deklaracja</t>
        </is>
      </c>
      <c r="I480" s="20" t="n">
        <v>48</v>
      </c>
      <c r="J480" t="inlineStr">
        <is>
          <t>MP</t>
        </is>
      </c>
      <c r="K480" s="21" t="n">
        <v>0</v>
      </c>
      <c r="L480" s="21" t="n">
        <v>0</v>
      </c>
      <c r="M480" s="21" t="n">
        <v>0</v>
      </c>
      <c r="N480" t="inlineStr">
        <is>
          <t>Zrębka Produkcyjna Leśna</t>
        </is>
      </c>
      <c r="O480" t="inlineStr">
        <is>
          <t>B</t>
        </is>
      </c>
      <c r="P480" t="inlineStr">
        <is>
          <t>własne</t>
        </is>
      </c>
      <c r="Q480" s="21" t="n">
        <v>10</v>
      </c>
      <c r="T480" s="22" t="n">
        <v>0</v>
      </c>
      <c r="U480" s="21" t="n">
        <v>0</v>
      </c>
      <c r="V480" s="21" t="n">
        <v>0</v>
      </c>
      <c r="W480" t="inlineStr">
        <is>
          <t>Magazyn Zabrze</t>
        </is>
      </c>
      <c r="X480" t="inlineStr">
        <is>
          <t>Magazyn Zabrze</t>
        </is>
      </c>
      <c r="Y480" t="inlineStr">
        <is>
          <t>Rębak z Brąszewic, rębakowy Łukasz Kempski</t>
        </is>
      </c>
      <c r="Z480" t="inlineStr">
        <is>
          <t>Marcin Kwiatkowski</t>
        </is>
      </c>
      <c r="AA480" s="23" t="n">
        <v>46258.49288194445</v>
      </c>
      <c r="AB480" t="inlineStr">
        <is>
          <t>OP-MIGR-00479</t>
        </is>
      </c>
      <c r="AD480" t="inlineStr">
        <is>
          <t>AKTYWNY</t>
        </is>
      </c>
      <c r="AE480" s="20">
        <f>IF(I480="",0,IF(ISNUMBER(SEARCH("MP",UPPER(J480))),I480,IF(ISNUMBER(SEARCH("TON",UPPER(J480))),I480/Przelicznik_MP_tona,IF(ISNUMBER(SEARCH("M3",UPPER(J480))),I480*Przelicznik_M3_MP,IF(ISNUMBER(SEARCH("GJ",UPPER(J480))),I480/Przelicznik_GJ_tona/Przelicznik_MP_tona,I480)))))</f>
        <v/>
      </c>
      <c r="AF480" s="20">
        <f>IF(I480="",0,IF(ISNUMBER(SEARCH("TON",UPPER(J480))),I480,IF(ISNUMBER(SEARCH("GJ",UPPER(J480))),I480/Przelicznik_GJ_tona,AE480*Przelicznik_MP_tona)))</f>
        <v/>
      </c>
      <c r="AG480" s="20">
        <f>AF480*Przelicznik_GJ_tona</f>
        <v/>
      </c>
      <c r="AH480" s="20">
        <f>IF(UPPER(AD480)="SKORYGOWANY",0,IF(OR(UPPER(E480)="TRANSPORT",UPPER(E480)="MM"),0,IF(UPPER(G480)&lt;&gt;"TAK",0,IF(OR(UPPER(E480)="ZAKUP",UPPER(E480)="PRODUKCJA"),AE480,IF(OR(UPPER(E480)="SPRZEDAŻ",UPPER(E480)="ZUŻYCIE"),-AE480,0)))))</f>
        <v/>
      </c>
      <c r="AI480" s="20">
        <f>IF(UPPER(AD480)="SKORYGOWANY",0,IF(OR(UPPER(E480)="TRANSPORT",UPPER(E480)="MM"),0,IF(UPPER(G480)&lt;&gt;"TAK",0,IF(OR(UPPER(E480)="ZAKUP",UPPER(E480)="PRODUKCJA"),AF480,IF(OR(UPPER(E480)="SPRZEDAŻ",UPPER(E480)="ZUŻYCIE"),-AF480,0)))))</f>
        <v/>
      </c>
      <c r="AJ480" s="21">
        <f>IF(UPPER(AD480)="SKORYGOWANY",0,IF(UPPER(E480)="ZAKUP",IF(L480&lt;&gt;"",L480,I480*K480),0))</f>
        <v/>
      </c>
      <c r="AK480" s="21">
        <f>IF(UPPER(AD480)="SKORYGOWANY",0,IF(UPPER(E480)="SPRZEDAŻ",IF(L480&lt;&gt;"",L480,I480*M480),0))</f>
        <v/>
      </c>
      <c r="AL480" s="21">
        <f>AE480*Q480</f>
        <v/>
      </c>
      <c r="AM480">
        <f>IF(R480="","",IF(LOWER(R480)="brak","Brak",IF(OR(ISNUMBER(SEARCH("własn",LOWER(R480))),ISNUMBER(SEARCH("wlasn",LOWER(R480))),ISNUMBER(SEARCH("wojciechowski",LOWER(R480)))),"Własny","Zewnętrzny")))</f>
        <v/>
      </c>
      <c r="AN480" s="24">
        <f>IF(C480="","",YEAR(C480))</f>
        <v/>
      </c>
      <c r="AO480" s="24">
        <f>IF(C480="","",MONTH(C480))</f>
        <v/>
      </c>
      <c r="AP480">
        <f>IF(C480="","",UPPER(TEXT(C480,"mmmm")))</f>
        <v/>
      </c>
      <c r="AQ480">
        <f>IF(C480="","","Q"&amp;ROUNDUP(MONTH(C480)/3,0))</f>
        <v/>
      </c>
    </row>
    <row r="481">
      <c r="A481" s="19" t="n">
        <v>46255</v>
      </c>
      <c r="C481" s="19" t="n">
        <v>46255</v>
      </c>
      <c r="D481" t="inlineStr">
        <is>
          <t>Magazyn Zabrze</t>
        </is>
      </c>
      <c r="E481" t="inlineStr">
        <is>
          <t>ZUŻYCIE</t>
        </is>
      </c>
      <c r="F481" t="inlineStr">
        <is>
          <t>PZ/98</t>
        </is>
      </c>
      <c r="G481" t="inlineStr">
        <is>
          <t>TAK</t>
        </is>
      </c>
      <c r="H481" t="inlineStr">
        <is>
          <t>Deklaracja</t>
        </is>
      </c>
      <c r="I481" s="20" t="n">
        <v>48</v>
      </c>
      <c r="J481" t="inlineStr">
        <is>
          <t>MP</t>
        </is>
      </c>
      <c r="K481" s="21" t="n">
        <v>0</v>
      </c>
      <c r="L481" s="21" t="n">
        <v>0</v>
      </c>
      <c r="M481" s="21" t="n">
        <v>0</v>
      </c>
      <c r="N481" t="inlineStr">
        <is>
          <t>Zrębka Produkcyjna Leśna</t>
        </is>
      </c>
      <c r="O481" t="inlineStr">
        <is>
          <t>B</t>
        </is>
      </c>
      <c r="P481" t="inlineStr">
        <is>
          <t>własne</t>
        </is>
      </c>
      <c r="Q481" s="21" t="n">
        <v>10</v>
      </c>
      <c r="T481" s="22" t="n">
        <v>0</v>
      </c>
      <c r="U481" s="21" t="n">
        <v>0</v>
      </c>
      <c r="V481" s="21" t="n">
        <v>0</v>
      </c>
      <c r="W481" t="inlineStr">
        <is>
          <t>Magazyn Zabrze</t>
        </is>
      </c>
      <c r="X481" t="inlineStr">
        <is>
          <t>Magazyn Zabrze</t>
        </is>
      </c>
      <c r="Y481" t="inlineStr">
        <is>
          <t>Automatyczne zużycie surowca do produkcji</t>
        </is>
      </c>
      <c r="AA481" s="23" t="n">
        <v>46258.49289351852</v>
      </c>
      <c r="AB481" t="inlineStr">
        <is>
          <t>OP-MIGR-00480</t>
        </is>
      </c>
      <c r="AD481" t="inlineStr">
        <is>
          <t>AKTYWNY</t>
        </is>
      </c>
      <c r="AE481" s="20">
        <f>IF(I481="",0,IF(ISNUMBER(SEARCH("MP",UPPER(J481))),I481,IF(ISNUMBER(SEARCH("TON",UPPER(J481))),I481/Przelicznik_MP_tona,IF(ISNUMBER(SEARCH("M3",UPPER(J481))),I481*Przelicznik_M3_MP,IF(ISNUMBER(SEARCH("GJ",UPPER(J481))),I481/Przelicznik_GJ_tona/Przelicznik_MP_tona,I481)))))</f>
        <v/>
      </c>
      <c r="AF481" s="20">
        <f>IF(I481="",0,IF(ISNUMBER(SEARCH("TON",UPPER(J481))),I481,IF(ISNUMBER(SEARCH("GJ",UPPER(J481))),I481/Przelicznik_GJ_tona,AE481*Przelicznik_MP_tona)))</f>
        <v/>
      </c>
      <c r="AG481" s="20">
        <f>AF481*Przelicznik_GJ_tona</f>
        <v/>
      </c>
      <c r="AH481" s="20">
        <f>IF(UPPER(AD481)="SKORYGOWANY",0,IF(OR(UPPER(E481)="TRANSPORT",UPPER(E481)="MM"),0,IF(UPPER(G481)&lt;&gt;"TAK",0,IF(OR(UPPER(E481)="ZAKUP",UPPER(E481)="PRODUKCJA"),AE481,IF(OR(UPPER(E481)="SPRZEDAŻ",UPPER(E481)="ZUŻYCIE"),-AE481,0)))))</f>
        <v/>
      </c>
      <c r="AI481" s="20">
        <f>IF(UPPER(AD481)="SKORYGOWANY",0,IF(OR(UPPER(E481)="TRANSPORT",UPPER(E481)="MM"),0,IF(UPPER(G481)&lt;&gt;"TAK",0,IF(OR(UPPER(E481)="ZAKUP",UPPER(E481)="PRODUKCJA"),AF481,IF(OR(UPPER(E481)="SPRZEDAŻ",UPPER(E481)="ZUŻYCIE"),-AF481,0)))))</f>
        <v/>
      </c>
      <c r="AJ481" s="21">
        <f>IF(UPPER(AD481)="SKORYGOWANY",0,IF(UPPER(E481)="ZAKUP",IF(L481&lt;&gt;"",L481,I481*K481),0))</f>
        <v/>
      </c>
      <c r="AK481" s="21">
        <f>IF(UPPER(AD481)="SKORYGOWANY",0,IF(UPPER(E481)="SPRZEDAŻ",IF(L481&lt;&gt;"",L481,I481*M481),0))</f>
        <v/>
      </c>
      <c r="AL481" s="21">
        <f>AE481*Q481</f>
        <v/>
      </c>
      <c r="AM481">
        <f>IF(R481="","",IF(LOWER(R481)="brak","Brak",IF(OR(ISNUMBER(SEARCH("własn",LOWER(R481))),ISNUMBER(SEARCH("wlasn",LOWER(R481))),ISNUMBER(SEARCH("wojciechowski",LOWER(R481)))),"Własny","Zewnętrzny")))</f>
        <v/>
      </c>
      <c r="AN481" s="24">
        <f>IF(C481="","",YEAR(C481))</f>
        <v/>
      </c>
      <c r="AO481" s="24">
        <f>IF(C481="","",MONTH(C481))</f>
        <v/>
      </c>
      <c r="AP481">
        <f>IF(C481="","",UPPER(TEXT(C481,"mmmm")))</f>
        <v/>
      </c>
      <c r="AQ481">
        <f>IF(C481="","","Q"&amp;ROUNDUP(MONTH(C481)/3,0))</f>
        <v/>
      </c>
    </row>
    <row r="482">
      <c r="A482" s="19" t="n">
        <v>46255</v>
      </c>
      <c r="B482" t="inlineStr">
        <is>
          <t>Mieczysko</t>
        </is>
      </c>
      <c r="C482" s="19" t="n">
        <v>46255</v>
      </c>
      <c r="D482" t="inlineStr">
        <is>
          <t>Magazyn Zabrze</t>
        </is>
      </c>
      <c r="E482" t="inlineStr">
        <is>
          <t>ZAKUP</t>
        </is>
      </c>
      <c r="F482" t="inlineStr">
        <is>
          <t>PZ/98</t>
        </is>
      </c>
      <c r="G482" t="inlineStr">
        <is>
          <t>TAK</t>
        </is>
      </c>
      <c r="H482" t="inlineStr">
        <is>
          <t>Deklaracja</t>
        </is>
      </c>
      <c r="I482" s="20" t="n">
        <v>48</v>
      </c>
      <c r="J482" t="inlineStr">
        <is>
          <t>MP</t>
        </is>
      </c>
      <c r="K482" s="21" t="n">
        <v>0</v>
      </c>
      <c r="L482" s="21" t="n">
        <v>0</v>
      </c>
      <c r="M482" s="21" t="n">
        <v>0</v>
      </c>
      <c r="N482" t="inlineStr">
        <is>
          <t>Zrębka Produkcyjna Leśna</t>
        </is>
      </c>
      <c r="O482" t="inlineStr">
        <is>
          <t>B</t>
        </is>
      </c>
      <c r="Q482" s="21" t="n">
        <v>0</v>
      </c>
      <c r="R482" t="inlineStr">
        <is>
          <t>własny (Kretek)</t>
        </is>
      </c>
      <c r="S482" t="inlineStr">
        <is>
          <t>SK 7J885</t>
        </is>
      </c>
      <c r="T482" s="22" t="n">
        <v>62</v>
      </c>
      <c r="U482" s="21" t="n">
        <v>5</v>
      </c>
      <c r="V482" s="21" t="n">
        <v>310</v>
      </c>
      <c r="W482" t="inlineStr">
        <is>
          <t>Magazyn Zabrze</t>
        </is>
      </c>
      <c r="Z482" t="inlineStr">
        <is>
          <t>Marcin Kwiatkowski</t>
        </is>
      </c>
      <c r="AA482" s="23" t="n">
        <v>46258.49395833333</v>
      </c>
      <c r="AB482" t="inlineStr">
        <is>
          <t>OP-MIGR-00481</t>
        </is>
      </c>
      <c r="AD482" t="inlineStr">
        <is>
          <t>AKTYWNY</t>
        </is>
      </c>
      <c r="AE482" s="20">
        <f>IF(I482="",0,IF(ISNUMBER(SEARCH("MP",UPPER(J482))),I482,IF(ISNUMBER(SEARCH("TON",UPPER(J482))),I482/Przelicznik_MP_tona,IF(ISNUMBER(SEARCH("M3",UPPER(J482))),I482*Przelicznik_M3_MP,IF(ISNUMBER(SEARCH("GJ",UPPER(J482))),I482/Przelicznik_GJ_tona/Przelicznik_MP_tona,I482)))))</f>
        <v/>
      </c>
      <c r="AF482" s="20">
        <f>IF(I482="",0,IF(ISNUMBER(SEARCH("TON",UPPER(J482))),I482,IF(ISNUMBER(SEARCH("GJ",UPPER(J482))),I482/Przelicznik_GJ_tona,AE482*Przelicznik_MP_tona)))</f>
        <v/>
      </c>
      <c r="AG482" s="20">
        <f>AF482*Przelicznik_GJ_tona</f>
        <v/>
      </c>
      <c r="AH482" s="20">
        <f>IF(UPPER(AD482)="SKORYGOWANY",0,IF(OR(UPPER(E482)="TRANSPORT",UPPER(E482)="MM"),0,IF(UPPER(G482)&lt;&gt;"TAK",0,IF(OR(UPPER(E482)="ZAKUP",UPPER(E482)="PRODUKCJA"),AE482,IF(OR(UPPER(E482)="SPRZEDAŻ",UPPER(E482)="ZUŻYCIE"),-AE482,0)))))</f>
        <v/>
      </c>
      <c r="AI482" s="20">
        <f>IF(UPPER(AD482)="SKORYGOWANY",0,IF(OR(UPPER(E482)="TRANSPORT",UPPER(E482)="MM"),0,IF(UPPER(G482)&lt;&gt;"TAK",0,IF(OR(UPPER(E482)="ZAKUP",UPPER(E482)="PRODUKCJA"),AF482,IF(OR(UPPER(E482)="SPRZEDAŻ",UPPER(E482)="ZUŻYCIE"),-AF482,0)))))</f>
        <v/>
      </c>
      <c r="AJ482" s="21">
        <f>IF(UPPER(AD482)="SKORYGOWANY",0,IF(UPPER(E482)="ZAKUP",IF(L482&lt;&gt;"",L482,I482*K482),0))</f>
        <v/>
      </c>
      <c r="AK482" s="21">
        <f>IF(UPPER(AD482)="SKORYGOWANY",0,IF(UPPER(E482)="SPRZEDAŻ",IF(L482&lt;&gt;"",L482,I482*M482),0))</f>
        <v/>
      </c>
      <c r="AL482" s="21">
        <f>AE482*Q482</f>
        <v/>
      </c>
      <c r="AM482">
        <f>IF(R482="","",IF(LOWER(R482)="brak","Brak",IF(OR(ISNUMBER(SEARCH("własn",LOWER(R482))),ISNUMBER(SEARCH("wlasn",LOWER(R482))),ISNUMBER(SEARCH("wojciechowski",LOWER(R482)))),"Własny","Zewnętrzny")))</f>
        <v/>
      </c>
      <c r="AN482" s="24">
        <f>IF(C482="","",YEAR(C482))</f>
        <v/>
      </c>
      <c r="AO482" s="24">
        <f>IF(C482="","",MONTH(C482))</f>
        <v/>
      </c>
      <c r="AP482">
        <f>IF(C482="","",UPPER(TEXT(C482,"mmmm")))</f>
        <v/>
      </c>
      <c r="AQ482">
        <f>IF(C482="","","Q"&amp;ROUNDUP(MONTH(C482)/3,0))</f>
        <v/>
      </c>
    </row>
    <row r="483">
      <c r="A483" s="19" t="n">
        <v>46258</v>
      </c>
      <c r="C483" s="19" t="n">
        <v>46258</v>
      </c>
      <c r="D483" t="inlineStr">
        <is>
          <t>GWood</t>
        </is>
      </c>
      <c r="E483" t="inlineStr">
        <is>
          <t>ZAKUP</t>
        </is>
      </c>
      <c r="F483" t="inlineStr">
        <is>
          <t>PZ/99</t>
        </is>
      </c>
      <c r="G483" t="inlineStr">
        <is>
          <t>TAK</t>
        </is>
      </c>
      <c r="H483" t="inlineStr">
        <is>
          <t>Deklaracja</t>
        </is>
      </c>
      <c r="I483" s="20" t="n">
        <v>92</v>
      </c>
      <c r="J483" t="inlineStr">
        <is>
          <t>MP</t>
        </is>
      </c>
      <c r="K483" s="21" t="n">
        <v>117</v>
      </c>
      <c r="L483" s="21" t="n">
        <v>10764</v>
      </c>
      <c r="M483" s="21" t="n">
        <v>0</v>
      </c>
      <c r="N483" t="inlineStr">
        <is>
          <t>Zrębka towar</t>
        </is>
      </c>
      <c r="O483" t="inlineStr">
        <is>
          <t>B</t>
        </is>
      </c>
      <c r="Q483" s="21" t="n">
        <v>0</v>
      </c>
      <c r="T483" s="22" t="n">
        <v>0</v>
      </c>
      <c r="U483" s="21" t="n">
        <v>0</v>
      </c>
      <c r="V483" s="21" t="n">
        <v>0</v>
      </c>
      <c r="W483" t="inlineStr">
        <is>
          <t>Magazyn Zabrze</t>
        </is>
      </c>
      <c r="Y483" t="inlineStr">
        <is>
          <t>Waga: 25,46 t</t>
        </is>
      </c>
      <c r="Z483" t="inlineStr">
        <is>
          <t>Marcin Kwiatkowski</t>
        </is>
      </c>
      <c r="AA483" s="23" t="n">
        <v>46258.49849537037</v>
      </c>
      <c r="AB483" t="inlineStr">
        <is>
          <t>OP-MIGR-00482</t>
        </is>
      </c>
      <c r="AD483" t="inlineStr">
        <is>
          <t>AKTYWNY</t>
        </is>
      </c>
      <c r="AE483" s="20">
        <f>IF(I483="",0,IF(ISNUMBER(SEARCH("MP",UPPER(J483))),I483,IF(ISNUMBER(SEARCH("TON",UPPER(J483))),I483/Przelicznik_MP_tona,IF(ISNUMBER(SEARCH("M3",UPPER(J483))),I483*Przelicznik_M3_MP,IF(ISNUMBER(SEARCH("GJ",UPPER(J483))),I483/Przelicznik_GJ_tona/Przelicznik_MP_tona,I483)))))</f>
        <v/>
      </c>
      <c r="AF483" s="20">
        <f>IF(I483="",0,IF(ISNUMBER(SEARCH("TON",UPPER(J483))),I483,IF(ISNUMBER(SEARCH("GJ",UPPER(J483))),I483/Przelicznik_GJ_tona,AE483*Przelicznik_MP_tona)))</f>
        <v/>
      </c>
      <c r="AG483" s="20">
        <f>AF483*Przelicznik_GJ_tona</f>
        <v/>
      </c>
      <c r="AH483" s="20">
        <f>IF(UPPER(AD483)="SKORYGOWANY",0,IF(OR(UPPER(E483)="TRANSPORT",UPPER(E483)="MM"),0,IF(UPPER(G483)&lt;&gt;"TAK",0,IF(OR(UPPER(E483)="ZAKUP",UPPER(E483)="PRODUKCJA"),AE483,IF(OR(UPPER(E483)="SPRZEDAŻ",UPPER(E483)="ZUŻYCIE"),-AE483,0)))))</f>
        <v/>
      </c>
      <c r="AI483" s="20">
        <f>IF(UPPER(AD483)="SKORYGOWANY",0,IF(OR(UPPER(E483)="TRANSPORT",UPPER(E483)="MM"),0,IF(UPPER(G483)&lt;&gt;"TAK",0,IF(OR(UPPER(E483)="ZAKUP",UPPER(E483)="PRODUKCJA"),AF483,IF(OR(UPPER(E483)="SPRZEDAŻ",UPPER(E483)="ZUŻYCIE"),-AF483,0)))))</f>
        <v/>
      </c>
      <c r="AJ483" s="21">
        <f>IF(UPPER(AD483)="SKORYGOWANY",0,IF(UPPER(E483)="ZAKUP",IF(L483&lt;&gt;"",L483,I483*K483),0))</f>
        <v/>
      </c>
      <c r="AK483" s="21">
        <f>IF(UPPER(AD483)="SKORYGOWANY",0,IF(UPPER(E483)="SPRZEDAŻ",IF(L483&lt;&gt;"",L483,I483*M483),0))</f>
        <v/>
      </c>
      <c r="AL483" s="21">
        <f>AE483*Q483</f>
        <v/>
      </c>
      <c r="AM483">
        <f>IF(R483="","",IF(LOWER(R483)="brak","Brak",IF(OR(ISNUMBER(SEARCH("własn",LOWER(R483))),ISNUMBER(SEARCH("wlasn",LOWER(R483))),ISNUMBER(SEARCH("wojciechowski",LOWER(R483)))),"Własny","Zewnętrzny")))</f>
        <v/>
      </c>
      <c r="AN483" s="24">
        <f>IF(C483="","",YEAR(C483))</f>
        <v/>
      </c>
      <c r="AO483" s="24">
        <f>IF(C483="","",MONTH(C483))</f>
        <v/>
      </c>
      <c r="AP483">
        <f>IF(C483="","",UPPER(TEXT(C483,"mmmm")))</f>
        <v/>
      </c>
      <c r="AQ483">
        <f>IF(C483="","","Q"&amp;ROUNDUP(MONTH(C483)/3,0))</f>
        <v/>
      </c>
    </row>
    <row r="484">
      <c r="A484" s="19" t="n">
        <v>46258</v>
      </c>
      <c r="C484" s="19" t="n">
        <v>46258</v>
      </c>
      <c r="D484" t="inlineStr">
        <is>
          <t>NDL Chrzanów, Leśnictwo Mętków</t>
        </is>
      </c>
      <c r="E484" t="inlineStr">
        <is>
          <t>ZAKUP</t>
        </is>
      </c>
      <c r="F484" t="inlineStr">
        <is>
          <t>PZ/100  3/202624967/1074</t>
        </is>
      </c>
      <c r="G484" t="inlineStr">
        <is>
          <t>TAK</t>
        </is>
      </c>
      <c r="H484" t="inlineStr">
        <is>
          <t>Deklaracja</t>
        </is>
      </c>
      <c r="I484" s="20" t="n">
        <v>12</v>
      </c>
      <c r="J484" t="inlineStr">
        <is>
          <t>M3</t>
        </is>
      </c>
      <c r="K484" s="21" t="n">
        <v>0</v>
      </c>
      <c r="L484" s="21" t="n">
        <v>0</v>
      </c>
      <c r="M484" s="21" t="n">
        <v>0</v>
      </c>
      <c r="N484" t="inlineStr">
        <is>
          <t>Drewno opałowe z lasu</t>
        </is>
      </c>
      <c r="Q484" s="21" t="n">
        <v>0</v>
      </c>
      <c r="T484" s="22" t="n">
        <v>0</v>
      </c>
      <c r="U484" s="21" t="n">
        <v>0</v>
      </c>
      <c r="V484" s="21" t="n">
        <v>0</v>
      </c>
      <c r="W484" t="inlineStr">
        <is>
          <t>Magazyn Zabrze</t>
        </is>
      </c>
      <c r="Z484" t="inlineStr">
        <is>
          <t>Roesner Mateusz</t>
        </is>
      </c>
      <c r="AA484" s="23" t="n">
        <v>46264.9546875</v>
      </c>
      <c r="AB484" t="inlineStr">
        <is>
          <t>OP-MIGR-00483</t>
        </is>
      </c>
      <c r="AD484" t="inlineStr">
        <is>
          <t>AKTYWNY</t>
        </is>
      </c>
      <c r="AE484" s="20">
        <f>IF(I484="",0,IF(ISNUMBER(SEARCH("MP",UPPER(J484))),I484,IF(ISNUMBER(SEARCH("TON",UPPER(J484))),I484/Przelicznik_MP_tona,IF(ISNUMBER(SEARCH("M3",UPPER(J484))),I484*Przelicznik_M3_MP,IF(ISNUMBER(SEARCH("GJ",UPPER(J484))),I484/Przelicznik_GJ_tona/Przelicznik_MP_tona,I484)))))</f>
        <v/>
      </c>
      <c r="AF484" s="20">
        <f>IF(I484="",0,IF(ISNUMBER(SEARCH("TON",UPPER(J484))),I484,IF(ISNUMBER(SEARCH("GJ",UPPER(J484))),I484/Przelicznik_GJ_tona,AE484*Przelicznik_MP_tona)))</f>
        <v/>
      </c>
      <c r="AG484" s="20">
        <f>AF484*Przelicznik_GJ_tona</f>
        <v/>
      </c>
      <c r="AH484" s="20">
        <f>IF(UPPER(AD484)="SKORYGOWANY",0,IF(OR(UPPER(E484)="TRANSPORT",UPPER(E484)="MM"),0,IF(UPPER(G484)&lt;&gt;"TAK",0,IF(OR(UPPER(E484)="ZAKUP",UPPER(E484)="PRODUKCJA"),AE484,IF(OR(UPPER(E484)="SPRZEDAŻ",UPPER(E484)="ZUŻYCIE"),-AE484,0)))))</f>
        <v/>
      </c>
      <c r="AI484" s="20">
        <f>IF(UPPER(AD484)="SKORYGOWANY",0,IF(OR(UPPER(E484)="TRANSPORT",UPPER(E484)="MM"),0,IF(UPPER(G484)&lt;&gt;"TAK",0,IF(OR(UPPER(E484)="ZAKUP",UPPER(E484)="PRODUKCJA"),AF484,IF(OR(UPPER(E484)="SPRZEDAŻ",UPPER(E484)="ZUŻYCIE"),-AF484,0)))))</f>
        <v/>
      </c>
      <c r="AJ484" s="21">
        <f>IF(UPPER(AD484)="SKORYGOWANY",0,IF(UPPER(E484)="ZAKUP",IF(L484&lt;&gt;"",L484,I484*K484),0))</f>
        <v/>
      </c>
      <c r="AK484" s="21">
        <f>IF(UPPER(AD484)="SKORYGOWANY",0,IF(UPPER(E484)="SPRZEDAŻ",IF(L484&lt;&gt;"",L484,I484*M484),0))</f>
        <v/>
      </c>
      <c r="AL484" s="21">
        <f>AE484*Q484</f>
        <v/>
      </c>
      <c r="AM484">
        <f>IF(R484="","",IF(LOWER(R484)="brak","Brak",IF(OR(ISNUMBER(SEARCH("własn",LOWER(R484))),ISNUMBER(SEARCH("wlasn",LOWER(R484))),ISNUMBER(SEARCH("wojciechowski",LOWER(R484)))),"Własny","Zewnętrzny")))</f>
        <v/>
      </c>
      <c r="AN484" s="24">
        <f>IF(C484="","",YEAR(C484))</f>
        <v/>
      </c>
      <c r="AO484" s="24">
        <f>IF(C484="","",MONTH(C484))</f>
        <v/>
      </c>
      <c r="AP484">
        <f>IF(C484="","",UPPER(TEXT(C484,"mmmm")))</f>
        <v/>
      </c>
      <c r="AQ484">
        <f>IF(C484="","","Q"&amp;ROUNDUP(MONTH(C484)/3,0))</f>
        <v/>
      </c>
    </row>
    <row r="485">
      <c r="A485" s="19" t="n">
        <v>46258</v>
      </c>
      <c r="C485" s="19" t="n">
        <v>46258</v>
      </c>
      <c r="D485" t="inlineStr">
        <is>
          <t>Magazyn Zabrze</t>
        </is>
      </c>
      <c r="E485" t="inlineStr">
        <is>
          <t>PRODUKCJA</t>
        </is>
      </c>
      <c r="F485" t="inlineStr">
        <is>
          <t>PZ/100</t>
        </is>
      </c>
      <c r="G485" t="inlineStr">
        <is>
          <t>TAK</t>
        </is>
      </c>
      <c r="H485" t="inlineStr">
        <is>
          <t>Deklaracja</t>
        </is>
      </c>
      <c r="I485" s="20" t="n">
        <v>48</v>
      </c>
      <c r="J485" t="inlineStr">
        <is>
          <t>MP</t>
        </is>
      </c>
      <c r="K485" s="21" t="n">
        <v>0</v>
      </c>
      <c r="L485" s="21" t="n">
        <v>0</v>
      </c>
      <c r="M485" s="21" t="n">
        <v>0</v>
      </c>
      <c r="N485" t="inlineStr">
        <is>
          <t>Zrębka Produkcyjna Leśna</t>
        </is>
      </c>
      <c r="O485" t="inlineStr">
        <is>
          <t>B</t>
        </is>
      </c>
      <c r="P485" t="inlineStr">
        <is>
          <t>własne</t>
        </is>
      </c>
      <c r="Q485" s="21" t="n">
        <v>10</v>
      </c>
      <c r="T485" s="22" t="n">
        <v>0</v>
      </c>
      <c r="U485" s="21" t="n">
        <v>0</v>
      </c>
      <c r="V485" s="21" t="n">
        <v>0</v>
      </c>
      <c r="W485" t="inlineStr">
        <is>
          <t>Magazyn Zabrze</t>
        </is>
      </c>
      <c r="Z485" t="inlineStr">
        <is>
          <t>Roesner Mateusz</t>
        </is>
      </c>
      <c r="AA485" s="23" t="n">
        <v>46264.95585648148</v>
      </c>
      <c r="AB485" t="inlineStr">
        <is>
          <t>OP-MIGR-00484</t>
        </is>
      </c>
      <c r="AD485" t="inlineStr">
        <is>
          <t>AKTYWNY</t>
        </is>
      </c>
      <c r="AE485" s="20">
        <f>IF(I485="",0,IF(ISNUMBER(SEARCH("MP",UPPER(J485))),I485,IF(ISNUMBER(SEARCH("TON",UPPER(J485))),I485/Przelicznik_MP_tona,IF(ISNUMBER(SEARCH("M3",UPPER(J485))),I485*Przelicznik_M3_MP,IF(ISNUMBER(SEARCH("GJ",UPPER(J485))),I485/Przelicznik_GJ_tona/Przelicznik_MP_tona,I485)))))</f>
        <v/>
      </c>
      <c r="AF485" s="20">
        <f>IF(I485="",0,IF(ISNUMBER(SEARCH("TON",UPPER(J485))),I485,IF(ISNUMBER(SEARCH("GJ",UPPER(J485))),I485/Przelicznik_GJ_tona,AE485*Przelicznik_MP_tona)))</f>
        <v/>
      </c>
      <c r="AG485" s="20">
        <f>AF485*Przelicznik_GJ_tona</f>
        <v/>
      </c>
      <c r="AH485" s="20">
        <f>IF(UPPER(AD485)="SKORYGOWANY",0,IF(OR(UPPER(E485)="TRANSPORT",UPPER(E485)="MM"),0,IF(UPPER(G485)&lt;&gt;"TAK",0,IF(OR(UPPER(E485)="ZAKUP",UPPER(E485)="PRODUKCJA"),AE485,IF(OR(UPPER(E485)="SPRZEDAŻ",UPPER(E485)="ZUŻYCIE"),-AE485,0)))))</f>
        <v/>
      </c>
      <c r="AI485" s="20">
        <f>IF(UPPER(AD485)="SKORYGOWANY",0,IF(OR(UPPER(E485)="TRANSPORT",UPPER(E485)="MM"),0,IF(UPPER(G485)&lt;&gt;"TAK",0,IF(OR(UPPER(E485)="ZAKUP",UPPER(E485)="PRODUKCJA"),AF485,IF(OR(UPPER(E485)="SPRZEDAŻ",UPPER(E485)="ZUŻYCIE"),-AF485,0)))))</f>
        <v/>
      </c>
      <c r="AJ485" s="21">
        <f>IF(UPPER(AD485)="SKORYGOWANY",0,IF(UPPER(E485)="ZAKUP",IF(L485&lt;&gt;"",L485,I485*K485),0))</f>
        <v/>
      </c>
      <c r="AK485" s="21">
        <f>IF(UPPER(AD485)="SKORYGOWANY",0,IF(UPPER(E485)="SPRZEDAŻ",IF(L485&lt;&gt;"",L485,I485*M485),0))</f>
        <v/>
      </c>
      <c r="AL485" s="21">
        <f>AE485*Q485</f>
        <v/>
      </c>
      <c r="AM485">
        <f>IF(R485="","",IF(LOWER(R485)="brak","Brak",IF(OR(ISNUMBER(SEARCH("własn",LOWER(R485))),ISNUMBER(SEARCH("wlasn",LOWER(R485))),ISNUMBER(SEARCH("wojciechowski",LOWER(R485)))),"Własny","Zewnętrzny")))</f>
        <v/>
      </c>
      <c r="AN485" s="24">
        <f>IF(C485="","",YEAR(C485))</f>
        <v/>
      </c>
      <c r="AO485" s="24">
        <f>IF(C485="","",MONTH(C485))</f>
        <v/>
      </c>
      <c r="AP485">
        <f>IF(C485="","",UPPER(TEXT(C485,"mmmm")))</f>
        <v/>
      </c>
      <c r="AQ485">
        <f>IF(C485="","","Q"&amp;ROUNDUP(MONTH(C485)/3,0))</f>
        <v/>
      </c>
    </row>
    <row r="486">
      <c r="A486" s="19" t="n">
        <v>46258</v>
      </c>
      <c r="C486" s="19" t="n">
        <v>46258</v>
      </c>
      <c r="D486" t="inlineStr">
        <is>
          <t>Magazyn Zabrze</t>
        </is>
      </c>
      <c r="E486" t="inlineStr">
        <is>
          <t>ZUŻYCIE</t>
        </is>
      </c>
      <c r="F486" t="inlineStr">
        <is>
          <t>PZ/100</t>
        </is>
      </c>
      <c r="G486" t="inlineStr">
        <is>
          <t>TAK</t>
        </is>
      </c>
      <c r="H486" t="inlineStr">
        <is>
          <t>Deklaracja</t>
        </is>
      </c>
      <c r="I486" s="20" t="n">
        <v>48</v>
      </c>
      <c r="J486" t="inlineStr">
        <is>
          <t>MP</t>
        </is>
      </c>
      <c r="K486" s="21" t="n">
        <v>0</v>
      </c>
      <c r="L486" s="21" t="n">
        <v>0</v>
      </c>
      <c r="M486" s="21" t="n">
        <v>0</v>
      </c>
      <c r="N486" t="inlineStr">
        <is>
          <t>Zrębka Produkcyjna Leśna</t>
        </is>
      </c>
      <c r="O486" t="inlineStr">
        <is>
          <t>B</t>
        </is>
      </c>
      <c r="P486" t="inlineStr">
        <is>
          <t>własne</t>
        </is>
      </c>
      <c r="Q486" s="21" t="n">
        <v>10</v>
      </c>
      <c r="T486" s="22" t="n">
        <v>0</v>
      </c>
      <c r="U486" s="21" t="n">
        <v>0</v>
      </c>
      <c r="V486" s="21" t="n">
        <v>0</v>
      </c>
      <c r="W486" t="inlineStr">
        <is>
          <t>Magazyn Zabrze</t>
        </is>
      </c>
      <c r="Y486" t="inlineStr">
        <is>
          <t>Automatyczne zużycie surowca do produkcji</t>
        </is>
      </c>
      <c r="AA486" s="23" t="n">
        <v>46264.95585648148</v>
      </c>
      <c r="AB486" t="inlineStr">
        <is>
          <t>OP-MIGR-00485</t>
        </is>
      </c>
      <c r="AD486" t="inlineStr">
        <is>
          <t>AKTYWNY</t>
        </is>
      </c>
      <c r="AE486" s="20">
        <f>IF(I486="",0,IF(ISNUMBER(SEARCH("MP",UPPER(J486))),I486,IF(ISNUMBER(SEARCH("TON",UPPER(J486))),I486/Przelicznik_MP_tona,IF(ISNUMBER(SEARCH("M3",UPPER(J486))),I486*Przelicznik_M3_MP,IF(ISNUMBER(SEARCH("GJ",UPPER(J486))),I486/Przelicznik_GJ_tona/Przelicznik_MP_tona,I486)))))</f>
        <v/>
      </c>
      <c r="AF486" s="20">
        <f>IF(I486="",0,IF(ISNUMBER(SEARCH("TON",UPPER(J486))),I486,IF(ISNUMBER(SEARCH("GJ",UPPER(J486))),I486/Przelicznik_GJ_tona,AE486*Przelicznik_MP_tona)))</f>
        <v/>
      </c>
      <c r="AG486" s="20">
        <f>AF486*Przelicznik_GJ_tona</f>
        <v/>
      </c>
      <c r="AH486" s="20">
        <f>IF(UPPER(AD486)="SKORYGOWANY",0,IF(OR(UPPER(E486)="TRANSPORT",UPPER(E486)="MM"),0,IF(UPPER(G486)&lt;&gt;"TAK",0,IF(OR(UPPER(E486)="ZAKUP",UPPER(E486)="PRODUKCJA"),AE486,IF(OR(UPPER(E486)="SPRZEDAŻ",UPPER(E486)="ZUŻYCIE"),-AE486,0)))))</f>
        <v/>
      </c>
      <c r="AI486" s="20">
        <f>IF(UPPER(AD486)="SKORYGOWANY",0,IF(OR(UPPER(E486)="TRANSPORT",UPPER(E486)="MM"),0,IF(UPPER(G486)&lt;&gt;"TAK",0,IF(OR(UPPER(E486)="ZAKUP",UPPER(E486)="PRODUKCJA"),AF486,IF(OR(UPPER(E486)="SPRZEDAŻ",UPPER(E486)="ZUŻYCIE"),-AF486,0)))))</f>
        <v/>
      </c>
      <c r="AJ486" s="21">
        <f>IF(UPPER(AD486)="SKORYGOWANY",0,IF(UPPER(E486)="ZAKUP",IF(L486&lt;&gt;"",L486,I486*K486),0))</f>
        <v/>
      </c>
      <c r="AK486" s="21">
        <f>IF(UPPER(AD486)="SKORYGOWANY",0,IF(UPPER(E486)="SPRZEDAŻ",IF(L486&lt;&gt;"",L486,I486*M486),0))</f>
        <v/>
      </c>
      <c r="AL486" s="21">
        <f>AE486*Q486</f>
        <v/>
      </c>
      <c r="AM486">
        <f>IF(R486="","",IF(LOWER(R486)="brak","Brak",IF(OR(ISNUMBER(SEARCH("własn",LOWER(R486))),ISNUMBER(SEARCH("wlasn",LOWER(R486))),ISNUMBER(SEARCH("wojciechowski",LOWER(R486)))),"Własny","Zewnętrzny")))</f>
        <v/>
      </c>
      <c r="AN486" s="24">
        <f>IF(C486="","",YEAR(C486))</f>
        <v/>
      </c>
      <c r="AO486" s="24">
        <f>IF(C486="","",MONTH(C486))</f>
        <v/>
      </c>
      <c r="AP486">
        <f>IF(C486="","",UPPER(TEXT(C486,"mmmm")))</f>
        <v/>
      </c>
      <c r="AQ486">
        <f>IF(C486="","","Q"&amp;ROUNDUP(MONTH(C486)/3,0))</f>
        <v/>
      </c>
    </row>
    <row r="487">
      <c r="A487" s="19" t="n">
        <v>46258</v>
      </c>
      <c r="B487" t="inlineStr">
        <is>
          <t>Mętków</t>
        </is>
      </c>
      <c r="C487" s="19" t="n">
        <v>46258</v>
      </c>
      <c r="D487" t="inlineStr">
        <is>
          <t>Magazyn Zabrze</t>
        </is>
      </c>
      <c r="E487" t="inlineStr">
        <is>
          <t>ZAKUP</t>
        </is>
      </c>
      <c r="F487" t="inlineStr">
        <is>
          <t>PZ/100</t>
        </is>
      </c>
      <c r="G487" t="inlineStr">
        <is>
          <t>TAK</t>
        </is>
      </c>
      <c r="H487" t="inlineStr">
        <is>
          <t>Deklaracja</t>
        </is>
      </c>
      <c r="I487" s="20" t="n">
        <v>48</v>
      </c>
      <c r="J487" t="inlineStr">
        <is>
          <t>MP</t>
        </is>
      </c>
      <c r="K487" s="21" t="n">
        <v>0</v>
      </c>
      <c r="L487" s="21" t="n">
        <v>0</v>
      </c>
      <c r="M487" s="21" t="n">
        <v>0</v>
      </c>
      <c r="N487" t="inlineStr">
        <is>
          <t>Zrębka Produkcyjna Leśna</t>
        </is>
      </c>
      <c r="O487" t="inlineStr">
        <is>
          <t>B</t>
        </is>
      </c>
      <c r="Q487" s="21" t="n">
        <v>0</v>
      </c>
      <c r="R487" t="inlineStr">
        <is>
          <t>własny (Kretek)</t>
        </is>
      </c>
      <c r="S487" t="inlineStr">
        <is>
          <t>SK 7J885</t>
        </is>
      </c>
      <c r="T487" s="22" t="n">
        <v>134</v>
      </c>
      <c r="U487" s="21" t="n">
        <v>5</v>
      </c>
      <c r="V487" s="21" t="n">
        <v>670</v>
      </c>
      <c r="W487" t="inlineStr">
        <is>
          <t>Magazyn Zabrze</t>
        </is>
      </c>
      <c r="Z487" t="inlineStr">
        <is>
          <t>Roesner Mateusz</t>
        </is>
      </c>
      <c r="AA487" s="23" t="n">
        <v>46264.95700231481</v>
      </c>
      <c r="AB487" t="inlineStr">
        <is>
          <t>OP-MIGR-00486</t>
        </is>
      </c>
      <c r="AD487" t="inlineStr">
        <is>
          <t>AKTYWNY</t>
        </is>
      </c>
      <c r="AE487" s="20">
        <f>IF(I487="",0,IF(ISNUMBER(SEARCH("MP",UPPER(J487))),I487,IF(ISNUMBER(SEARCH("TON",UPPER(J487))),I487/Przelicznik_MP_tona,IF(ISNUMBER(SEARCH("M3",UPPER(J487))),I487*Przelicznik_M3_MP,IF(ISNUMBER(SEARCH("GJ",UPPER(J487))),I487/Przelicznik_GJ_tona/Przelicznik_MP_tona,I487)))))</f>
        <v/>
      </c>
      <c r="AF487" s="20">
        <f>IF(I487="",0,IF(ISNUMBER(SEARCH("TON",UPPER(J487))),I487,IF(ISNUMBER(SEARCH("GJ",UPPER(J487))),I487/Przelicznik_GJ_tona,AE487*Przelicznik_MP_tona)))</f>
        <v/>
      </c>
      <c r="AG487" s="20">
        <f>AF487*Przelicznik_GJ_tona</f>
        <v/>
      </c>
      <c r="AH487" s="20">
        <f>IF(UPPER(AD487)="SKORYGOWANY",0,IF(OR(UPPER(E487)="TRANSPORT",UPPER(E487)="MM"),0,IF(UPPER(G487)&lt;&gt;"TAK",0,IF(OR(UPPER(E487)="ZAKUP",UPPER(E487)="PRODUKCJA"),AE487,IF(OR(UPPER(E487)="SPRZEDAŻ",UPPER(E487)="ZUŻYCIE"),-AE487,0)))))</f>
        <v/>
      </c>
      <c r="AI487" s="20">
        <f>IF(UPPER(AD487)="SKORYGOWANY",0,IF(OR(UPPER(E487)="TRANSPORT",UPPER(E487)="MM"),0,IF(UPPER(G487)&lt;&gt;"TAK",0,IF(OR(UPPER(E487)="ZAKUP",UPPER(E487)="PRODUKCJA"),AF487,IF(OR(UPPER(E487)="SPRZEDAŻ",UPPER(E487)="ZUŻYCIE"),-AF487,0)))))</f>
        <v/>
      </c>
      <c r="AJ487" s="21">
        <f>IF(UPPER(AD487)="SKORYGOWANY",0,IF(UPPER(E487)="ZAKUP",IF(L487&lt;&gt;"",L487,I487*K487),0))</f>
        <v/>
      </c>
      <c r="AK487" s="21">
        <f>IF(UPPER(AD487)="SKORYGOWANY",0,IF(UPPER(E487)="SPRZEDAŻ",IF(L487&lt;&gt;"",L487,I487*M487),0))</f>
        <v/>
      </c>
      <c r="AL487" s="21">
        <f>AE487*Q487</f>
        <v/>
      </c>
      <c r="AM487">
        <f>IF(R487="","",IF(LOWER(R487)="brak","Brak",IF(OR(ISNUMBER(SEARCH("własn",LOWER(R487))),ISNUMBER(SEARCH("wlasn",LOWER(R487))),ISNUMBER(SEARCH("wojciechowski",LOWER(R487)))),"Własny","Zewnętrzny")))</f>
        <v/>
      </c>
      <c r="AN487" s="24">
        <f>IF(C487="","",YEAR(C487))</f>
        <v/>
      </c>
      <c r="AO487" s="24">
        <f>IF(C487="","",MONTH(C487))</f>
        <v/>
      </c>
      <c r="AP487">
        <f>IF(C487="","",UPPER(TEXT(C487,"mmmm")))</f>
        <v/>
      </c>
      <c r="AQ487">
        <f>IF(C487="","","Q"&amp;ROUNDUP(MONTH(C487)/3,0))</f>
        <v/>
      </c>
    </row>
    <row r="488">
      <c r="A488" s="19" t="n">
        <v>46258</v>
      </c>
      <c r="C488" s="19" t="n">
        <v>46258</v>
      </c>
      <c r="D488" t="inlineStr">
        <is>
          <t>NDL Chrzanów, Leśnictwo Mętków+Szczakowa</t>
        </is>
      </c>
      <c r="E488" t="inlineStr">
        <is>
          <t>ZAKUP</t>
        </is>
      </c>
      <c r="F488" t="inlineStr">
        <is>
          <t>PZ/101</t>
        </is>
      </c>
      <c r="G488" t="inlineStr">
        <is>
          <t>TAK</t>
        </is>
      </c>
      <c r="H488" t="inlineStr">
        <is>
          <t>Deklaracja</t>
        </is>
      </c>
      <c r="I488" s="20" t="n">
        <v>16.22</v>
      </c>
      <c r="J488" t="inlineStr">
        <is>
          <t>M3</t>
        </is>
      </c>
      <c r="K488" s="21" t="n">
        <v>0</v>
      </c>
      <c r="L488" s="21" t="n">
        <v>0</v>
      </c>
      <c r="M488" s="21" t="n">
        <v>0</v>
      </c>
      <c r="N488" t="inlineStr">
        <is>
          <t>Drewno opałowe z lasu</t>
        </is>
      </c>
      <c r="Q488" s="21" t="n">
        <v>0</v>
      </c>
      <c r="T488" s="22" t="n">
        <v>0</v>
      </c>
      <c r="U488" s="21" t="n">
        <v>0</v>
      </c>
      <c r="V488" s="21" t="n">
        <v>0</v>
      </c>
      <c r="W488" t="inlineStr">
        <is>
          <t>Magazyn Zabrze</t>
        </is>
      </c>
      <c r="Y488" t="inlineStr">
        <is>
          <t>12 m3 (Mętków) + 4,22 m3 (Szczakowa)</t>
        </is>
      </c>
      <c r="Z488" t="inlineStr">
        <is>
          <t>Roesner Mateusz</t>
        </is>
      </c>
      <c r="AA488" s="23" t="n">
        <v>46264.96111111111</v>
      </c>
      <c r="AB488" t="inlineStr">
        <is>
          <t>OP-MIGR-00487</t>
        </is>
      </c>
      <c r="AD488" t="inlineStr">
        <is>
          <t>AKTYWNY</t>
        </is>
      </c>
      <c r="AE488" s="20">
        <f>IF(I488="",0,IF(ISNUMBER(SEARCH("MP",UPPER(J488))),I488,IF(ISNUMBER(SEARCH("TON",UPPER(J488))),I488/Przelicznik_MP_tona,IF(ISNUMBER(SEARCH("M3",UPPER(J488))),I488*Przelicznik_M3_MP,IF(ISNUMBER(SEARCH("GJ",UPPER(J488))),I488/Przelicznik_GJ_tona/Przelicznik_MP_tona,I488)))))</f>
        <v/>
      </c>
      <c r="AF488" s="20">
        <f>IF(I488="",0,IF(ISNUMBER(SEARCH("TON",UPPER(J488))),I488,IF(ISNUMBER(SEARCH("GJ",UPPER(J488))),I488/Przelicznik_GJ_tona,AE488*Przelicznik_MP_tona)))</f>
        <v/>
      </c>
      <c r="AG488" s="20">
        <f>AF488*Przelicznik_GJ_tona</f>
        <v/>
      </c>
      <c r="AH488" s="20">
        <f>IF(UPPER(AD488)="SKORYGOWANY",0,IF(OR(UPPER(E488)="TRANSPORT",UPPER(E488)="MM"),0,IF(UPPER(G488)&lt;&gt;"TAK",0,IF(OR(UPPER(E488)="ZAKUP",UPPER(E488)="PRODUKCJA"),AE488,IF(OR(UPPER(E488)="SPRZEDAŻ",UPPER(E488)="ZUŻYCIE"),-AE488,0)))))</f>
        <v/>
      </c>
      <c r="AI488" s="20">
        <f>IF(UPPER(AD488)="SKORYGOWANY",0,IF(OR(UPPER(E488)="TRANSPORT",UPPER(E488)="MM"),0,IF(UPPER(G488)&lt;&gt;"TAK",0,IF(OR(UPPER(E488)="ZAKUP",UPPER(E488)="PRODUKCJA"),AF488,IF(OR(UPPER(E488)="SPRZEDAŻ",UPPER(E488)="ZUŻYCIE"),-AF488,0)))))</f>
        <v/>
      </c>
      <c r="AJ488" s="21">
        <f>IF(UPPER(AD488)="SKORYGOWANY",0,IF(UPPER(E488)="ZAKUP",IF(L488&lt;&gt;"",L488,I488*K488),0))</f>
        <v/>
      </c>
      <c r="AK488" s="21">
        <f>IF(UPPER(AD488)="SKORYGOWANY",0,IF(UPPER(E488)="SPRZEDAŻ",IF(L488&lt;&gt;"",L488,I488*M488),0))</f>
        <v/>
      </c>
      <c r="AL488" s="21">
        <f>AE488*Q488</f>
        <v/>
      </c>
      <c r="AM488">
        <f>IF(R488="","",IF(LOWER(R488)="brak","Brak",IF(OR(ISNUMBER(SEARCH("własn",LOWER(R488))),ISNUMBER(SEARCH("wlasn",LOWER(R488))),ISNUMBER(SEARCH("wojciechowski",LOWER(R488)))),"Własny","Zewnętrzny")))</f>
        <v/>
      </c>
      <c r="AN488" s="24">
        <f>IF(C488="","",YEAR(C488))</f>
        <v/>
      </c>
      <c r="AO488" s="24">
        <f>IF(C488="","",MONTH(C488))</f>
        <v/>
      </c>
      <c r="AP488">
        <f>IF(C488="","",UPPER(TEXT(C488,"mmmm")))</f>
        <v/>
      </c>
      <c r="AQ488">
        <f>IF(C488="","","Q"&amp;ROUNDUP(MONTH(C488)/3,0))</f>
        <v/>
      </c>
    </row>
    <row r="489">
      <c r="A489" s="19" t="n">
        <v>46258</v>
      </c>
      <c r="C489" s="19" t="n">
        <v>46258</v>
      </c>
      <c r="D489" t="inlineStr">
        <is>
          <t>NDL Chrzanów, Leśnictwo Mętków+Szczakowa</t>
        </is>
      </c>
      <c r="E489" t="inlineStr">
        <is>
          <t>PRODUKCJA</t>
        </is>
      </c>
      <c r="F489" t="inlineStr">
        <is>
          <t>PZ/101</t>
        </is>
      </c>
      <c r="G489" t="inlineStr">
        <is>
          <t>TAK</t>
        </is>
      </c>
      <c r="H489" t="inlineStr">
        <is>
          <t>Deklaracja</t>
        </is>
      </c>
      <c r="I489" s="20" t="n">
        <v>64.88</v>
      </c>
      <c r="J489" t="inlineStr">
        <is>
          <t>MP</t>
        </is>
      </c>
      <c r="K489" s="21" t="n">
        <v>0</v>
      </c>
      <c r="L489" s="21" t="n">
        <v>0</v>
      </c>
      <c r="M489" s="21" t="n">
        <v>0</v>
      </c>
      <c r="N489" t="inlineStr">
        <is>
          <t>Zrębka Produkcyjna Leśna</t>
        </is>
      </c>
      <c r="O489" t="inlineStr">
        <is>
          <t>B</t>
        </is>
      </c>
      <c r="P489" t="inlineStr">
        <is>
          <t>własne</t>
        </is>
      </c>
      <c r="Q489" s="21" t="n">
        <v>10</v>
      </c>
      <c r="T489" s="22" t="n">
        <v>0</v>
      </c>
      <c r="U489" s="21" t="n">
        <v>0</v>
      </c>
      <c r="V489" s="21" t="n">
        <v>0</v>
      </c>
      <c r="W489" t="inlineStr">
        <is>
          <t>Magazyn Zabrze</t>
        </is>
      </c>
      <c r="Y489" t="inlineStr">
        <is>
          <t>12 m3 (Mętków 3/202624967/1073) + 4,22 m3 (Szczakowa 11/202624975/11181)</t>
        </is>
      </c>
      <c r="Z489" t="inlineStr">
        <is>
          <t>Roesner Mateusz</t>
        </is>
      </c>
      <c r="AA489" s="23" t="n">
        <v>46264.96392361111</v>
      </c>
      <c r="AB489" t="inlineStr">
        <is>
          <t>OP-MIGR-00488</t>
        </is>
      </c>
      <c r="AD489" t="inlineStr">
        <is>
          <t>AKTYWNY</t>
        </is>
      </c>
      <c r="AE489" s="20">
        <f>IF(I489="",0,IF(ISNUMBER(SEARCH("MP",UPPER(J489))),I489,IF(ISNUMBER(SEARCH("TON",UPPER(J489))),I489/Przelicznik_MP_tona,IF(ISNUMBER(SEARCH("M3",UPPER(J489))),I489*Przelicznik_M3_MP,IF(ISNUMBER(SEARCH("GJ",UPPER(J489))),I489/Przelicznik_GJ_tona/Przelicznik_MP_tona,I489)))))</f>
        <v/>
      </c>
      <c r="AF489" s="20">
        <f>IF(I489="",0,IF(ISNUMBER(SEARCH("TON",UPPER(J489))),I489,IF(ISNUMBER(SEARCH("GJ",UPPER(J489))),I489/Przelicznik_GJ_tona,AE489*Przelicznik_MP_tona)))</f>
        <v/>
      </c>
      <c r="AG489" s="20">
        <f>AF489*Przelicznik_GJ_tona</f>
        <v/>
      </c>
      <c r="AH489" s="20">
        <f>IF(UPPER(AD489)="SKORYGOWANY",0,IF(OR(UPPER(E489)="TRANSPORT",UPPER(E489)="MM"),0,IF(UPPER(G489)&lt;&gt;"TAK",0,IF(OR(UPPER(E489)="ZAKUP",UPPER(E489)="PRODUKCJA"),AE489,IF(OR(UPPER(E489)="SPRZEDAŻ",UPPER(E489)="ZUŻYCIE"),-AE489,0)))))</f>
        <v/>
      </c>
      <c r="AI489" s="20">
        <f>IF(UPPER(AD489)="SKORYGOWANY",0,IF(OR(UPPER(E489)="TRANSPORT",UPPER(E489)="MM"),0,IF(UPPER(G489)&lt;&gt;"TAK",0,IF(OR(UPPER(E489)="ZAKUP",UPPER(E489)="PRODUKCJA"),AF489,IF(OR(UPPER(E489)="SPRZEDAŻ",UPPER(E489)="ZUŻYCIE"),-AF489,0)))))</f>
        <v/>
      </c>
      <c r="AJ489" s="21">
        <f>IF(UPPER(AD489)="SKORYGOWANY",0,IF(UPPER(E489)="ZAKUP",IF(L489&lt;&gt;"",L489,I489*K489),0))</f>
        <v/>
      </c>
      <c r="AK489" s="21">
        <f>IF(UPPER(AD489)="SKORYGOWANY",0,IF(UPPER(E489)="SPRZEDAŻ",IF(L489&lt;&gt;"",L489,I489*M489),0))</f>
        <v/>
      </c>
      <c r="AL489" s="21">
        <f>AE489*Q489</f>
        <v/>
      </c>
      <c r="AM489">
        <f>IF(R489="","",IF(LOWER(R489)="brak","Brak",IF(OR(ISNUMBER(SEARCH("własn",LOWER(R489))),ISNUMBER(SEARCH("wlasn",LOWER(R489))),ISNUMBER(SEARCH("wojciechowski",LOWER(R489)))),"Własny","Zewnętrzny")))</f>
        <v/>
      </c>
      <c r="AN489" s="24">
        <f>IF(C489="","",YEAR(C489))</f>
        <v/>
      </c>
      <c r="AO489" s="24">
        <f>IF(C489="","",MONTH(C489))</f>
        <v/>
      </c>
      <c r="AP489">
        <f>IF(C489="","",UPPER(TEXT(C489,"mmmm")))</f>
        <v/>
      </c>
      <c r="AQ489">
        <f>IF(C489="","","Q"&amp;ROUNDUP(MONTH(C489)/3,0))</f>
        <v/>
      </c>
    </row>
    <row r="490">
      <c r="A490" s="19" t="n">
        <v>46258</v>
      </c>
      <c r="C490" s="19" t="n">
        <v>46258</v>
      </c>
      <c r="D490" t="inlineStr">
        <is>
          <t>NDL Chrzanów, Leśnictwo Mętków+Szczakowa</t>
        </is>
      </c>
      <c r="E490" t="inlineStr">
        <is>
          <t>ZUŻYCIE</t>
        </is>
      </c>
      <c r="F490" t="inlineStr">
        <is>
          <t>PZ/101</t>
        </is>
      </c>
      <c r="G490" t="inlineStr">
        <is>
          <t>TAK</t>
        </is>
      </c>
      <c r="H490" t="inlineStr">
        <is>
          <t>Deklaracja</t>
        </is>
      </c>
      <c r="I490" s="20" t="n">
        <v>64.88</v>
      </c>
      <c r="J490" t="inlineStr">
        <is>
          <t>MP</t>
        </is>
      </c>
      <c r="K490" s="21" t="n">
        <v>0</v>
      </c>
      <c r="L490" s="21" t="n">
        <v>0</v>
      </c>
      <c r="M490" s="21" t="n">
        <v>0</v>
      </c>
      <c r="N490" t="inlineStr">
        <is>
          <t>Zrębka Produkcyjna Leśna</t>
        </is>
      </c>
      <c r="O490" t="inlineStr">
        <is>
          <t>B</t>
        </is>
      </c>
      <c r="P490" t="inlineStr">
        <is>
          <t>własne</t>
        </is>
      </c>
      <c r="Q490" s="21" t="n">
        <v>10</v>
      </c>
      <c r="T490" s="22" t="n">
        <v>0</v>
      </c>
      <c r="U490" s="21" t="n">
        <v>0</v>
      </c>
      <c r="V490" s="21" t="n">
        <v>0</v>
      </c>
      <c r="W490" t="inlineStr">
        <is>
          <t>Magazyn Zabrze</t>
        </is>
      </c>
      <c r="Y490" t="inlineStr">
        <is>
          <t>Automatyczne zużycie surowca do produkcji</t>
        </is>
      </c>
      <c r="AA490" s="23" t="n">
        <v>46264.96393518519</v>
      </c>
      <c r="AB490" t="inlineStr">
        <is>
          <t>OP-MIGR-00489</t>
        </is>
      </c>
      <c r="AD490" t="inlineStr">
        <is>
          <t>AKTYWNY</t>
        </is>
      </c>
      <c r="AE490" s="20">
        <f>IF(I490="",0,IF(ISNUMBER(SEARCH("MP",UPPER(J490))),I490,IF(ISNUMBER(SEARCH("TON",UPPER(J490))),I490/Przelicznik_MP_tona,IF(ISNUMBER(SEARCH("M3",UPPER(J490))),I490*Przelicznik_M3_MP,IF(ISNUMBER(SEARCH("GJ",UPPER(J490))),I490/Przelicznik_GJ_tona/Przelicznik_MP_tona,I490)))))</f>
        <v/>
      </c>
      <c r="AF490" s="20">
        <f>IF(I490="",0,IF(ISNUMBER(SEARCH("TON",UPPER(J490))),I490,IF(ISNUMBER(SEARCH("GJ",UPPER(J490))),I490/Przelicznik_GJ_tona,AE490*Przelicznik_MP_tona)))</f>
        <v/>
      </c>
      <c r="AG490" s="20">
        <f>AF490*Przelicznik_GJ_tona</f>
        <v/>
      </c>
      <c r="AH490" s="20">
        <f>IF(UPPER(AD490)="SKORYGOWANY",0,IF(OR(UPPER(E490)="TRANSPORT",UPPER(E490)="MM"),0,IF(UPPER(G490)&lt;&gt;"TAK",0,IF(OR(UPPER(E490)="ZAKUP",UPPER(E490)="PRODUKCJA"),AE490,IF(OR(UPPER(E490)="SPRZEDAŻ",UPPER(E490)="ZUŻYCIE"),-AE490,0)))))</f>
        <v/>
      </c>
      <c r="AI490" s="20">
        <f>IF(UPPER(AD490)="SKORYGOWANY",0,IF(OR(UPPER(E490)="TRANSPORT",UPPER(E490)="MM"),0,IF(UPPER(G490)&lt;&gt;"TAK",0,IF(OR(UPPER(E490)="ZAKUP",UPPER(E490)="PRODUKCJA"),AF490,IF(OR(UPPER(E490)="SPRZEDAŻ",UPPER(E490)="ZUŻYCIE"),-AF490,0)))))</f>
        <v/>
      </c>
      <c r="AJ490" s="21">
        <f>IF(UPPER(AD490)="SKORYGOWANY",0,IF(UPPER(E490)="ZAKUP",IF(L490&lt;&gt;"",L490,I490*K490),0))</f>
        <v/>
      </c>
      <c r="AK490" s="21">
        <f>IF(UPPER(AD490)="SKORYGOWANY",0,IF(UPPER(E490)="SPRZEDAŻ",IF(L490&lt;&gt;"",L490,I490*M490),0))</f>
        <v/>
      </c>
      <c r="AL490" s="21">
        <f>AE490*Q490</f>
        <v/>
      </c>
      <c r="AM490">
        <f>IF(R490="","",IF(LOWER(R490)="brak","Brak",IF(OR(ISNUMBER(SEARCH("własn",LOWER(R490))),ISNUMBER(SEARCH("wlasn",LOWER(R490))),ISNUMBER(SEARCH("wojciechowski",LOWER(R490)))),"Własny","Zewnętrzny")))</f>
        <v/>
      </c>
      <c r="AN490" s="24">
        <f>IF(C490="","",YEAR(C490))</f>
        <v/>
      </c>
      <c r="AO490" s="24">
        <f>IF(C490="","",MONTH(C490))</f>
        <v/>
      </c>
      <c r="AP490">
        <f>IF(C490="","",UPPER(TEXT(C490,"mmmm")))</f>
        <v/>
      </c>
      <c r="AQ490">
        <f>IF(C490="","","Q"&amp;ROUNDUP(MONTH(C490)/3,0))</f>
        <v/>
      </c>
    </row>
    <row r="491">
      <c r="A491" s="19" t="n">
        <v>46258</v>
      </c>
      <c r="B491" t="inlineStr">
        <is>
          <t>Mętków/Szczakowa</t>
        </is>
      </c>
      <c r="C491" s="19" t="n">
        <v>46258</v>
      </c>
      <c r="D491" t="inlineStr">
        <is>
          <t>Magazyn Zabrze</t>
        </is>
      </c>
      <c r="E491" t="inlineStr">
        <is>
          <t>ZAKUP</t>
        </is>
      </c>
      <c r="F491" t="inlineStr">
        <is>
          <t>PZ/101</t>
        </is>
      </c>
      <c r="G491" t="inlineStr">
        <is>
          <t>TAK</t>
        </is>
      </c>
      <c r="H491" t="inlineStr">
        <is>
          <t>Deklaracja</t>
        </is>
      </c>
      <c r="I491" s="20" t="n">
        <v>64.88</v>
      </c>
      <c r="J491" t="inlineStr">
        <is>
          <t>MP</t>
        </is>
      </c>
      <c r="K491" s="21" t="n">
        <v>0</v>
      </c>
      <c r="L491" s="21" t="n">
        <v>0</v>
      </c>
      <c r="M491" s="21" t="n">
        <v>0</v>
      </c>
      <c r="N491" t="inlineStr">
        <is>
          <t>Zrębka Produkcyjna Leśna</t>
        </is>
      </c>
      <c r="O491" t="inlineStr">
        <is>
          <t>B</t>
        </is>
      </c>
      <c r="Q491" s="21" t="n">
        <v>0</v>
      </c>
      <c r="R491" t="inlineStr">
        <is>
          <t>własny (Wilczak)</t>
        </is>
      </c>
      <c r="S491" t="inlineStr">
        <is>
          <t>SK 7J884</t>
        </is>
      </c>
      <c r="T491" s="22" t="n">
        <v>150</v>
      </c>
      <c r="U491" s="21" t="n">
        <v>5</v>
      </c>
      <c r="V491" s="21" t="n">
        <v>750</v>
      </c>
      <c r="W491" t="inlineStr">
        <is>
          <t>Magazyn Zabrze</t>
        </is>
      </c>
      <c r="Z491" t="inlineStr">
        <is>
          <t>Roesner Mateusz</t>
        </is>
      </c>
      <c r="AA491" s="23" t="n">
        <v>46264.96585648148</v>
      </c>
      <c r="AB491" t="inlineStr">
        <is>
          <t>OP-MIGR-00490</t>
        </is>
      </c>
      <c r="AD491" t="inlineStr">
        <is>
          <t>AKTYWNY</t>
        </is>
      </c>
      <c r="AE491" s="20">
        <f>IF(I491="",0,IF(ISNUMBER(SEARCH("MP",UPPER(J491))),I491,IF(ISNUMBER(SEARCH("TON",UPPER(J491))),I491/Przelicznik_MP_tona,IF(ISNUMBER(SEARCH("M3",UPPER(J491))),I491*Przelicznik_M3_MP,IF(ISNUMBER(SEARCH("GJ",UPPER(J491))),I491/Przelicznik_GJ_tona/Przelicznik_MP_tona,I491)))))</f>
        <v/>
      </c>
      <c r="AF491" s="20">
        <f>IF(I491="",0,IF(ISNUMBER(SEARCH("TON",UPPER(J491))),I491,IF(ISNUMBER(SEARCH("GJ",UPPER(J491))),I491/Przelicznik_GJ_tona,AE491*Przelicznik_MP_tona)))</f>
        <v/>
      </c>
      <c r="AG491" s="20">
        <f>AF491*Przelicznik_GJ_tona</f>
        <v/>
      </c>
      <c r="AH491" s="20">
        <f>IF(UPPER(AD491)="SKORYGOWANY",0,IF(OR(UPPER(E491)="TRANSPORT",UPPER(E491)="MM"),0,IF(UPPER(G491)&lt;&gt;"TAK",0,IF(OR(UPPER(E491)="ZAKUP",UPPER(E491)="PRODUKCJA"),AE491,IF(OR(UPPER(E491)="SPRZEDAŻ",UPPER(E491)="ZUŻYCIE"),-AE491,0)))))</f>
        <v/>
      </c>
      <c r="AI491" s="20">
        <f>IF(UPPER(AD491)="SKORYGOWANY",0,IF(OR(UPPER(E491)="TRANSPORT",UPPER(E491)="MM"),0,IF(UPPER(G491)&lt;&gt;"TAK",0,IF(OR(UPPER(E491)="ZAKUP",UPPER(E491)="PRODUKCJA"),AF491,IF(OR(UPPER(E491)="SPRZEDAŻ",UPPER(E491)="ZUŻYCIE"),-AF491,0)))))</f>
        <v/>
      </c>
      <c r="AJ491" s="21">
        <f>IF(UPPER(AD491)="SKORYGOWANY",0,IF(UPPER(E491)="ZAKUP",IF(L491&lt;&gt;"",L491,I491*K491),0))</f>
        <v/>
      </c>
      <c r="AK491" s="21">
        <f>IF(UPPER(AD491)="SKORYGOWANY",0,IF(UPPER(E491)="SPRZEDAŻ",IF(L491&lt;&gt;"",L491,I491*M491),0))</f>
        <v/>
      </c>
      <c r="AL491" s="21">
        <f>AE491*Q491</f>
        <v/>
      </c>
      <c r="AM491">
        <f>IF(R491="","",IF(LOWER(R491)="brak","Brak",IF(OR(ISNUMBER(SEARCH("własn",LOWER(R491))),ISNUMBER(SEARCH("wlasn",LOWER(R491))),ISNUMBER(SEARCH("wojciechowski",LOWER(R491)))),"Własny","Zewnętrzny")))</f>
        <v/>
      </c>
      <c r="AN491" s="24">
        <f>IF(C491="","",YEAR(C491))</f>
        <v/>
      </c>
      <c r="AO491" s="24">
        <f>IF(C491="","",MONTH(C491))</f>
        <v/>
      </c>
      <c r="AP491">
        <f>IF(C491="","",UPPER(TEXT(C491,"mmmm")))</f>
        <v/>
      </c>
      <c r="AQ491">
        <f>IF(C491="","","Q"&amp;ROUNDUP(MONTH(C491)/3,0))</f>
        <v/>
      </c>
    </row>
    <row r="492">
      <c r="A492" s="19" t="n">
        <v>46259</v>
      </c>
      <c r="C492" s="19" t="n">
        <v>46259</v>
      </c>
      <c r="D492" t="inlineStr">
        <is>
          <t>NDL Chrzanów, Leśnictwo Chełmek</t>
        </is>
      </c>
      <c r="E492" t="inlineStr">
        <is>
          <t>ZAKUP</t>
        </is>
      </c>
      <c r="F492" t="inlineStr">
        <is>
          <t>PZ/102  2/202624966/6131</t>
        </is>
      </c>
      <c r="G492" t="inlineStr">
        <is>
          <t>TAK</t>
        </is>
      </c>
      <c r="H492" t="inlineStr">
        <is>
          <t>Deklaracja</t>
        </is>
      </c>
      <c r="I492" s="20" t="n">
        <v>21.1</v>
      </c>
      <c r="J492" t="inlineStr">
        <is>
          <t>M3</t>
        </is>
      </c>
      <c r="K492" s="21" t="n">
        <v>0</v>
      </c>
      <c r="L492" s="21" t="n">
        <v>0</v>
      </c>
      <c r="M492" s="21" t="n">
        <v>0</v>
      </c>
      <c r="N492" t="inlineStr">
        <is>
          <t>Drewno opałowe z lasu</t>
        </is>
      </c>
      <c r="Q492" s="21" t="n">
        <v>0</v>
      </c>
      <c r="T492" s="22" t="n">
        <v>0</v>
      </c>
      <c r="U492" s="21" t="n">
        <v>0</v>
      </c>
      <c r="V492" s="21" t="n">
        <v>0</v>
      </c>
      <c r="W492" t="inlineStr">
        <is>
          <t>Magazyn Zabrze</t>
        </is>
      </c>
      <c r="Z492" t="inlineStr">
        <is>
          <t>Roesner Mateusz</t>
        </is>
      </c>
      <c r="AA492" s="23" t="n">
        <v>46264.96747685185</v>
      </c>
      <c r="AB492" t="inlineStr">
        <is>
          <t>OP-MIGR-00491</t>
        </is>
      </c>
      <c r="AD492" t="inlineStr">
        <is>
          <t>AKTYWNY</t>
        </is>
      </c>
      <c r="AE492" s="20">
        <f>IF(I492="",0,IF(ISNUMBER(SEARCH("MP",UPPER(J492))),I492,IF(ISNUMBER(SEARCH("TON",UPPER(J492))),I492/Przelicznik_MP_tona,IF(ISNUMBER(SEARCH("M3",UPPER(J492))),I492*Przelicznik_M3_MP,IF(ISNUMBER(SEARCH("GJ",UPPER(J492))),I492/Przelicznik_GJ_tona/Przelicznik_MP_tona,I492)))))</f>
        <v/>
      </c>
      <c r="AF492" s="20">
        <f>IF(I492="",0,IF(ISNUMBER(SEARCH("TON",UPPER(J492))),I492,IF(ISNUMBER(SEARCH("GJ",UPPER(J492))),I492/Przelicznik_GJ_tona,AE492*Przelicznik_MP_tona)))</f>
        <v/>
      </c>
      <c r="AG492" s="20">
        <f>AF492*Przelicznik_GJ_tona</f>
        <v/>
      </c>
      <c r="AH492" s="20">
        <f>IF(UPPER(AD492)="SKORYGOWANY",0,IF(OR(UPPER(E492)="TRANSPORT",UPPER(E492)="MM"),0,IF(UPPER(G492)&lt;&gt;"TAK",0,IF(OR(UPPER(E492)="ZAKUP",UPPER(E492)="PRODUKCJA"),AE492,IF(OR(UPPER(E492)="SPRZEDAŻ",UPPER(E492)="ZUŻYCIE"),-AE492,0)))))</f>
        <v/>
      </c>
      <c r="AI492" s="20">
        <f>IF(UPPER(AD492)="SKORYGOWANY",0,IF(OR(UPPER(E492)="TRANSPORT",UPPER(E492)="MM"),0,IF(UPPER(G492)&lt;&gt;"TAK",0,IF(OR(UPPER(E492)="ZAKUP",UPPER(E492)="PRODUKCJA"),AF492,IF(OR(UPPER(E492)="SPRZEDAŻ",UPPER(E492)="ZUŻYCIE"),-AF492,0)))))</f>
        <v/>
      </c>
      <c r="AJ492" s="21">
        <f>IF(UPPER(AD492)="SKORYGOWANY",0,IF(UPPER(E492)="ZAKUP",IF(L492&lt;&gt;"",L492,I492*K492),0))</f>
        <v/>
      </c>
      <c r="AK492" s="21">
        <f>IF(UPPER(AD492)="SKORYGOWANY",0,IF(UPPER(E492)="SPRZEDAŻ",IF(L492&lt;&gt;"",L492,I492*M492),0))</f>
        <v/>
      </c>
      <c r="AL492" s="21">
        <f>AE492*Q492</f>
        <v/>
      </c>
      <c r="AM492">
        <f>IF(R492="","",IF(LOWER(R492)="brak","Brak",IF(OR(ISNUMBER(SEARCH("własn",LOWER(R492))),ISNUMBER(SEARCH("wlasn",LOWER(R492))),ISNUMBER(SEARCH("wojciechowski",LOWER(R492)))),"Własny","Zewnętrzny")))</f>
        <v/>
      </c>
      <c r="AN492" s="24">
        <f>IF(C492="","",YEAR(C492))</f>
        <v/>
      </c>
      <c r="AO492" s="24">
        <f>IF(C492="","",MONTH(C492))</f>
        <v/>
      </c>
      <c r="AP492">
        <f>IF(C492="","",UPPER(TEXT(C492,"mmmm")))</f>
        <v/>
      </c>
      <c r="AQ492">
        <f>IF(C492="","","Q"&amp;ROUNDUP(MONTH(C492)/3,0))</f>
        <v/>
      </c>
    </row>
    <row r="493">
      <c r="A493" s="19" t="n">
        <v>46259</v>
      </c>
      <c r="C493" s="19" t="n">
        <v>46259</v>
      </c>
      <c r="D493" t="inlineStr">
        <is>
          <t>Magazyn Zabrze</t>
        </is>
      </c>
      <c r="E493" t="inlineStr">
        <is>
          <t>PRODUKCJA</t>
        </is>
      </c>
      <c r="F493" t="inlineStr">
        <is>
          <t>PZ/102</t>
        </is>
      </c>
      <c r="G493" t="inlineStr">
        <is>
          <t>TAK</t>
        </is>
      </c>
      <c r="H493" t="inlineStr">
        <is>
          <t>Deklaracja</t>
        </is>
      </c>
      <c r="I493" s="20" t="n">
        <v>84.40000000000001</v>
      </c>
      <c r="J493" t="inlineStr">
        <is>
          <t>MP</t>
        </is>
      </c>
      <c r="K493" s="21" t="n">
        <v>0</v>
      </c>
      <c r="L493" s="21" t="n">
        <v>0</v>
      </c>
      <c r="M493" s="21" t="n">
        <v>0</v>
      </c>
      <c r="N493" t="inlineStr">
        <is>
          <t>Zrębka Produkcyjna Leśna</t>
        </is>
      </c>
      <c r="O493" t="inlineStr">
        <is>
          <t>B</t>
        </is>
      </c>
      <c r="P493" t="inlineStr">
        <is>
          <t>własne</t>
        </is>
      </c>
      <c r="Q493" s="21" t="n">
        <v>10</v>
      </c>
      <c r="T493" s="22" t="n">
        <v>0</v>
      </c>
      <c r="U493" s="21" t="n">
        <v>0</v>
      </c>
      <c r="V493" s="21" t="n">
        <v>0</v>
      </c>
      <c r="W493" t="inlineStr">
        <is>
          <t>Magazyn Zabrze</t>
        </is>
      </c>
      <c r="Z493" t="inlineStr">
        <is>
          <t>Roesner Mateusz</t>
        </is>
      </c>
      <c r="AA493" s="23" t="n">
        <v>46264.96827546296</v>
      </c>
      <c r="AB493" t="inlineStr">
        <is>
          <t>OP-MIGR-00492</t>
        </is>
      </c>
      <c r="AD493" t="inlineStr">
        <is>
          <t>AKTYWNY</t>
        </is>
      </c>
      <c r="AE493" s="20">
        <f>IF(I493="",0,IF(ISNUMBER(SEARCH("MP",UPPER(J493))),I493,IF(ISNUMBER(SEARCH("TON",UPPER(J493))),I493/Przelicznik_MP_tona,IF(ISNUMBER(SEARCH("M3",UPPER(J493))),I493*Przelicznik_M3_MP,IF(ISNUMBER(SEARCH("GJ",UPPER(J493))),I493/Przelicznik_GJ_tona/Przelicznik_MP_tona,I493)))))</f>
        <v/>
      </c>
      <c r="AF493" s="20">
        <f>IF(I493="",0,IF(ISNUMBER(SEARCH("TON",UPPER(J493))),I493,IF(ISNUMBER(SEARCH("GJ",UPPER(J493))),I493/Przelicznik_GJ_tona,AE493*Przelicznik_MP_tona)))</f>
        <v/>
      </c>
      <c r="AG493" s="20">
        <f>AF493*Przelicznik_GJ_tona</f>
        <v/>
      </c>
      <c r="AH493" s="20">
        <f>IF(UPPER(AD493)="SKORYGOWANY",0,IF(OR(UPPER(E493)="TRANSPORT",UPPER(E493)="MM"),0,IF(UPPER(G493)&lt;&gt;"TAK",0,IF(OR(UPPER(E493)="ZAKUP",UPPER(E493)="PRODUKCJA"),AE493,IF(OR(UPPER(E493)="SPRZEDAŻ",UPPER(E493)="ZUŻYCIE"),-AE493,0)))))</f>
        <v/>
      </c>
      <c r="AI493" s="20">
        <f>IF(UPPER(AD493)="SKORYGOWANY",0,IF(OR(UPPER(E493)="TRANSPORT",UPPER(E493)="MM"),0,IF(UPPER(G493)&lt;&gt;"TAK",0,IF(OR(UPPER(E493)="ZAKUP",UPPER(E493)="PRODUKCJA"),AF493,IF(OR(UPPER(E493)="SPRZEDAŻ",UPPER(E493)="ZUŻYCIE"),-AF493,0)))))</f>
        <v/>
      </c>
      <c r="AJ493" s="21">
        <f>IF(UPPER(AD493)="SKORYGOWANY",0,IF(UPPER(E493)="ZAKUP",IF(L493&lt;&gt;"",L493,I493*K493),0))</f>
        <v/>
      </c>
      <c r="AK493" s="21">
        <f>IF(UPPER(AD493)="SKORYGOWANY",0,IF(UPPER(E493)="SPRZEDAŻ",IF(L493&lt;&gt;"",L493,I493*M493),0))</f>
        <v/>
      </c>
      <c r="AL493" s="21">
        <f>AE493*Q493</f>
        <v/>
      </c>
      <c r="AM493">
        <f>IF(R493="","",IF(LOWER(R493)="brak","Brak",IF(OR(ISNUMBER(SEARCH("własn",LOWER(R493))),ISNUMBER(SEARCH("wlasn",LOWER(R493))),ISNUMBER(SEARCH("wojciechowski",LOWER(R493)))),"Własny","Zewnętrzny")))</f>
        <v/>
      </c>
      <c r="AN493" s="24">
        <f>IF(C493="","",YEAR(C493))</f>
        <v/>
      </c>
      <c r="AO493" s="24">
        <f>IF(C493="","",MONTH(C493))</f>
        <v/>
      </c>
      <c r="AP493">
        <f>IF(C493="","",UPPER(TEXT(C493,"mmmm")))</f>
        <v/>
      </c>
      <c r="AQ493">
        <f>IF(C493="","","Q"&amp;ROUNDUP(MONTH(C493)/3,0))</f>
        <v/>
      </c>
    </row>
    <row r="494">
      <c r="A494" s="19" t="n">
        <v>46259</v>
      </c>
      <c r="C494" s="19" t="n">
        <v>46259</v>
      </c>
      <c r="D494" t="inlineStr">
        <is>
          <t>Magazyn Zabrze</t>
        </is>
      </c>
      <c r="E494" t="inlineStr">
        <is>
          <t>ZUŻYCIE</t>
        </is>
      </c>
      <c r="F494" t="inlineStr">
        <is>
          <t>PZ/102</t>
        </is>
      </c>
      <c r="G494" t="inlineStr">
        <is>
          <t>TAK</t>
        </is>
      </c>
      <c r="H494" t="inlineStr">
        <is>
          <t>Deklaracja</t>
        </is>
      </c>
      <c r="I494" s="20" t="n">
        <v>84.40000000000001</v>
      </c>
      <c r="J494" t="inlineStr">
        <is>
          <t>MP</t>
        </is>
      </c>
      <c r="K494" s="21" t="n">
        <v>0</v>
      </c>
      <c r="L494" s="21" t="n">
        <v>0</v>
      </c>
      <c r="M494" s="21" t="n">
        <v>0</v>
      </c>
      <c r="N494" t="inlineStr">
        <is>
          <t>Zrębka Produkcyjna Leśna</t>
        </is>
      </c>
      <c r="O494" t="inlineStr">
        <is>
          <t>B</t>
        </is>
      </c>
      <c r="P494" t="inlineStr">
        <is>
          <t>własne</t>
        </is>
      </c>
      <c r="Q494" s="21" t="n">
        <v>10</v>
      </c>
      <c r="T494" s="22" t="n">
        <v>0</v>
      </c>
      <c r="U494" s="21" t="n">
        <v>0</v>
      </c>
      <c r="V494" s="21" t="n">
        <v>0</v>
      </c>
      <c r="W494" t="inlineStr">
        <is>
          <t>Magazyn Zabrze</t>
        </is>
      </c>
      <c r="Y494" t="inlineStr">
        <is>
          <t>Automatyczne zużycie surowca do produkcji</t>
        </is>
      </c>
      <c r="AA494" s="23" t="n">
        <v>46264.96827546296</v>
      </c>
      <c r="AB494" t="inlineStr">
        <is>
          <t>OP-MIGR-00493</t>
        </is>
      </c>
      <c r="AD494" t="inlineStr">
        <is>
          <t>AKTYWNY</t>
        </is>
      </c>
      <c r="AE494" s="20">
        <f>IF(I494="",0,IF(ISNUMBER(SEARCH("MP",UPPER(J494))),I494,IF(ISNUMBER(SEARCH("TON",UPPER(J494))),I494/Przelicznik_MP_tona,IF(ISNUMBER(SEARCH("M3",UPPER(J494))),I494*Przelicznik_M3_MP,IF(ISNUMBER(SEARCH("GJ",UPPER(J494))),I494/Przelicznik_GJ_tona/Przelicznik_MP_tona,I494)))))</f>
        <v/>
      </c>
      <c r="AF494" s="20">
        <f>IF(I494="",0,IF(ISNUMBER(SEARCH("TON",UPPER(J494))),I494,IF(ISNUMBER(SEARCH("GJ",UPPER(J494))),I494/Przelicznik_GJ_tona,AE494*Przelicznik_MP_tona)))</f>
        <v/>
      </c>
      <c r="AG494" s="20">
        <f>AF494*Przelicznik_GJ_tona</f>
        <v/>
      </c>
      <c r="AH494" s="20">
        <f>IF(UPPER(AD494)="SKORYGOWANY",0,IF(OR(UPPER(E494)="TRANSPORT",UPPER(E494)="MM"),0,IF(UPPER(G494)&lt;&gt;"TAK",0,IF(OR(UPPER(E494)="ZAKUP",UPPER(E494)="PRODUKCJA"),AE494,IF(OR(UPPER(E494)="SPRZEDAŻ",UPPER(E494)="ZUŻYCIE"),-AE494,0)))))</f>
        <v/>
      </c>
      <c r="AI494" s="20">
        <f>IF(UPPER(AD494)="SKORYGOWANY",0,IF(OR(UPPER(E494)="TRANSPORT",UPPER(E494)="MM"),0,IF(UPPER(G494)&lt;&gt;"TAK",0,IF(OR(UPPER(E494)="ZAKUP",UPPER(E494)="PRODUKCJA"),AF494,IF(OR(UPPER(E494)="SPRZEDAŻ",UPPER(E494)="ZUŻYCIE"),-AF494,0)))))</f>
        <v/>
      </c>
      <c r="AJ494" s="21">
        <f>IF(UPPER(AD494)="SKORYGOWANY",0,IF(UPPER(E494)="ZAKUP",IF(L494&lt;&gt;"",L494,I494*K494),0))</f>
        <v/>
      </c>
      <c r="AK494" s="21">
        <f>IF(UPPER(AD494)="SKORYGOWANY",0,IF(UPPER(E494)="SPRZEDAŻ",IF(L494&lt;&gt;"",L494,I494*M494),0))</f>
        <v/>
      </c>
      <c r="AL494" s="21">
        <f>AE494*Q494</f>
        <v/>
      </c>
      <c r="AM494">
        <f>IF(R494="","",IF(LOWER(R494)="brak","Brak",IF(OR(ISNUMBER(SEARCH("własn",LOWER(R494))),ISNUMBER(SEARCH("wlasn",LOWER(R494))),ISNUMBER(SEARCH("wojciechowski",LOWER(R494)))),"Własny","Zewnętrzny")))</f>
        <v/>
      </c>
      <c r="AN494" s="24">
        <f>IF(C494="","",YEAR(C494))</f>
        <v/>
      </c>
      <c r="AO494" s="24">
        <f>IF(C494="","",MONTH(C494))</f>
        <v/>
      </c>
      <c r="AP494">
        <f>IF(C494="","",UPPER(TEXT(C494,"mmmm")))</f>
        <v/>
      </c>
      <c r="AQ494">
        <f>IF(C494="","","Q"&amp;ROUNDUP(MONTH(C494)/3,0))</f>
        <v/>
      </c>
    </row>
    <row r="495">
      <c r="A495" s="19" t="n">
        <v>46259</v>
      </c>
      <c r="B495" t="inlineStr">
        <is>
          <t>Chrzanów</t>
        </is>
      </c>
      <c r="C495" s="19" t="n">
        <v>46259</v>
      </c>
      <c r="D495" t="inlineStr">
        <is>
          <t>Magazyn Zabrze</t>
        </is>
      </c>
      <c r="E495" t="inlineStr">
        <is>
          <t>ZAKUP</t>
        </is>
      </c>
      <c r="F495" t="inlineStr">
        <is>
          <t>PZ/102</t>
        </is>
      </c>
      <c r="G495" t="inlineStr">
        <is>
          <t>TAK</t>
        </is>
      </c>
      <c r="H495" t="inlineStr">
        <is>
          <t>Deklaracja</t>
        </is>
      </c>
      <c r="I495" s="20" t="n">
        <v>84.40000000000001</v>
      </c>
      <c r="J495" t="inlineStr">
        <is>
          <t>MP</t>
        </is>
      </c>
      <c r="K495" s="21" t="n">
        <v>0</v>
      </c>
      <c r="L495" s="21" t="n">
        <v>0</v>
      </c>
      <c r="M495" s="21" t="n">
        <v>0</v>
      </c>
      <c r="N495" t="inlineStr">
        <is>
          <t>Zrębka Produkcyjna Leśna</t>
        </is>
      </c>
      <c r="O495" t="inlineStr">
        <is>
          <t>B</t>
        </is>
      </c>
      <c r="Q495" s="21" t="n">
        <v>0</v>
      </c>
      <c r="R495" t="inlineStr">
        <is>
          <t>własny (Wilczak)</t>
        </is>
      </c>
      <c r="S495" t="inlineStr">
        <is>
          <t>SK 7J884</t>
        </is>
      </c>
      <c r="T495" s="22" t="n">
        <v>200</v>
      </c>
      <c r="U495" s="21" t="n">
        <v>5</v>
      </c>
      <c r="V495" s="21" t="n">
        <v>1000</v>
      </c>
      <c r="W495" t="inlineStr">
        <is>
          <t>Magazyn Zabrze</t>
        </is>
      </c>
      <c r="Z495" t="inlineStr">
        <is>
          <t>Roesner Mateusz</t>
        </is>
      </c>
      <c r="AA495" s="23" t="n">
        <v>46264.97067129629</v>
      </c>
      <c r="AB495" t="inlineStr">
        <is>
          <t>OP-MIGR-00494</t>
        </is>
      </c>
      <c r="AD495" t="inlineStr">
        <is>
          <t>AKTYWNY</t>
        </is>
      </c>
      <c r="AE495" s="20">
        <f>IF(I495="",0,IF(ISNUMBER(SEARCH("MP",UPPER(J495))),I495,IF(ISNUMBER(SEARCH("TON",UPPER(J495))),I495/Przelicznik_MP_tona,IF(ISNUMBER(SEARCH("M3",UPPER(J495))),I495*Przelicznik_M3_MP,IF(ISNUMBER(SEARCH("GJ",UPPER(J495))),I495/Przelicznik_GJ_tona/Przelicznik_MP_tona,I495)))))</f>
        <v/>
      </c>
      <c r="AF495" s="20">
        <f>IF(I495="",0,IF(ISNUMBER(SEARCH("TON",UPPER(J495))),I495,IF(ISNUMBER(SEARCH("GJ",UPPER(J495))),I495/Przelicznik_GJ_tona,AE495*Przelicznik_MP_tona)))</f>
        <v/>
      </c>
      <c r="AG495" s="20">
        <f>AF495*Przelicznik_GJ_tona</f>
        <v/>
      </c>
      <c r="AH495" s="20">
        <f>IF(UPPER(AD495)="SKORYGOWANY",0,IF(OR(UPPER(E495)="TRANSPORT",UPPER(E495)="MM"),0,IF(UPPER(G495)&lt;&gt;"TAK",0,IF(OR(UPPER(E495)="ZAKUP",UPPER(E495)="PRODUKCJA"),AE495,IF(OR(UPPER(E495)="SPRZEDAŻ",UPPER(E495)="ZUŻYCIE"),-AE495,0)))))</f>
        <v/>
      </c>
      <c r="AI495" s="20">
        <f>IF(UPPER(AD495)="SKORYGOWANY",0,IF(OR(UPPER(E495)="TRANSPORT",UPPER(E495)="MM"),0,IF(UPPER(G495)&lt;&gt;"TAK",0,IF(OR(UPPER(E495)="ZAKUP",UPPER(E495)="PRODUKCJA"),AF495,IF(OR(UPPER(E495)="SPRZEDAŻ",UPPER(E495)="ZUŻYCIE"),-AF495,0)))))</f>
        <v/>
      </c>
      <c r="AJ495" s="21">
        <f>IF(UPPER(AD495)="SKORYGOWANY",0,IF(UPPER(E495)="ZAKUP",IF(L495&lt;&gt;"",L495,I495*K495),0))</f>
        <v/>
      </c>
      <c r="AK495" s="21">
        <f>IF(UPPER(AD495)="SKORYGOWANY",0,IF(UPPER(E495)="SPRZEDAŻ",IF(L495&lt;&gt;"",L495,I495*M495),0))</f>
        <v/>
      </c>
      <c r="AL495" s="21">
        <f>AE495*Q495</f>
        <v/>
      </c>
      <c r="AM495">
        <f>IF(R495="","",IF(LOWER(R495)="brak","Brak",IF(OR(ISNUMBER(SEARCH("własn",LOWER(R495))),ISNUMBER(SEARCH("wlasn",LOWER(R495))),ISNUMBER(SEARCH("wojciechowski",LOWER(R495)))),"Własny","Zewnętrzny")))</f>
        <v/>
      </c>
      <c r="AN495" s="24">
        <f>IF(C495="","",YEAR(C495))</f>
        <v/>
      </c>
      <c r="AO495" s="24">
        <f>IF(C495="","",MONTH(C495))</f>
        <v/>
      </c>
      <c r="AP495">
        <f>IF(C495="","",UPPER(TEXT(C495,"mmmm")))</f>
        <v/>
      </c>
      <c r="AQ495">
        <f>IF(C495="","","Q"&amp;ROUNDUP(MONTH(C495)/3,0))</f>
        <v/>
      </c>
    </row>
    <row r="496">
      <c r="A496" s="19" t="n">
        <v>46259</v>
      </c>
      <c r="B496" t="inlineStr">
        <is>
          <t>Magazyn Brąszewice</t>
        </is>
      </c>
      <c r="C496" s="19" t="n">
        <v>46259</v>
      </c>
      <c r="D496" t="inlineStr">
        <is>
          <t>Magazyn Brąszewice</t>
        </is>
      </c>
      <c r="E496" t="inlineStr">
        <is>
          <t>MM</t>
        </is>
      </c>
      <c r="F496" t="inlineStr">
        <is>
          <t>MM-77</t>
        </is>
      </c>
      <c r="G496" t="inlineStr">
        <is>
          <t>TAK</t>
        </is>
      </c>
      <c r="I496" s="20" t="n">
        <v>88</v>
      </c>
      <c r="J496" t="inlineStr">
        <is>
          <t>MP</t>
        </is>
      </c>
      <c r="K496" s="21" t="n">
        <v>0</v>
      </c>
      <c r="L496" s="21" t="n">
        <v>0</v>
      </c>
      <c r="M496" s="21" t="n">
        <v>0</v>
      </c>
      <c r="N496" t="inlineStr">
        <is>
          <t>Zrębka Produkcyjna Drzewna</t>
        </is>
      </c>
      <c r="Q496" s="21" t="n">
        <v>0</v>
      </c>
      <c r="R496" t="inlineStr">
        <is>
          <t>własny (Chrzan)</t>
        </is>
      </c>
      <c r="S496" t="inlineStr">
        <is>
          <t>SK 5L809</t>
        </is>
      </c>
      <c r="T496" s="22" t="n">
        <v>160</v>
      </c>
      <c r="U496" s="21" t="n">
        <v>5</v>
      </c>
      <c r="V496" s="21" t="n">
        <v>800</v>
      </c>
      <c r="W496" t="inlineStr">
        <is>
          <t>Magazyn Zabrze</t>
        </is>
      </c>
      <c r="X496" t="inlineStr">
        <is>
          <t>Magazyn Brąszewice</t>
        </is>
      </c>
      <c r="Y496" t="inlineStr">
        <is>
          <t>Waga: 25,660 T</t>
        </is>
      </c>
      <c r="Z496" t="inlineStr">
        <is>
          <t>Roesner Mateusz</t>
        </is>
      </c>
      <c r="AA496" s="23" t="n">
        <v>46265.35447916666</v>
      </c>
      <c r="AB496" t="inlineStr">
        <is>
          <t>OP-MIGR-00495</t>
        </is>
      </c>
      <c r="AD496" t="inlineStr">
        <is>
          <t>AKTYWNY</t>
        </is>
      </c>
      <c r="AE496" s="20">
        <f>IF(I496="",0,IF(ISNUMBER(SEARCH("MP",UPPER(J496))),I496,IF(ISNUMBER(SEARCH("TON",UPPER(J496))),I496/Przelicznik_MP_tona,IF(ISNUMBER(SEARCH("M3",UPPER(J496))),I496*Przelicznik_M3_MP,IF(ISNUMBER(SEARCH("GJ",UPPER(J496))),I496/Przelicznik_GJ_tona/Przelicznik_MP_tona,I496)))))</f>
        <v/>
      </c>
      <c r="AF496" s="20">
        <f>IF(I496="",0,IF(ISNUMBER(SEARCH("TON",UPPER(J496))),I496,IF(ISNUMBER(SEARCH("GJ",UPPER(J496))),I496/Przelicznik_GJ_tona,AE496*Przelicznik_MP_tona)))</f>
        <v/>
      </c>
      <c r="AG496" s="20">
        <f>AF496*Przelicznik_GJ_tona</f>
        <v/>
      </c>
      <c r="AH496" s="20">
        <f>IF(UPPER(AD496)="SKORYGOWANY",0,IF(OR(UPPER(E496)="TRANSPORT",UPPER(E496)="MM"),0,IF(UPPER(G496)&lt;&gt;"TAK",0,IF(OR(UPPER(E496)="ZAKUP",UPPER(E496)="PRODUKCJA"),AE496,IF(OR(UPPER(E496)="SPRZEDAŻ",UPPER(E496)="ZUŻYCIE"),-AE496,0)))))</f>
        <v/>
      </c>
      <c r="AI496" s="20">
        <f>IF(UPPER(AD496)="SKORYGOWANY",0,IF(OR(UPPER(E496)="TRANSPORT",UPPER(E496)="MM"),0,IF(UPPER(G496)&lt;&gt;"TAK",0,IF(OR(UPPER(E496)="ZAKUP",UPPER(E496)="PRODUKCJA"),AF496,IF(OR(UPPER(E496)="SPRZEDAŻ",UPPER(E496)="ZUŻYCIE"),-AF496,0)))))</f>
        <v/>
      </c>
      <c r="AJ496" s="21">
        <f>IF(UPPER(AD496)="SKORYGOWANY",0,IF(UPPER(E496)="ZAKUP",IF(L496&lt;&gt;"",L496,I496*K496),0))</f>
        <v/>
      </c>
      <c r="AK496" s="21">
        <f>IF(UPPER(AD496)="SKORYGOWANY",0,IF(UPPER(E496)="SPRZEDAŻ",IF(L496&lt;&gt;"",L496,I496*M496),0))</f>
        <v/>
      </c>
      <c r="AL496" s="21">
        <f>AE496*Q496</f>
        <v/>
      </c>
      <c r="AM496">
        <f>IF(R496="","",IF(LOWER(R496)="brak","Brak",IF(OR(ISNUMBER(SEARCH("własn",LOWER(R496))),ISNUMBER(SEARCH("wlasn",LOWER(R496))),ISNUMBER(SEARCH("wojciechowski",LOWER(R496)))),"Własny","Zewnętrzny")))</f>
        <v/>
      </c>
      <c r="AN496" s="24">
        <f>IF(C496="","",YEAR(C496))</f>
        <v/>
      </c>
      <c r="AO496" s="24">
        <f>IF(C496="","",MONTH(C496))</f>
        <v/>
      </c>
      <c r="AP496">
        <f>IF(C496="","",UPPER(TEXT(C496,"mmmm")))</f>
        <v/>
      </c>
      <c r="AQ496">
        <f>IF(C496="","","Q"&amp;ROUNDUP(MONTH(C496)/3,0))</f>
        <v/>
      </c>
    </row>
    <row r="497">
      <c r="A497" s="19" t="n">
        <v>46259</v>
      </c>
      <c r="C497" s="19" t="n">
        <v>46259</v>
      </c>
      <c r="D497" t="inlineStr">
        <is>
          <t>NDL Chrzanów, Leśnictwo Chełmek</t>
        </is>
      </c>
      <c r="E497" t="inlineStr">
        <is>
          <t>ZAKUP</t>
        </is>
      </c>
      <c r="F497" t="inlineStr">
        <is>
          <t>PZ/103  2/202624966/6133</t>
        </is>
      </c>
      <c r="G497" t="inlineStr">
        <is>
          <t>TAK</t>
        </is>
      </c>
      <c r="H497" t="inlineStr">
        <is>
          <t>Deklaracja</t>
        </is>
      </c>
      <c r="I497" s="20" t="n">
        <v>21.1</v>
      </c>
      <c r="J497" t="inlineStr">
        <is>
          <t>M3</t>
        </is>
      </c>
      <c r="K497" s="21" t="n">
        <v>0</v>
      </c>
      <c r="L497" s="21" t="n">
        <v>0</v>
      </c>
      <c r="M497" s="21" t="n">
        <v>0</v>
      </c>
      <c r="N497" t="inlineStr">
        <is>
          <t>Drewno opałowe z lasu</t>
        </is>
      </c>
      <c r="Q497" s="21" t="n">
        <v>0</v>
      </c>
      <c r="T497" s="22" t="n">
        <v>0</v>
      </c>
      <c r="U497" s="21" t="n">
        <v>0</v>
      </c>
      <c r="V497" s="21" t="n">
        <v>0</v>
      </c>
      <c r="W497" t="inlineStr">
        <is>
          <t>Magazyn Zabrze</t>
        </is>
      </c>
      <c r="Z497" t="inlineStr">
        <is>
          <t>Roesner Mateusz</t>
        </is>
      </c>
      <c r="AA497" s="23" t="n">
        <v>46265.35858796296</v>
      </c>
      <c r="AB497" t="inlineStr">
        <is>
          <t>OP-MIGR-00496</t>
        </is>
      </c>
      <c r="AD497" t="inlineStr">
        <is>
          <t>AKTYWNY</t>
        </is>
      </c>
      <c r="AE497" s="20">
        <f>IF(I497="",0,IF(ISNUMBER(SEARCH("MP",UPPER(J497))),I497,IF(ISNUMBER(SEARCH("TON",UPPER(J497))),I497/Przelicznik_MP_tona,IF(ISNUMBER(SEARCH("M3",UPPER(J497))),I497*Przelicznik_M3_MP,IF(ISNUMBER(SEARCH("GJ",UPPER(J497))),I497/Przelicznik_GJ_tona/Przelicznik_MP_tona,I497)))))</f>
        <v/>
      </c>
      <c r="AF497" s="20">
        <f>IF(I497="",0,IF(ISNUMBER(SEARCH("TON",UPPER(J497))),I497,IF(ISNUMBER(SEARCH("GJ",UPPER(J497))),I497/Przelicznik_GJ_tona,AE497*Przelicznik_MP_tona)))</f>
        <v/>
      </c>
      <c r="AG497" s="20">
        <f>AF497*Przelicznik_GJ_tona</f>
        <v/>
      </c>
      <c r="AH497" s="20">
        <f>IF(UPPER(AD497)="SKORYGOWANY",0,IF(OR(UPPER(E497)="TRANSPORT",UPPER(E497)="MM"),0,IF(UPPER(G497)&lt;&gt;"TAK",0,IF(OR(UPPER(E497)="ZAKUP",UPPER(E497)="PRODUKCJA"),AE497,IF(OR(UPPER(E497)="SPRZEDAŻ",UPPER(E497)="ZUŻYCIE"),-AE497,0)))))</f>
        <v/>
      </c>
      <c r="AI497" s="20">
        <f>IF(UPPER(AD497)="SKORYGOWANY",0,IF(OR(UPPER(E497)="TRANSPORT",UPPER(E497)="MM"),0,IF(UPPER(G497)&lt;&gt;"TAK",0,IF(OR(UPPER(E497)="ZAKUP",UPPER(E497)="PRODUKCJA"),AF497,IF(OR(UPPER(E497)="SPRZEDAŻ",UPPER(E497)="ZUŻYCIE"),-AF497,0)))))</f>
        <v/>
      </c>
      <c r="AJ497" s="21">
        <f>IF(UPPER(AD497)="SKORYGOWANY",0,IF(UPPER(E497)="ZAKUP",IF(L497&lt;&gt;"",L497,I497*K497),0))</f>
        <v/>
      </c>
      <c r="AK497" s="21">
        <f>IF(UPPER(AD497)="SKORYGOWANY",0,IF(UPPER(E497)="SPRZEDAŻ",IF(L497&lt;&gt;"",L497,I497*M497),0))</f>
        <v/>
      </c>
      <c r="AL497" s="21">
        <f>AE497*Q497</f>
        <v/>
      </c>
      <c r="AM497">
        <f>IF(R497="","",IF(LOWER(R497)="brak","Brak",IF(OR(ISNUMBER(SEARCH("własn",LOWER(R497))),ISNUMBER(SEARCH("wlasn",LOWER(R497))),ISNUMBER(SEARCH("wojciechowski",LOWER(R497)))),"Własny","Zewnętrzny")))</f>
        <v/>
      </c>
      <c r="AN497" s="24">
        <f>IF(C497="","",YEAR(C497))</f>
        <v/>
      </c>
      <c r="AO497" s="24">
        <f>IF(C497="","",MONTH(C497))</f>
        <v/>
      </c>
      <c r="AP497">
        <f>IF(C497="","",UPPER(TEXT(C497,"mmmm")))</f>
        <v/>
      </c>
      <c r="AQ497">
        <f>IF(C497="","","Q"&amp;ROUNDUP(MONTH(C497)/3,0))</f>
        <v/>
      </c>
    </row>
    <row r="498">
      <c r="A498" s="19" t="n">
        <v>46259</v>
      </c>
      <c r="C498" s="19" t="n">
        <v>46259</v>
      </c>
      <c r="D498" t="inlineStr">
        <is>
          <t>Magazyn Zabrze</t>
        </is>
      </c>
      <c r="E498" t="inlineStr">
        <is>
          <t>PRODUKCJA</t>
        </is>
      </c>
      <c r="F498" t="inlineStr">
        <is>
          <t>PZ/103</t>
        </is>
      </c>
      <c r="G498" t="inlineStr">
        <is>
          <t>TAK</t>
        </is>
      </c>
      <c r="H498" t="inlineStr">
        <is>
          <t>Deklaracja</t>
        </is>
      </c>
      <c r="I498" s="20" t="n">
        <v>84.40000000000001</v>
      </c>
      <c r="J498" t="inlineStr">
        <is>
          <t>MP</t>
        </is>
      </c>
      <c r="K498" s="21" t="n">
        <v>0</v>
      </c>
      <c r="L498" s="21" t="n">
        <v>0</v>
      </c>
      <c r="M498" s="21" t="n">
        <v>0</v>
      </c>
      <c r="N498" t="inlineStr">
        <is>
          <t>Zrębka Produkcyjna Leśna</t>
        </is>
      </c>
      <c r="O498" t="inlineStr">
        <is>
          <t>B</t>
        </is>
      </c>
      <c r="P498" t="inlineStr">
        <is>
          <t>własne</t>
        </is>
      </c>
      <c r="Q498" s="21" t="n">
        <v>10</v>
      </c>
      <c r="T498" s="22" t="n">
        <v>0</v>
      </c>
      <c r="U498" s="21" t="n">
        <v>0</v>
      </c>
      <c r="V498" s="21" t="n">
        <v>0</v>
      </c>
      <c r="W498" t="inlineStr">
        <is>
          <t>Magazyn Zabrze</t>
        </is>
      </c>
      <c r="Z498" t="inlineStr">
        <is>
          <t>Roesner Mateusz</t>
        </is>
      </c>
      <c r="AA498" s="23" t="n">
        <v>46265.35931712963</v>
      </c>
      <c r="AB498" t="inlineStr">
        <is>
          <t>OP-MIGR-00497</t>
        </is>
      </c>
      <c r="AD498" t="inlineStr">
        <is>
          <t>AKTYWNY</t>
        </is>
      </c>
      <c r="AE498" s="20">
        <f>IF(I498="",0,IF(ISNUMBER(SEARCH("MP",UPPER(J498))),I498,IF(ISNUMBER(SEARCH("TON",UPPER(J498))),I498/Przelicznik_MP_tona,IF(ISNUMBER(SEARCH("M3",UPPER(J498))),I498*Przelicznik_M3_MP,IF(ISNUMBER(SEARCH("GJ",UPPER(J498))),I498/Przelicznik_GJ_tona/Przelicznik_MP_tona,I498)))))</f>
        <v/>
      </c>
      <c r="AF498" s="20">
        <f>IF(I498="",0,IF(ISNUMBER(SEARCH("TON",UPPER(J498))),I498,IF(ISNUMBER(SEARCH("GJ",UPPER(J498))),I498/Przelicznik_GJ_tona,AE498*Przelicznik_MP_tona)))</f>
        <v/>
      </c>
      <c r="AG498" s="20">
        <f>AF498*Przelicznik_GJ_tona</f>
        <v/>
      </c>
      <c r="AH498" s="20">
        <f>IF(UPPER(AD498)="SKORYGOWANY",0,IF(OR(UPPER(E498)="TRANSPORT",UPPER(E498)="MM"),0,IF(UPPER(G498)&lt;&gt;"TAK",0,IF(OR(UPPER(E498)="ZAKUP",UPPER(E498)="PRODUKCJA"),AE498,IF(OR(UPPER(E498)="SPRZEDAŻ",UPPER(E498)="ZUŻYCIE"),-AE498,0)))))</f>
        <v/>
      </c>
      <c r="AI498" s="20">
        <f>IF(UPPER(AD498)="SKORYGOWANY",0,IF(OR(UPPER(E498)="TRANSPORT",UPPER(E498)="MM"),0,IF(UPPER(G498)&lt;&gt;"TAK",0,IF(OR(UPPER(E498)="ZAKUP",UPPER(E498)="PRODUKCJA"),AF498,IF(OR(UPPER(E498)="SPRZEDAŻ",UPPER(E498)="ZUŻYCIE"),-AF498,0)))))</f>
        <v/>
      </c>
      <c r="AJ498" s="21">
        <f>IF(UPPER(AD498)="SKORYGOWANY",0,IF(UPPER(E498)="ZAKUP",IF(L498&lt;&gt;"",L498,I498*K498),0))</f>
        <v/>
      </c>
      <c r="AK498" s="21">
        <f>IF(UPPER(AD498)="SKORYGOWANY",0,IF(UPPER(E498)="SPRZEDAŻ",IF(L498&lt;&gt;"",L498,I498*M498),0))</f>
        <v/>
      </c>
      <c r="AL498" s="21">
        <f>AE498*Q498</f>
        <v/>
      </c>
      <c r="AM498">
        <f>IF(R498="","",IF(LOWER(R498)="brak","Brak",IF(OR(ISNUMBER(SEARCH("własn",LOWER(R498))),ISNUMBER(SEARCH("wlasn",LOWER(R498))),ISNUMBER(SEARCH("wojciechowski",LOWER(R498)))),"Własny","Zewnętrzny")))</f>
        <v/>
      </c>
      <c r="AN498" s="24">
        <f>IF(C498="","",YEAR(C498))</f>
        <v/>
      </c>
      <c r="AO498" s="24">
        <f>IF(C498="","",MONTH(C498))</f>
        <v/>
      </c>
      <c r="AP498">
        <f>IF(C498="","",UPPER(TEXT(C498,"mmmm")))</f>
        <v/>
      </c>
      <c r="AQ498">
        <f>IF(C498="","","Q"&amp;ROUNDUP(MONTH(C498)/3,0))</f>
        <v/>
      </c>
    </row>
    <row r="499">
      <c r="A499" s="19" t="n">
        <v>46259</v>
      </c>
      <c r="C499" s="19" t="n">
        <v>46259</v>
      </c>
      <c r="D499" t="inlineStr">
        <is>
          <t>Magazyn Zabrze</t>
        </is>
      </c>
      <c r="E499" t="inlineStr">
        <is>
          <t>ZUŻYCIE</t>
        </is>
      </c>
      <c r="F499" t="inlineStr">
        <is>
          <t>PZ/103</t>
        </is>
      </c>
      <c r="G499" t="inlineStr">
        <is>
          <t>TAK</t>
        </is>
      </c>
      <c r="H499" t="inlineStr">
        <is>
          <t>Deklaracja</t>
        </is>
      </c>
      <c r="I499" s="20" t="n">
        <v>84.40000000000001</v>
      </c>
      <c r="J499" t="inlineStr">
        <is>
          <t>MP</t>
        </is>
      </c>
      <c r="K499" s="21" t="n">
        <v>0</v>
      </c>
      <c r="L499" s="21" t="n">
        <v>0</v>
      </c>
      <c r="M499" s="21" t="n">
        <v>0</v>
      </c>
      <c r="N499" t="inlineStr">
        <is>
          <t>Zrębka Produkcyjna Leśna</t>
        </is>
      </c>
      <c r="O499" t="inlineStr">
        <is>
          <t>B</t>
        </is>
      </c>
      <c r="P499" t="inlineStr">
        <is>
          <t>własne</t>
        </is>
      </c>
      <c r="Q499" s="21" t="n">
        <v>10</v>
      </c>
      <c r="T499" s="22" t="n">
        <v>0</v>
      </c>
      <c r="U499" s="21" t="n">
        <v>0</v>
      </c>
      <c r="V499" s="21" t="n">
        <v>0</v>
      </c>
      <c r="W499" t="inlineStr">
        <is>
          <t>Magazyn Zabrze</t>
        </is>
      </c>
      <c r="Y499" t="inlineStr">
        <is>
          <t>Automatyczne zużycie surowca do produkcji</t>
        </is>
      </c>
      <c r="AA499" s="23" t="n">
        <v>46265.35931712963</v>
      </c>
      <c r="AB499" t="inlineStr">
        <is>
          <t>OP-MIGR-00498</t>
        </is>
      </c>
      <c r="AD499" t="inlineStr">
        <is>
          <t>AKTYWNY</t>
        </is>
      </c>
      <c r="AE499" s="20">
        <f>IF(I499="",0,IF(ISNUMBER(SEARCH("MP",UPPER(J499))),I499,IF(ISNUMBER(SEARCH("TON",UPPER(J499))),I499/Przelicznik_MP_tona,IF(ISNUMBER(SEARCH("M3",UPPER(J499))),I499*Przelicznik_M3_MP,IF(ISNUMBER(SEARCH("GJ",UPPER(J499))),I499/Przelicznik_GJ_tona/Przelicznik_MP_tona,I499)))))</f>
        <v/>
      </c>
      <c r="AF499" s="20">
        <f>IF(I499="",0,IF(ISNUMBER(SEARCH("TON",UPPER(J499))),I499,IF(ISNUMBER(SEARCH("GJ",UPPER(J499))),I499/Przelicznik_GJ_tona,AE499*Przelicznik_MP_tona)))</f>
        <v/>
      </c>
      <c r="AG499" s="20">
        <f>AF499*Przelicznik_GJ_tona</f>
        <v/>
      </c>
      <c r="AH499" s="20">
        <f>IF(UPPER(AD499)="SKORYGOWANY",0,IF(OR(UPPER(E499)="TRANSPORT",UPPER(E499)="MM"),0,IF(UPPER(G499)&lt;&gt;"TAK",0,IF(OR(UPPER(E499)="ZAKUP",UPPER(E499)="PRODUKCJA"),AE499,IF(OR(UPPER(E499)="SPRZEDAŻ",UPPER(E499)="ZUŻYCIE"),-AE499,0)))))</f>
        <v/>
      </c>
      <c r="AI499" s="20">
        <f>IF(UPPER(AD499)="SKORYGOWANY",0,IF(OR(UPPER(E499)="TRANSPORT",UPPER(E499)="MM"),0,IF(UPPER(G499)&lt;&gt;"TAK",0,IF(OR(UPPER(E499)="ZAKUP",UPPER(E499)="PRODUKCJA"),AF499,IF(OR(UPPER(E499)="SPRZEDAŻ",UPPER(E499)="ZUŻYCIE"),-AF499,0)))))</f>
        <v/>
      </c>
      <c r="AJ499" s="21">
        <f>IF(UPPER(AD499)="SKORYGOWANY",0,IF(UPPER(E499)="ZAKUP",IF(L499&lt;&gt;"",L499,I499*K499),0))</f>
        <v/>
      </c>
      <c r="AK499" s="21">
        <f>IF(UPPER(AD499)="SKORYGOWANY",0,IF(UPPER(E499)="SPRZEDAŻ",IF(L499&lt;&gt;"",L499,I499*M499),0))</f>
        <v/>
      </c>
      <c r="AL499" s="21">
        <f>AE499*Q499</f>
        <v/>
      </c>
      <c r="AM499">
        <f>IF(R499="","",IF(LOWER(R499)="brak","Brak",IF(OR(ISNUMBER(SEARCH("własn",LOWER(R499))),ISNUMBER(SEARCH("wlasn",LOWER(R499))),ISNUMBER(SEARCH("wojciechowski",LOWER(R499)))),"Własny","Zewnętrzny")))</f>
        <v/>
      </c>
      <c r="AN499" s="24">
        <f>IF(C499="","",YEAR(C499))</f>
        <v/>
      </c>
      <c r="AO499" s="24">
        <f>IF(C499="","",MONTH(C499))</f>
        <v/>
      </c>
      <c r="AP499">
        <f>IF(C499="","",UPPER(TEXT(C499,"mmmm")))</f>
        <v/>
      </c>
      <c r="AQ499">
        <f>IF(C499="","","Q"&amp;ROUNDUP(MONTH(C499)/3,0))</f>
        <v/>
      </c>
    </row>
    <row r="500">
      <c r="A500" s="19" t="n">
        <v>46259</v>
      </c>
      <c r="B500" t="inlineStr">
        <is>
          <t>Chrzanów</t>
        </is>
      </c>
      <c r="C500" s="19" t="n">
        <v>46259</v>
      </c>
      <c r="D500" t="inlineStr">
        <is>
          <t>Magazyn Zabrze</t>
        </is>
      </c>
      <c r="E500" t="inlineStr">
        <is>
          <t>ZAKUP</t>
        </is>
      </c>
      <c r="F500" t="inlineStr">
        <is>
          <t>PZ/103</t>
        </is>
      </c>
      <c r="G500" t="inlineStr">
        <is>
          <t>TAK</t>
        </is>
      </c>
      <c r="H500" t="inlineStr">
        <is>
          <t>Deklaracja</t>
        </is>
      </c>
      <c r="I500" s="20" t="n">
        <v>84.40000000000001</v>
      </c>
      <c r="J500" t="inlineStr">
        <is>
          <t>MP</t>
        </is>
      </c>
      <c r="K500" s="21" t="n">
        <v>0</v>
      </c>
      <c r="L500" s="21" t="n">
        <v>0</v>
      </c>
      <c r="M500" s="21" t="n">
        <v>0</v>
      </c>
      <c r="N500" t="inlineStr">
        <is>
          <t>Zrębka Produkcyjna Leśna</t>
        </is>
      </c>
      <c r="O500" t="inlineStr">
        <is>
          <t>B</t>
        </is>
      </c>
      <c r="Q500" s="21" t="n">
        <v>0</v>
      </c>
      <c r="R500" t="inlineStr">
        <is>
          <t>własny (Kretek)</t>
        </is>
      </c>
      <c r="S500" t="inlineStr">
        <is>
          <t>SK 7J885</t>
        </is>
      </c>
      <c r="T500" s="22" t="n">
        <v>200</v>
      </c>
      <c r="U500" s="21" t="n">
        <v>5</v>
      </c>
      <c r="V500" s="21" t="n">
        <v>1000</v>
      </c>
      <c r="W500" t="inlineStr">
        <is>
          <t>Magazyn Zabrze</t>
        </is>
      </c>
      <c r="Z500" t="inlineStr">
        <is>
          <t>Roesner Mateusz</t>
        </is>
      </c>
      <c r="AA500" s="23" t="n">
        <v>46265.36052083333</v>
      </c>
      <c r="AB500" t="inlineStr">
        <is>
          <t>OP-MIGR-00499</t>
        </is>
      </c>
      <c r="AD500" t="inlineStr">
        <is>
          <t>AKTYWNY</t>
        </is>
      </c>
      <c r="AE500" s="20">
        <f>IF(I500="",0,IF(ISNUMBER(SEARCH("MP",UPPER(J500))),I500,IF(ISNUMBER(SEARCH("TON",UPPER(J500))),I500/Przelicznik_MP_tona,IF(ISNUMBER(SEARCH("M3",UPPER(J500))),I500*Przelicznik_M3_MP,IF(ISNUMBER(SEARCH("GJ",UPPER(J500))),I500/Przelicznik_GJ_tona/Przelicznik_MP_tona,I500)))))</f>
        <v/>
      </c>
      <c r="AF500" s="20">
        <f>IF(I500="",0,IF(ISNUMBER(SEARCH("TON",UPPER(J500))),I500,IF(ISNUMBER(SEARCH("GJ",UPPER(J500))),I500/Przelicznik_GJ_tona,AE500*Przelicznik_MP_tona)))</f>
        <v/>
      </c>
      <c r="AG500" s="20">
        <f>AF500*Przelicznik_GJ_tona</f>
        <v/>
      </c>
      <c r="AH500" s="20">
        <f>IF(UPPER(AD500)="SKORYGOWANY",0,IF(OR(UPPER(E500)="TRANSPORT",UPPER(E500)="MM"),0,IF(UPPER(G500)&lt;&gt;"TAK",0,IF(OR(UPPER(E500)="ZAKUP",UPPER(E500)="PRODUKCJA"),AE500,IF(OR(UPPER(E500)="SPRZEDAŻ",UPPER(E500)="ZUŻYCIE"),-AE500,0)))))</f>
        <v/>
      </c>
      <c r="AI500" s="20">
        <f>IF(UPPER(AD500)="SKORYGOWANY",0,IF(OR(UPPER(E500)="TRANSPORT",UPPER(E500)="MM"),0,IF(UPPER(G500)&lt;&gt;"TAK",0,IF(OR(UPPER(E500)="ZAKUP",UPPER(E500)="PRODUKCJA"),AF500,IF(OR(UPPER(E500)="SPRZEDAŻ",UPPER(E500)="ZUŻYCIE"),-AF500,0)))))</f>
        <v/>
      </c>
      <c r="AJ500" s="21">
        <f>IF(UPPER(AD500)="SKORYGOWANY",0,IF(UPPER(E500)="ZAKUP",IF(L500&lt;&gt;"",L500,I500*K500),0))</f>
        <v/>
      </c>
      <c r="AK500" s="21">
        <f>IF(UPPER(AD500)="SKORYGOWANY",0,IF(UPPER(E500)="SPRZEDAŻ",IF(L500&lt;&gt;"",L500,I500*M500),0))</f>
        <v/>
      </c>
      <c r="AL500" s="21">
        <f>AE500*Q500</f>
        <v/>
      </c>
      <c r="AM500">
        <f>IF(R500="","",IF(LOWER(R500)="brak","Brak",IF(OR(ISNUMBER(SEARCH("własn",LOWER(R500))),ISNUMBER(SEARCH("wlasn",LOWER(R500))),ISNUMBER(SEARCH("wojciechowski",LOWER(R500)))),"Własny","Zewnętrzny")))</f>
        <v/>
      </c>
      <c r="AN500" s="24">
        <f>IF(C500="","",YEAR(C500))</f>
        <v/>
      </c>
      <c r="AO500" s="24">
        <f>IF(C500="","",MONTH(C500))</f>
        <v/>
      </c>
      <c r="AP500">
        <f>IF(C500="","",UPPER(TEXT(C500,"mmmm")))</f>
        <v/>
      </c>
      <c r="AQ500">
        <f>IF(C500="","","Q"&amp;ROUNDUP(MONTH(C500)/3,0))</f>
        <v/>
      </c>
    </row>
    <row r="501">
      <c r="A501" s="19" t="n">
        <v>46259</v>
      </c>
      <c r="C501" s="19" t="n">
        <v>46259</v>
      </c>
      <c r="D501" t="inlineStr">
        <is>
          <t>NDL Chrzanów, Leśnictwo Chełmek</t>
        </is>
      </c>
      <c r="E501" t="inlineStr">
        <is>
          <t>ZAKUP</t>
        </is>
      </c>
      <c r="F501" t="inlineStr">
        <is>
          <t>PZ/104  2/202624966/6135</t>
        </is>
      </c>
      <c r="G501" t="inlineStr">
        <is>
          <t>TAK</t>
        </is>
      </c>
      <c r="H501" t="inlineStr">
        <is>
          <t>Deklaracja</t>
        </is>
      </c>
      <c r="I501" s="20" t="n">
        <v>21.1</v>
      </c>
      <c r="J501" t="inlineStr">
        <is>
          <t>M3</t>
        </is>
      </c>
      <c r="K501" s="21" t="n">
        <v>0</v>
      </c>
      <c r="L501" s="21" t="n">
        <v>0</v>
      </c>
      <c r="M501" s="21" t="n">
        <v>0</v>
      </c>
      <c r="N501" t="inlineStr">
        <is>
          <t>Drewno opałowe z lasu</t>
        </is>
      </c>
      <c r="Q501" s="21" t="n">
        <v>0</v>
      </c>
      <c r="T501" s="22" t="n">
        <v>0</v>
      </c>
      <c r="U501" s="21" t="n">
        <v>0</v>
      </c>
      <c r="V501" s="21" t="n">
        <v>0</v>
      </c>
      <c r="W501" t="inlineStr">
        <is>
          <t>Magazyn Zabrze</t>
        </is>
      </c>
      <c r="Z501" t="inlineStr">
        <is>
          <t>Roesner Mateusz</t>
        </is>
      </c>
      <c r="AA501" s="23" t="n">
        <v>46265.36715277778</v>
      </c>
      <c r="AB501" t="inlineStr">
        <is>
          <t>OP-MIGR-00500</t>
        </is>
      </c>
      <c r="AD501" t="inlineStr">
        <is>
          <t>AKTYWNY</t>
        </is>
      </c>
      <c r="AE501" s="20">
        <f>IF(I501="",0,IF(ISNUMBER(SEARCH("MP",UPPER(J501))),I501,IF(ISNUMBER(SEARCH("TON",UPPER(J501))),I501/Przelicznik_MP_tona,IF(ISNUMBER(SEARCH("M3",UPPER(J501))),I501*Przelicznik_M3_MP,IF(ISNUMBER(SEARCH("GJ",UPPER(J501))),I501/Przelicznik_GJ_tona/Przelicznik_MP_tona,I501)))))</f>
        <v/>
      </c>
      <c r="AF501" s="20">
        <f>IF(I501="",0,IF(ISNUMBER(SEARCH("TON",UPPER(J501))),I501,IF(ISNUMBER(SEARCH("GJ",UPPER(J501))),I501/Przelicznik_GJ_tona,AE501*Przelicznik_MP_tona)))</f>
        <v/>
      </c>
      <c r="AG501" s="20">
        <f>AF501*Przelicznik_GJ_tona</f>
        <v/>
      </c>
      <c r="AH501" s="20">
        <f>IF(UPPER(AD501)="SKORYGOWANY",0,IF(OR(UPPER(E501)="TRANSPORT",UPPER(E501)="MM"),0,IF(UPPER(G501)&lt;&gt;"TAK",0,IF(OR(UPPER(E501)="ZAKUP",UPPER(E501)="PRODUKCJA"),AE501,IF(OR(UPPER(E501)="SPRZEDAŻ",UPPER(E501)="ZUŻYCIE"),-AE501,0)))))</f>
        <v/>
      </c>
      <c r="AI501" s="20">
        <f>IF(UPPER(AD501)="SKORYGOWANY",0,IF(OR(UPPER(E501)="TRANSPORT",UPPER(E501)="MM"),0,IF(UPPER(G501)&lt;&gt;"TAK",0,IF(OR(UPPER(E501)="ZAKUP",UPPER(E501)="PRODUKCJA"),AF501,IF(OR(UPPER(E501)="SPRZEDAŻ",UPPER(E501)="ZUŻYCIE"),-AF501,0)))))</f>
        <v/>
      </c>
      <c r="AJ501" s="21">
        <f>IF(UPPER(AD501)="SKORYGOWANY",0,IF(UPPER(E501)="ZAKUP",IF(L501&lt;&gt;"",L501,I501*K501),0))</f>
        <v/>
      </c>
      <c r="AK501" s="21">
        <f>IF(UPPER(AD501)="SKORYGOWANY",0,IF(UPPER(E501)="SPRZEDAŻ",IF(L501&lt;&gt;"",L501,I501*M501),0))</f>
        <v/>
      </c>
      <c r="AL501" s="21">
        <f>AE501*Q501</f>
        <v/>
      </c>
      <c r="AM501">
        <f>IF(R501="","",IF(LOWER(R501)="brak","Brak",IF(OR(ISNUMBER(SEARCH("własn",LOWER(R501))),ISNUMBER(SEARCH("wlasn",LOWER(R501))),ISNUMBER(SEARCH("wojciechowski",LOWER(R501)))),"Własny","Zewnętrzny")))</f>
        <v/>
      </c>
      <c r="AN501" s="24">
        <f>IF(C501="","",YEAR(C501))</f>
        <v/>
      </c>
      <c r="AO501" s="24">
        <f>IF(C501="","",MONTH(C501))</f>
        <v/>
      </c>
      <c r="AP501">
        <f>IF(C501="","",UPPER(TEXT(C501,"mmmm")))</f>
        <v/>
      </c>
      <c r="AQ501">
        <f>IF(C501="","","Q"&amp;ROUNDUP(MONTH(C501)/3,0))</f>
        <v/>
      </c>
    </row>
    <row r="502">
      <c r="A502" s="19" t="n">
        <v>46259</v>
      </c>
      <c r="C502" s="19" t="n">
        <v>46259</v>
      </c>
      <c r="D502" t="inlineStr">
        <is>
          <t>Magazyn Zabrze</t>
        </is>
      </c>
      <c r="E502" t="inlineStr">
        <is>
          <t>PRODUKCJA</t>
        </is>
      </c>
      <c r="F502" t="inlineStr">
        <is>
          <t>PZ/104</t>
        </is>
      </c>
      <c r="G502" t="inlineStr">
        <is>
          <t>TAK</t>
        </is>
      </c>
      <c r="H502" t="inlineStr">
        <is>
          <t>Deklaracja</t>
        </is>
      </c>
      <c r="I502" s="20" t="n">
        <v>84.40000000000001</v>
      </c>
      <c r="J502" t="inlineStr">
        <is>
          <t>MP</t>
        </is>
      </c>
      <c r="K502" s="21" t="n">
        <v>0</v>
      </c>
      <c r="L502" s="21" t="n">
        <v>0</v>
      </c>
      <c r="M502" s="21" t="n">
        <v>0</v>
      </c>
      <c r="N502" t="inlineStr">
        <is>
          <t>Zrębka Produkcyjna Leśna</t>
        </is>
      </c>
      <c r="O502" t="inlineStr">
        <is>
          <t>B</t>
        </is>
      </c>
      <c r="P502" t="inlineStr">
        <is>
          <t>własne</t>
        </is>
      </c>
      <c r="Q502" s="21" t="n">
        <v>10</v>
      </c>
      <c r="T502" s="22" t="n">
        <v>0</v>
      </c>
      <c r="U502" s="21" t="n">
        <v>0</v>
      </c>
      <c r="V502" s="21" t="n">
        <v>0</v>
      </c>
      <c r="W502" t="inlineStr">
        <is>
          <t>Magazyn Zabrze</t>
        </is>
      </c>
      <c r="Z502" t="inlineStr">
        <is>
          <t>Roesner Mateusz</t>
        </is>
      </c>
      <c r="AA502" s="23" t="n">
        <v>46265.36782407408</v>
      </c>
      <c r="AB502" t="inlineStr">
        <is>
          <t>OP-MIGR-00501</t>
        </is>
      </c>
      <c r="AD502" t="inlineStr">
        <is>
          <t>AKTYWNY</t>
        </is>
      </c>
      <c r="AE502" s="20">
        <f>IF(I502="",0,IF(ISNUMBER(SEARCH("MP",UPPER(J502))),I502,IF(ISNUMBER(SEARCH("TON",UPPER(J502))),I502/Przelicznik_MP_tona,IF(ISNUMBER(SEARCH("M3",UPPER(J502))),I502*Przelicznik_M3_MP,IF(ISNUMBER(SEARCH("GJ",UPPER(J502))),I502/Przelicznik_GJ_tona/Przelicznik_MP_tona,I502)))))</f>
        <v/>
      </c>
      <c r="AF502" s="20">
        <f>IF(I502="",0,IF(ISNUMBER(SEARCH("TON",UPPER(J502))),I502,IF(ISNUMBER(SEARCH("GJ",UPPER(J502))),I502/Przelicznik_GJ_tona,AE502*Przelicznik_MP_tona)))</f>
        <v/>
      </c>
      <c r="AG502" s="20">
        <f>AF502*Przelicznik_GJ_tona</f>
        <v/>
      </c>
      <c r="AH502" s="20">
        <f>IF(UPPER(AD502)="SKORYGOWANY",0,IF(OR(UPPER(E502)="TRANSPORT",UPPER(E502)="MM"),0,IF(UPPER(G502)&lt;&gt;"TAK",0,IF(OR(UPPER(E502)="ZAKUP",UPPER(E502)="PRODUKCJA"),AE502,IF(OR(UPPER(E502)="SPRZEDAŻ",UPPER(E502)="ZUŻYCIE"),-AE502,0)))))</f>
        <v/>
      </c>
      <c r="AI502" s="20">
        <f>IF(UPPER(AD502)="SKORYGOWANY",0,IF(OR(UPPER(E502)="TRANSPORT",UPPER(E502)="MM"),0,IF(UPPER(G502)&lt;&gt;"TAK",0,IF(OR(UPPER(E502)="ZAKUP",UPPER(E502)="PRODUKCJA"),AF502,IF(OR(UPPER(E502)="SPRZEDAŻ",UPPER(E502)="ZUŻYCIE"),-AF502,0)))))</f>
        <v/>
      </c>
      <c r="AJ502" s="21">
        <f>IF(UPPER(AD502)="SKORYGOWANY",0,IF(UPPER(E502)="ZAKUP",IF(L502&lt;&gt;"",L502,I502*K502),0))</f>
        <v/>
      </c>
      <c r="AK502" s="21">
        <f>IF(UPPER(AD502)="SKORYGOWANY",0,IF(UPPER(E502)="SPRZEDAŻ",IF(L502&lt;&gt;"",L502,I502*M502),0))</f>
        <v/>
      </c>
      <c r="AL502" s="21">
        <f>AE502*Q502</f>
        <v/>
      </c>
      <c r="AM502">
        <f>IF(R502="","",IF(LOWER(R502)="brak","Brak",IF(OR(ISNUMBER(SEARCH("własn",LOWER(R502))),ISNUMBER(SEARCH("wlasn",LOWER(R502))),ISNUMBER(SEARCH("wojciechowski",LOWER(R502)))),"Własny","Zewnętrzny")))</f>
        <v/>
      </c>
      <c r="AN502" s="24">
        <f>IF(C502="","",YEAR(C502))</f>
        <v/>
      </c>
      <c r="AO502" s="24">
        <f>IF(C502="","",MONTH(C502))</f>
        <v/>
      </c>
      <c r="AP502">
        <f>IF(C502="","",UPPER(TEXT(C502,"mmmm")))</f>
        <v/>
      </c>
      <c r="AQ502">
        <f>IF(C502="","","Q"&amp;ROUNDUP(MONTH(C502)/3,0))</f>
        <v/>
      </c>
    </row>
    <row r="503">
      <c r="A503" s="19" t="n">
        <v>46259</v>
      </c>
      <c r="C503" s="19" t="n">
        <v>46259</v>
      </c>
      <c r="D503" t="inlineStr">
        <is>
          <t>Magazyn Zabrze</t>
        </is>
      </c>
      <c r="E503" t="inlineStr">
        <is>
          <t>ZUŻYCIE</t>
        </is>
      </c>
      <c r="F503" t="inlineStr">
        <is>
          <t>PZ/104</t>
        </is>
      </c>
      <c r="G503" t="inlineStr">
        <is>
          <t>TAK</t>
        </is>
      </c>
      <c r="H503" t="inlineStr">
        <is>
          <t>Deklaracja</t>
        </is>
      </c>
      <c r="I503" s="20" t="n">
        <v>84.40000000000001</v>
      </c>
      <c r="J503" t="inlineStr">
        <is>
          <t>MP</t>
        </is>
      </c>
      <c r="K503" s="21" t="n">
        <v>0</v>
      </c>
      <c r="L503" s="21" t="n">
        <v>0</v>
      </c>
      <c r="M503" s="21" t="n">
        <v>0</v>
      </c>
      <c r="N503" t="inlineStr">
        <is>
          <t>Zrębka Produkcyjna Leśna</t>
        </is>
      </c>
      <c r="O503" t="inlineStr">
        <is>
          <t>B</t>
        </is>
      </c>
      <c r="P503" t="inlineStr">
        <is>
          <t>własne</t>
        </is>
      </c>
      <c r="Q503" s="21" t="n">
        <v>10</v>
      </c>
      <c r="T503" s="22" t="n">
        <v>0</v>
      </c>
      <c r="U503" s="21" t="n">
        <v>0</v>
      </c>
      <c r="V503" s="21" t="n">
        <v>0</v>
      </c>
      <c r="W503" t="inlineStr">
        <is>
          <t>Magazyn Zabrze</t>
        </is>
      </c>
      <c r="Y503" t="inlineStr">
        <is>
          <t>Automatyczne zużycie surowca do produkcji</t>
        </is>
      </c>
      <c r="AA503" s="23" t="n">
        <v>46265.36782407408</v>
      </c>
      <c r="AB503" t="inlineStr">
        <is>
          <t>OP-MIGR-00502</t>
        </is>
      </c>
      <c r="AD503" t="inlineStr">
        <is>
          <t>AKTYWNY</t>
        </is>
      </c>
      <c r="AE503" s="20">
        <f>IF(I503="",0,IF(ISNUMBER(SEARCH("MP",UPPER(J503))),I503,IF(ISNUMBER(SEARCH("TON",UPPER(J503))),I503/Przelicznik_MP_tona,IF(ISNUMBER(SEARCH("M3",UPPER(J503))),I503*Przelicznik_M3_MP,IF(ISNUMBER(SEARCH("GJ",UPPER(J503))),I503/Przelicznik_GJ_tona/Przelicznik_MP_tona,I503)))))</f>
        <v/>
      </c>
      <c r="AF503" s="20">
        <f>IF(I503="",0,IF(ISNUMBER(SEARCH("TON",UPPER(J503))),I503,IF(ISNUMBER(SEARCH("GJ",UPPER(J503))),I503/Przelicznik_GJ_tona,AE503*Przelicznik_MP_tona)))</f>
        <v/>
      </c>
      <c r="AG503" s="20">
        <f>AF503*Przelicznik_GJ_tona</f>
        <v/>
      </c>
      <c r="AH503" s="20">
        <f>IF(UPPER(AD503)="SKORYGOWANY",0,IF(OR(UPPER(E503)="TRANSPORT",UPPER(E503)="MM"),0,IF(UPPER(G503)&lt;&gt;"TAK",0,IF(OR(UPPER(E503)="ZAKUP",UPPER(E503)="PRODUKCJA"),AE503,IF(OR(UPPER(E503)="SPRZEDAŻ",UPPER(E503)="ZUŻYCIE"),-AE503,0)))))</f>
        <v/>
      </c>
      <c r="AI503" s="20">
        <f>IF(UPPER(AD503)="SKORYGOWANY",0,IF(OR(UPPER(E503)="TRANSPORT",UPPER(E503)="MM"),0,IF(UPPER(G503)&lt;&gt;"TAK",0,IF(OR(UPPER(E503)="ZAKUP",UPPER(E503)="PRODUKCJA"),AF503,IF(OR(UPPER(E503)="SPRZEDAŻ",UPPER(E503)="ZUŻYCIE"),-AF503,0)))))</f>
        <v/>
      </c>
      <c r="AJ503" s="21">
        <f>IF(UPPER(AD503)="SKORYGOWANY",0,IF(UPPER(E503)="ZAKUP",IF(L503&lt;&gt;"",L503,I503*K503),0))</f>
        <v/>
      </c>
      <c r="AK503" s="21">
        <f>IF(UPPER(AD503)="SKORYGOWANY",0,IF(UPPER(E503)="SPRZEDAŻ",IF(L503&lt;&gt;"",L503,I503*M503),0))</f>
        <v/>
      </c>
      <c r="AL503" s="21">
        <f>AE503*Q503</f>
        <v/>
      </c>
      <c r="AM503">
        <f>IF(R503="","",IF(LOWER(R503)="brak","Brak",IF(OR(ISNUMBER(SEARCH("własn",LOWER(R503))),ISNUMBER(SEARCH("wlasn",LOWER(R503))),ISNUMBER(SEARCH("wojciechowski",LOWER(R503)))),"Własny","Zewnętrzny")))</f>
        <v/>
      </c>
      <c r="AN503" s="24">
        <f>IF(C503="","",YEAR(C503))</f>
        <v/>
      </c>
      <c r="AO503" s="24">
        <f>IF(C503="","",MONTH(C503))</f>
        <v/>
      </c>
      <c r="AP503">
        <f>IF(C503="","",UPPER(TEXT(C503,"mmmm")))</f>
        <v/>
      </c>
      <c r="AQ503">
        <f>IF(C503="","","Q"&amp;ROUNDUP(MONTH(C503)/3,0))</f>
        <v/>
      </c>
    </row>
    <row r="504">
      <c r="A504" s="19" t="n">
        <v>46259</v>
      </c>
      <c r="B504" t="inlineStr">
        <is>
          <t>Chrzanów</t>
        </is>
      </c>
      <c r="C504" s="19" t="n">
        <v>46259</v>
      </c>
      <c r="D504" t="inlineStr">
        <is>
          <t>Magazyn Zabrze</t>
        </is>
      </c>
      <c r="E504" t="inlineStr">
        <is>
          <t>ZAKUP</t>
        </is>
      </c>
      <c r="F504" t="inlineStr">
        <is>
          <t>PZ/104</t>
        </is>
      </c>
      <c r="G504" t="inlineStr">
        <is>
          <t>TAK</t>
        </is>
      </c>
      <c r="H504" t="inlineStr">
        <is>
          <t>Deklaracja</t>
        </is>
      </c>
      <c r="I504" s="20" t="n">
        <v>84.40000000000001</v>
      </c>
      <c r="J504" t="inlineStr">
        <is>
          <t>MP</t>
        </is>
      </c>
      <c r="K504" s="21" t="n">
        <v>0</v>
      </c>
      <c r="L504" s="21" t="n">
        <v>0</v>
      </c>
      <c r="M504" s="21" t="n">
        <v>0</v>
      </c>
      <c r="N504" t="inlineStr">
        <is>
          <t>Zrębka Produkcyjna Leśna</t>
        </is>
      </c>
      <c r="O504" t="inlineStr">
        <is>
          <t>B</t>
        </is>
      </c>
      <c r="Q504" s="21" t="n">
        <v>0</v>
      </c>
      <c r="R504" t="inlineStr">
        <is>
          <t>własny (Chrzan)</t>
        </is>
      </c>
      <c r="S504" t="inlineStr">
        <is>
          <t>SK 5L809</t>
        </is>
      </c>
      <c r="T504" s="22" t="n">
        <v>200</v>
      </c>
      <c r="U504" s="21" t="n">
        <v>5</v>
      </c>
      <c r="V504" s="21" t="n">
        <v>1000</v>
      </c>
      <c r="W504" t="inlineStr">
        <is>
          <t>Magazyn Zabrze</t>
        </is>
      </c>
      <c r="Z504" t="inlineStr">
        <is>
          <t>Roesner Mateusz</t>
        </is>
      </c>
      <c r="AA504" s="23" t="n">
        <v>46265.36850694445</v>
      </c>
      <c r="AB504" t="inlineStr">
        <is>
          <t>OP-MIGR-00503</t>
        </is>
      </c>
      <c r="AD504" t="inlineStr">
        <is>
          <t>AKTYWNY</t>
        </is>
      </c>
      <c r="AE504" s="20">
        <f>IF(I504="",0,IF(ISNUMBER(SEARCH("MP",UPPER(J504))),I504,IF(ISNUMBER(SEARCH("TON",UPPER(J504))),I504/Przelicznik_MP_tona,IF(ISNUMBER(SEARCH("M3",UPPER(J504))),I504*Przelicznik_M3_MP,IF(ISNUMBER(SEARCH("GJ",UPPER(J504))),I504/Przelicznik_GJ_tona/Przelicznik_MP_tona,I504)))))</f>
        <v/>
      </c>
      <c r="AF504" s="20">
        <f>IF(I504="",0,IF(ISNUMBER(SEARCH("TON",UPPER(J504))),I504,IF(ISNUMBER(SEARCH("GJ",UPPER(J504))),I504/Przelicznik_GJ_tona,AE504*Przelicznik_MP_tona)))</f>
        <v/>
      </c>
      <c r="AG504" s="20">
        <f>AF504*Przelicznik_GJ_tona</f>
        <v/>
      </c>
      <c r="AH504" s="20">
        <f>IF(UPPER(AD504)="SKORYGOWANY",0,IF(OR(UPPER(E504)="TRANSPORT",UPPER(E504)="MM"),0,IF(UPPER(G504)&lt;&gt;"TAK",0,IF(OR(UPPER(E504)="ZAKUP",UPPER(E504)="PRODUKCJA"),AE504,IF(OR(UPPER(E504)="SPRZEDAŻ",UPPER(E504)="ZUŻYCIE"),-AE504,0)))))</f>
        <v/>
      </c>
      <c r="AI504" s="20">
        <f>IF(UPPER(AD504)="SKORYGOWANY",0,IF(OR(UPPER(E504)="TRANSPORT",UPPER(E504)="MM"),0,IF(UPPER(G504)&lt;&gt;"TAK",0,IF(OR(UPPER(E504)="ZAKUP",UPPER(E504)="PRODUKCJA"),AF504,IF(OR(UPPER(E504)="SPRZEDAŻ",UPPER(E504)="ZUŻYCIE"),-AF504,0)))))</f>
        <v/>
      </c>
      <c r="AJ504" s="21">
        <f>IF(UPPER(AD504)="SKORYGOWANY",0,IF(UPPER(E504)="ZAKUP",IF(L504&lt;&gt;"",L504,I504*K504),0))</f>
        <v/>
      </c>
      <c r="AK504" s="21">
        <f>IF(UPPER(AD504)="SKORYGOWANY",0,IF(UPPER(E504)="SPRZEDAŻ",IF(L504&lt;&gt;"",L504,I504*M504),0))</f>
        <v/>
      </c>
      <c r="AL504" s="21">
        <f>AE504*Q504</f>
        <v/>
      </c>
      <c r="AM504">
        <f>IF(R504="","",IF(LOWER(R504)="brak","Brak",IF(OR(ISNUMBER(SEARCH("własn",LOWER(R504))),ISNUMBER(SEARCH("wlasn",LOWER(R504))),ISNUMBER(SEARCH("wojciechowski",LOWER(R504)))),"Własny","Zewnętrzny")))</f>
        <v/>
      </c>
      <c r="AN504" s="24">
        <f>IF(C504="","",YEAR(C504))</f>
        <v/>
      </c>
      <c r="AO504" s="24">
        <f>IF(C504="","",MONTH(C504))</f>
        <v/>
      </c>
      <c r="AP504">
        <f>IF(C504="","",UPPER(TEXT(C504,"mmmm")))</f>
        <v/>
      </c>
      <c r="AQ504">
        <f>IF(C504="","","Q"&amp;ROUNDUP(MONTH(C504)/3,0))</f>
        <v/>
      </c>
    </row>
    <row r="505">
      <c r="A505" s="19" t="n">
        <v>46259</v>
      </c>
      <c r="C505" s="19" t="n">
        <v>46259</v>
      </c>
      <c r="D505" t="inlineStr">
        <is>
          <t>NDL Chrzanów, Leśnictwo Chełmek</t>
        </is>
      </c>
      <c r="E505" t="inlineStr">
        <is>
          <t>ZAKUP</t>
        </is>
      </c>
      <c r="F505" t="inlineStr">
        <is>
          <t>PZ/105  2/202624966/6136</t>
        </is>
      </c>
      <c r="G505" t="inlineStr">
        <is>
          <t>TAK</t>
        </is>
      </c>
      <c r="H505" t="inlineStr">
        <is>
          <t>Deklaracja</t>
        </is>
      </c>
      <c r="I505" s="20" t="n">
        <v>21.1</v>
      </c>
      <c r="J505" t="inlineStr">
        <is>
          <t>M3</t>
        </is>
      </c>
      <c r="K505" s="21" t="n">
        <v>0</v>
      </c>
      <c r="L505" s="21" t="n">
        <v>0</v>
      </c>
      <c r="M505" s="21" t="n">
        <v>0</v>
      </c>
      <c r="N505" t="inlineStr">
        <is>
          <t>Drewno opałowe z lasu</t>
        </is>
      </c>
      <c r="Q505" s="21" t="n">
        <v>0</v>
      </c>
      <c r="T505" s="22" t="n">
        <v>0</v>
      </c>
      <c r="U505" s="21" t="n">
        <v>0</v>
      </c>
      <c r="V505" s="21" t="n">
        <v>0</v>
      </c>
      <c r="W505" t="inlineStr">
        <is>
          <t>Magazyn Zabrze</t>
        </is>
      </c>
      <c r="Z505" t="inlineStr">
        <is>
          <t>Roesner Mateusz</t>
        </is>
      </c>
      <c r="AA505" s="23" t="n">
        <v>46265.37537037037</v>
      </c>
      <c r="AB505" t="inlineStr">
        <is>
          <t>OP-MIGR-00504</t>
        </is>
      </c>
      <c r="AD505" t="inlineStr">
        <is>
          <t>AKTYWNY</t>
        </is>
      </c>
      <c r="AE505" s="20">
        <f>IF(I505="",0,IF(ISNUMBER(SEARCH("MP",UPPER(J505))),I505,IF(ISNUMBER(SEARCH("TON",UPPER(J505))),I505/Przelicznik_MP_tona,IF(ISNUMBER(SEARCH("M3",UPPER(J505))),I505*Przelicznik_M3_MP,IF(ISNUMBER(SEARCH("GJ",UPPER(J505))),I505/Przelicznik_GJ_tona/Przelicznik_MP_tona,I505)))))</f>
        <v/>
      </c>
      <c r="AF505" s="20">
        <f>IF(I505="",0,IF(ISNUMBER(SEARCH("TON",UPPER(J505))),I505,IF(ISNUMBER(SEARCH("GJ",UPPER(J505))),I505/Przelicznik_GJ_tona,AE505*Przelicznik_MP_tona)))</f>
        <v/>
      </c>
      <c r="AG505" s="20">
        <f>AF505*Przelicznik_GJ_tona</f>
        <v/>
      </c>
      <c r="AH505" s="20">
        <f>IF(UPPER(AD505)="SKORYGOWANY",0,IF(OR(UPPER(E505)="TRANSPORT",UPPER(E505)="MM"),0,IF(UPPER(G505)&lt;&gt;"TAK",0,IF(OR(UPPER(E505)="ZAKUP",UPPER(E505)="PRODUKCJA"),AE505,IF(OR(UPPER(E505)="SPRZEDAŻ",UPPER(E505)="ZUŻYCIE"),-AE505,0)))))</f>
        <v/>
      </c>
      <c r="AI505" s="20">
        <f>IF(UPPER(AD505)="SKORYGOWANY",0,IF(OR(UPPER(E505)="TRANSPORT",UPPER(E505)="MM"),0,IF(UPPER(G505)&lt;&gt;"TAK",0,IF(OR(UPPER(E505)="ZAKUP",UPPER(E505)="PRODUKCJA"),AF505,IF(OR(UPPER(E505)="SPRZEDAŻ",UPPER(E505)="ZUŻYCIE"),-AF505,0)))))</f>
        <v/>
      </c>
      <c r="AJ505" s="21">
        <f>IF(UPPER(AD505)="SKORYGOWANY",0,IF(UPPER(E505)="ZAKUP",IF(L505&lt;&gt;"",L505,I505*K505),0))</f>
        <v/>
      </c>
      <c r="AK505" s="21">
        <f>IF(UPPER(AD505)="SKORYGOWANY",0,IF(UPPER(E505)="SPRZEDAŻ",IF(L505&lt;&gt;"",L505,I505*M505),0))</f>
        <v/>
      </c>
      <c r="AL505" s="21">
        <f>AE505*Q505</f>
        <v/>
      </c>
      <c r="AM505">
        <f>IF(R505="","",IF(LOWER(R505)="brak","Brak",IF(OR(ISNUMBER(SEARCH("własn",LOWER(R505))),ISNUMBER(SEARCH("wlasn",LOWER(R505))),ISNUMBER(SEARCH("wojciechowski",LOWER(R505)))),"Własny","Zewnętrzny")))</f>
        <v/>
      </c>
      <c r="AN505" s="24">
        <f>IF(C505="","",YEAR(C505))</f>
        <v/>
      </c>
      <c r="AO505" s="24">
        <f>IF(C505="","",MONTH(C505))</f>
        <v/>
      </c>
      <c r="AP505">
        <f>IF(C505="","",UPPER(TEXT(C505,"mmmm")))</f>
        <v/>
      </c>
      <c r="AQ505">
        <f>IF(C505="","","Q"&amp;ROUNDUP(MONTH(C505)/3,0))</f>
        <v/>
      </c>
    </row>
    <row r="506">
      <c r="A506" s="19" t="n">
        <v>46259</v>
      </c>
      <c r="C506" s="19" t="n">
        <v>46259</v>
      </c>
      <c r="D506" t="inlineStr">
        <is>
          <t>Magazyn Zabrze</t>
        </is>
      </c>
      <c r="E506" t="inlineStr">
        <is>
          <t>PRODUKCJA</t>
        </is>
      </c>
      <c r="F506" t="inlineStr">
        <is>
          <t>PZ/105</t>
        </is>
      </c>
      <c r="G506" t="inlineStr">
        <is>
          <t>TAK</t>
        </is>
      </c>
      <c r="H506" t="inlineStr">
        <is>
          <t>Deklaracja</t>
        </is>
      </c>
      <c r="I506" s="20" t="n">
        <v>84.40000000000001</v>
      </c>
      <c r="J506" t="inlineStr">
        <is>
          <t>MP</t>
        </is>
      </c>
      <c r="K506" s="21" t="n">
        <v>0</v>
      </c>
      <c r="L506" s="21" t="n">
        <v>0</v>
      </c>
      <c r="M506" s="21" t="n">
        <v>0</v>
      </c>
      <c r="N506" t="inlineStr">
        <is>
          <t>Zrębka Produkcyjna Leśna</t>
        </is>
      </c>
      <c r="O506" t="inlineStr">
        <is>
          <t>B</t>
        </is>
      </c>
      <c r="P506" t="inlineStr">
        <is>
          <t>własne</t>
        </is>
      </c>
      <c r="Q506" s="21" t="n">
        <v>10</v>
      </c>
      <c r="T506" s="22" t="n">
        <v>0</v>
      </c>
      <c r="U506" s="21" t="n">
        <v>0</v>
      </c>
      <c r="V506" s="21" t="n">
        <v>0</v>
      </c>
      <c r="W506" t="inlineStr">
        <is>
          <t>Magazyn Zabrze</t>
        </is>
      </c>
      <c r="Z506" t="inlineStr">
        <is>
          <t>Roesner Mateusz</t>
        </is>
      </c>
      <c r="AA506" s="23" t="n">
        <v>46265.37609953704</v>
      </c>
      <c r="AB506" t="inlineStr">
        <is>
          <t>OP-MIGR-00505</t>
        </is>
      </c>
      <c r="AD506" t="inlineStr">
        <is>
          <t>AKTYWNY</t>
        </is>
      </c>
      <c r="AE506" s="20">
        <f>IF(I506="",0,IF(ISNUMBER(SEARCH("MP",UPPER(J506))),I506,IF(ISNUMBER(SEARCH("TON",UPPER(J506))),I506/Przelicznik_MP_tona,IF(ISNUMBER(SEARCH("M3",UPPER(J506))),I506*Przelicznik_M3_MP,IF(ISNUMBER(SEARCH("GJ",UPPER(J506))),I506/Przelicznik_GJ_tona/Przelicznik_MP_tona,I506)))))</f>
        <v/>
      </c>
      <c r="AF506" s="20">
        <f>IF(I506="",0,IF(ISNUMBER(SEARCH("TON",UPPER(J506))),I506,IF(ISNUMBER(SEARCH("GJ",UPPER(J506))),I506/Przelicznik_GJ_tona,AE506*Przelicznik_MP_tona)))</f>
        <v/>
      </c>
      <c r="AG506" s="20">
        <f>AF506*Przelicznik_GJ_tona</f>
        <v/>
      </c>
      <c r="AH506" s="20">
        <f>IF(UPPER(AD506)="SKORYGOWANY",0,IF(OR(UPPER(E506)="TRANSPORT",UPPER(E506)="MM"),0,IF(UPPER(G506)&lt;&gt;"TAK",0,IF(OR(UPPER(E506)="ZAKUP",UPPER(E506)="PRODUKCJA"),AE506,IF(OR(UPPER(E506)="SPRZEDAŻ",UPPER(E506)="ZUŻYCIE"),-AE506,0)))))</f>
        <v/>
      </c>
      <c r="AI506" s="20">
        <f>IF(UPPER(AD506)="SKORYGOWANY",0,IF(OR(UPPER(E506)="TRANSPORT",UPPER(E506)="MM"),0,IF(UPPER(G506)&lt;&gt;"TAK",0,IF(OR(UPPER(E506)="ZAKUP",UPPER(E506)="PRODUKCJA"),AF506,IF(OR(UPPER(E506)="SPRZEDAŻ",UPPER(E506)="ZUŻYCIE"),-AF506,0)))))</f>
        <v/>
      </c>
      <c r="AJ506" s="21">
        <f>IF(UPPER(AD506)="SKORYGOWANY",0,IF(UPPER(E506)="ZAKUP",IF(L506&lt;&gt;"",L506,I506*K506),0))</f>
        <v/>
      </c>
      <c r="AK506" s="21">
        <f>IF(UPPER(AD506)="SKORYGOWANY",0,IF(UPPER(E506)="SPRZEDAŻ",IF(L506&lt;&gt;"",L506,I506*M506),0))</f>
        <v/>
      </c>
      <c r="AL506" s="21">
        <f>AE506*Q506</f>
        <v/>
      </c>
      <c r="AM506">
        <f>IF(R506="","",IF(LOWER(R506)="brak","Brak",IF(OR(ISNUMBER(SEARCH("własn",LOWER(R506))),ISNUMBER(SEARCH("wlasn",LOWER(R506))),ISNUMBER(SEARCH("wojciechowski",LOWER(R506)))),"Własny","Zewnętrzny")))</f>
        <v/>
      </c>
      <c r="AN506" s="24">
        <f>IF(C506="","",YEAR(C506))</f>
        <v/>
      </c>
      <c r="AO506" s="24">
        <f>IF(C506="","",MONTH(C506))</f>
        <v/>
      </c>
      <c r="AP506">
        <f>IF(C506="","",UPPER(TEXT(C506,"mmmm")))</f>
        <v/>
      </c>
      <c r="AQ506">
        <f>IF(C506="","","Q"&amp;ROUNDUP(MONTH(C506)/3,0))</f>
        <v/>
      </c>
    </row>
    <row r="507">
      <c r="A507" s="19" t="n">
        <v>46259</v>
      </c>
      <c r="C507" s="19" t="n">
        <v>46259</v>
      </c>
      <c r="D507" t="inlineStr">
        <is>
          <t>Magazyn Zabrze</t>
        </is>
      </c>
      <c r="E507" t="inlineStr">
        <is>
          <t>ZUŻYCIE</t>
        </is>
      </c>
      <c r="F507" t="inlineStr">
        <is>
          <t>PZ/105</t>
        </is>
      </c>
      <c r="G507" t="inlineStr">
        <is>
          <t>TAK</t>
        </is>
      </c>
      <c r="H507" t="inlineStr">
        <is>
          <t>Deklaracja</t>
        </is>
      </c>
      <c r="I507" s="20" t="n">
        <v>84.40000000000001</v>
      </c>
      <c r="J507" t="inlineStr">
        <is>
          <t>MP</t>
        </is>
      </c>
      <c r="K507" s="21" t="n">
        <v>0</v>
      </c>
      <c r="L507" s="21" t="n">
        <v>0</v>
      </c>
      <c r="M507" s="21" t="n">
        <v>0</v>
      </c>
      <c r="N507" t="inlineStr">
        <is>
          <t>Zrębka Produkcyjna Leśna</t>
        </is>
      </c>
      <c r="O507" t="inlineStr">
        <is>
          <t>B</t>
        </is>
      </c>
      <c r="P507" t="inlineStr">
        <is>
          <t>własne</t>
        </is>
      </c>
      <c r="Q507" s="21" t="n">
        <v>10</v>
      </c>
      <c r="T507" s="22" t="n">
        <v>0</v>
      </c>
      <c r="U507" s="21" t="n">
        <v>0</v>
      </c>
      <c r="V507" s="21" t="n">
        <v>0</v>
      </c>
      <c r="W507" t="inlineStr">
        <is>
          <t>Magazyn Zabrze</t>
        </is>
      </c>
      <c r="Y507" t="inlineStr">
        <is>
          <t>Automatyczne zużycie surowca do produkcji</t>
        </is>
      </c>
      <c r="AA507" s="23" t="n">
        <v>46265.37609953704</v>
      </c>
      <c r="AB507" t="inlineStr">
        <is>
          <t>OP-MIGR-00506</t>
        </is>
      </c>
      <c r="AD507" t="inlineStr">
        <is>
          <t>AKTYWNY</t>
        </is>
      </c>
      <c r="AE507" s="20">
        <f>IF(I507="",0,IF(ISNUMBER(SEARCH("MP",UPPER(J507))),I507,IF(ISNUMBER(SEARCH("TON",UPPER(J507))),I507/Przelicznik_MP_tona,IF(ISNUMBER(SEARCH("M3",UPPER(J507))),I507*Przelicznik_M3_MP,IF(ISNUMBER(SEARCH("GJ",UPPER(J507))),I507/Przelicznik_GJ_tona/Przelicznik_MP_tona,I507)))))</f>
        <v/>
      </c>
      <c r="AF507" s="20">
        <f>IF(I507="",0,IF(ISNUMBER(SEARCH("TON",UPPER(J507))),I507,IF(ISNUMBER(SEARCH("GJ",UPPER(J507))),I507/Przelicznik_GJ_tona,AE507*Przelicznik_MP_tona)))</f>
        <v/>
      </c>
      <c r="AG507" s="20">
        <f>AF507*Przelicznik_GJ_tona</f>
        <v/>
      </c>
      <c r="AH507" s="20">
        <f>IF(UPPER(AD507)="SKORYGOWANY",0,IF(OR(UPPER(E507)="TRANSPORT",UPPER(E507)="MM"),0,IF(UPPER(G507)&lt;&gt;"TAK",0,IF(OR(UPPER(E507)="ZAKUP",UPPER(E507)="PRODUKCJA"),AE507,IF(OR(UPPER(E507)="SPRZEDAŻ",UPPER(E507)="ZUŻYCIE"),-AE507,0)))))</f>
        <v/>
      </c>
      <c r="AI507" s="20">
        <f>IF(UPPER(AD507)="SKORYGOWANY",0,IF(OR(UPPER(E507)="TRANSPORT",UPPER(E507)="MM"),0,IF(UPPER(G507)&lt;&gt;"TAK",0,IF(OR(UPPER(E507)="ZAKUP",UPPER(E507)="PRODUKCJA"),AF507,IF(OR(UPPER(E507)="SPRZEDAŻ",UPPER(E507)="ZUŻYCIE"),-AF507,0)))))</f>
        <v/>
      </c>
      <c r="AJ507" s="21">
        <f>IF(UPPER(AD507)="SKORYGOWANY",0,IF(UPPER(E507)="ZAKUP",IF(L507&lt;&gt;"",L507,I507*K507),0))</f>
        <v/>
      </c>
      <c r="AK507" s="21">
        <f>IF(UPPER(AD507)="SKORYGOWANY",0,IF(UPPER(E507)="SPRZEDAŻ",IF(L507&lt;&gt;"",L507,I507*M507),0))</f>
        <v/>
      </c>
      <c r="AL507" s="21">
        <f>AE507*Q507</f>
        <v/>
      </c>
      <c r="AM507">
        <f>IF(R507="","",IF(LOWER(R507)="brak","Brak",IF(OR(ISNUMBER(SEARCH("własn",LOWER(R507))),ISNUMBER(SEARCH("wlasn",LOWER(R507))),ISNUMBER(SEARCH("wojciechowski",LOWER(R507)))),"Własny","Zewnętrzny")))</f>
        <v/>
      </c>
      <c r="AN507" s="24">
        <f>IF(C507="","",YEAR(C507))</f>
        <v/>
      </c>
      <c r="AO507" s="24">
        <f>IF(C507="","",MONTH(C507))</f>
        <v/>
      </c>
      <c r="AP507">
        <f>IF(C507="","",UPPER(TEXT(C507,"mmmm")))</f>
        <v/>
      </c>
      <c r="AQ507">
        <f>IF(C507="","","Q"&amp;ROUNDUP(MONTH(C507)/3,0))</f>
        <v/>
      </c>
    </row>
    <row r="508">
      <c r="A508" s="19" t="n">
        <v>46259</v>
      </c>
      <c r="B508" t="inlineStr">
        <is>
          <t>Chrzanów</t>
        </is>
      </c>
      <c r="C508" s="19" t="n">
        <v>46259</v>
      </c>
      <c r="D508" t="inlineStr">
        <is>
          <t>Magazyn Zabrze</t>
        </is>
      </c>
      <c r="E508" t="inlineStr">
        <is>
          <t>ZAKUP</t>
        </is>
      </c>
      <c r="F508" t="inlineStr">
        <is>
          <t>PZ/105</t>
        </is>
      </c>
      <c r="G508" t="inlineStr">
        <is>
          <t>TAK</t>
        </is>
      </c>
      <c r="H508" t="inlineStr">
        <is>
          <t>Deklaracja</t>
        </is>
      </c>
      <c r="I508" s="20" t="n">
        <v>84.40000000000001</v>
      </c>
      <c r="J508" t="inlineStr">
        <is>
          <t>MP</t>
        </is>
      </c>
      <c r="K508" s="21" t="n">
        <v>0</v>
      </c>
      <c r="L508" s="21" t="n">
        <v>0</v>
      </c>
      <c r="M508" s="21" t="n">
        <v>0</v>
      </c>
      <c r="N508" t="inlineStr">
        <is>
          <t>Zrębka Produkcyjna Leśna</t>
        </is>
      </c>
      <c r="O508" t="inlineStr">
        <is>
          <t>B</t>
        </is>
      </c>
      <c r="Q508" s="21" t="n">
        <v>0</v>
      </c>
      <c r="R508" t="inlineStr">
        <is>
          <t>własny (Wilczak)</t>
        </is>
      </c>
      <c r="S508" t="inlineStr">
        <is>
          <t>SK 7J884</t>
        </is>
      </c>
      <c r="T508" s="22" t="n">
        <v>200</v>
      </c>
      <c r="U508" s="21" t="n">
        <v>5</v>
      </c>
      <c r="V508" s="21" t="n">
        <v>1000</v>
      </c>
      <c r="W508" t="inlineStr">
        <is>
          <t>Magazyn Zabrze</t>
        </is>
      </c>
      <c r="Z508" t="inlineStr">
        <is>
          <t>Roesner Mateusz</t>
        </is>
      </c>
      <c r="AA508" s="23" t="n">
        <v>46265.37699074074</v>
      </c>
      <c r="AB508" t="inlineStr">
        <is>
          <t>OP-MIGR-00507</t>
        </is>
      </c>
      <c r="AD508" t="inlineStr">
        <is>
          <t>AKTYWNY</t>
        </is>
      </c>
      <c r="AE508" s="20">
        <f>IF(I508="",0,IF(ISNUMBER(SEARCH("MP",UPPER(J508))),I508,IF(ISNUMBER(SEARCH("TON",UPPER(J508))),I508/Przelicznik_MP_tona,IF(ISNUMBER(SEARCH("M3",UPPER(J508))),I508*Przelicznik_M3_MP,IF(ISNUMBER(SEARCH("GJ",UPPER(J508))),I508/Przelicznik_GJ_tona/Przelicznik_MP_tona,I508)))))</f>
        <v/>
      </c>
      <c r="AF508" s="20">
        <f>IF(I508="",0,IF(ISNUMBER(SEARCH("TON",UPPER(J508))),I508,IF(ISNUMBER(SEARCH("GJ",UPPER(J508))),I508/Przelicznik_GJ_tona,AE508*Przelicznik_MP_tona)))</f>
        <v/>
      </c>
      <c r="AG508" s="20">
        <f>AF508*Przelicznik_GJ_tona</f>
        <v/>
      </c>
      <c r="AH508" s="20">
        <f>IF(UPPER(AD508)="SKORYGOWANY",0,IF(OR(UPPER(E508)="TRANSPORT",UPPER(E508)="MM"),0,IF(UPPER(G508)&lt;&gt;"TAK",0,IF(OR(UPPER(E508)="ZAKUP",UPPER(E508)="PRODUKCJA"),AE508,IF(OR(UPPER(E508)="SPRZEDAŻ",UPPER(E508)="ZUŻYCIE"),-AE508,0)))))</f>
        <v/>
      </c>
      <c r="AI508" s="20">
        <f>IF(UPPER(AD508)="SKORYGOWANY",0,IF(OR(UPPER(E508)="TRANSPORT",UPPER(E508)="MM"),0,IF(UPPER(G508)&lt;&gt;"TAK",0,IF(OR(UPPER(E508)="ZAKUP",UPPER(E508)="PRODUKCJA"),AF508,IF(OR(UPPER(E508)="SPRZEDAŻ",UPPER(E508)="ZUŻYCIE"),-AF508,0)))))</f>
        <v/>
      </c>
      <c r="AJ508" s="21">
        <f>IF(UPPER(AD508)="SKORYGOWANY",0,IF(UPPER(E508)="ZAKUP",IF(L508&lt;&gt;"",L508,I508*K508),0))</f>
        <v/>
      </c>
      <c r="AK508" s="21">
        <f>IF(UPPER(AD508)="SKORYGOWANY",0,IF(UPPER(E508)="SPRZEDAŻ",IF(L508&lt;&gt;"",L508,I508*M508),0))</f>
        <v/>
      </c>
      <c r="AL508" s="21">
        <f>AE508*Q508</f>
        <v/>
      </c>
      <c r="AM508">
        <f>IF(R508="","",IF(LOWER(R508)="brak","Brak",IF(OR(ISNUMBER(SEARCH("własn",LOWER(R508))),ISNUMBER(SEARCH("wlasn",LOWER(R508))),ISNUMBER(SEARCH("wojciechowski",LOWER(R508)))),"Własny","Zewnętrzny")))</f>
        <v/>
      </c>
      <c r="AN508" s="24">
        <f>IF(C508="","",YEAR(C508))</f>
        <v/>
      </c>
      <c r="AO508" s="24">
        <f>IF(C508="","",MONTH(C508))</f>
        <v/>
      </c>
      <c r="AP508">
        <f>IF(C508="","",UPPER(TEXT(C508,"mmmm")))</f>
        <v/>
      </c>
      <c r="AQ508">
        <f>IF(C508="","","Q"&amp;ROUNDUP(MONTH(C508)/3,0))</f>
        <v/>
      </c>
    </row>
    <row r="509">
      <c r="A509" s="19" t="n">
        <v>46260</v>
      </c>
      <c r="B509" t="inlineStr">
        <is>
          <t>Magazyn Zabrze</t>
        </is>
      </c>
      <c r="C509" s="19" t="n">
        <v>46260</v>
      </c>
      <c r="D509" t="inlineStr">
        <is>
          <t>Magazyn Zabrze</t>
        </is>
      </c>
      <c r="E509" t="inlineStr">
        <is>
          <t>SPRZEDAŻ</t>
        </is>
      </c>
      <c r="F509" t="inlineStr">
        <is>
          <t>WZ-20</t>
        </is>
      </c>
      <c r="G509" t="inlineStr">
        <is>
          <t>TAK</t>
        </is>
      </c>
      <c r="H509" t="inlineStr">
        <is>
          <t>KZR</t>
        </is>
      </c>
      <c r="I509" s="20" t="n">
        <v>90</v>
      </c>
      <c r="J509" t="inlineStr">
        <is>
          <t>MP</t>
        </is>
      </c>
      <c r="K509" s="21" t="n">
        <v>0</v>
      </c>
      <c r="L509" s="21" t="n">
        <v>0</v>
      </c>
      <c r="M509" s="21" t="n">
        <v>0</v>
      </c>
      <c r="N509" t="inlineStr">
        <is>
          <t>Zrębka Produkcyjna Leśna</t>
        </is>
      </c>
      <c r="O509" t="inlineStr">
        <is>
          <t>B</t>
        </is>
      </c>
      <c r="Q509" s="21" t="n">
        <v>0</v>
      </c>
      <c r="R509" t="inlineStr">
        <is>
          <t>własny (Wilczak)</t>
        </is>
      </c>
      <c r="S509" t="inlineStr">
        <is>
          <t>SK 7J885</t>
        </is>
      </c>
      <c r="T509" s="22" t="n">
        <v>107</v>
      </c>
      <c r="U509" s="21" t="n">
        <v>5</v>
      </c>
      <c r="V509" s="21" t="n">
        <v>535</v>
      </c>
      <c r="W509" t="inlineStr">
        <is>
          <t>Re Alloys, Łaziska</t>
        </is>
      </c>
      <c r="Z509" t="inlineStr">
        <is>
          <t>Roesner Mateusz</t>
        </is>
      </c>
      <c r="AA509" s="23" t="n">
        <v>46262.40640046296</v>
      </c>
      <c r="AB509" t="inlineStr">
        <is>
          <t>OP-MIGR-00508</t>
        </is>
      </c>
      <c r="AD509" t="inlineStr">
        <is>
          <t>AKTYWNY</t>
        </is>
      </c>
      <c r="AE509" s="20">
        <f>IF(I509="",0,IF(ISNUMBER(SEARCH("MP",UPPER(J509))),I509,IF(ISNUMBER(SEARCH("TON",UPPER(J509))),I509/Przelicznik_MP_tona,IF(ISNUMBER(SEARCH("M3",UPPER(J509))),I509*Przelicznik_M3_MP,IF(ISNUMBER(SEARCH("GJ",UPPER(J509))),I509/Przelicznik_GJ_tona/Przelicznik_MP_tona,I509)))))</f>
        <v/>
      </c>
      <c r="AF509" s="20">
        <f>IF(I509="",0,IF(ISNUMBER(SEARCH("TON",UPPER(J509))),I509,IF(ISNUMBER(SEARCH("GJ",UPPER(J509))),I509/Przelicznik_GJ_tona,AE509*Przelicznik_MP_tona)))</f>
        <v/>
      </c>
      <c r="AG509" s="20">
        <f>AF509*Przelicznik_GJ_tona</f>
        <v/>
      </c>
      <c r="AH509" s="20">
        <f>IF(UPPER(AD509)="SKORYGOWANY",0,IF(OR(UPPER(E509)="TRANSPORT",UPPER(E509)="MM"),0,IF(UPPER(G509)&lt;&gt;"TAK",0,IF(OR(UPPER(E509)="ZAKUP",UPPER(E509)="PRODUKCJA"),AE509,IF(OR(UPPER(E509)="SPRZEDAŻ",UPPER(E509)="ZUŻYCIE"),-AE509,0)))))</f>
        <v/>
      </c>
      <c r="AI509" s="20">
        <f>IF(UPPER(AD509)="SKORYGOWANY",0,IF(OR(UPPER(E509)="TRANSPORT",UPPER(E509)="MM"),0,IF(UPPER(G509)&lt;&gt;"TAK",0,IF(OR(UPPER(E509)="ZAKUP",UPPER(E509)="PRODUKCJA"),AF509,IF(OR(UPPER(E509)="SPRZEDAŻ",UPPER(E509)="ZUŻYCIE"),-AF509,0)))))</f>
        <v/>
      </c>
      <c r="AJ509" s="21">
        <f>IF(UPPER(AD509)="SKORYGOWANY",0,IF(UPPER(E509)="ZAKUP",IF(L509&lt;&gt;"",L509,I509*K509),0))</f>
        <v/>
      </c>
      <c r="AK509" s="21">
        <f>IF(UPPER(AD509)="SKORYGOWANY",0,IF(UPPER(E509)="SPRZEDAŻ",IF(L509&lt;&gt;"",L509,I509*M509),0))</f>
        <v/>
      </c>
      <c r="AL509" s="21">
        <f>AE509*Q509</f>
        <v/>
      </c>
      <c r="AM509">
        <f>IF(R509="","",IF(LOWER(R509)="brak","Brak",IF(OR(ISNUMBER(SEARCH("własn",LOWER(R509))),ISNUMBER(SEARCH("wlasn",LOWER(R509))),ISNUMBER(SEARCH("wojciechowski",LOWER(R509)))),"Własny","Zewnętrzny")))</f>
        <v/>
      </c>
      <c r="AN509" s="24">
        <f>IF(C509="","",YEAR(C509))</f>
        <v/>
      </c>
      <c r="AO509" s="24">
        <f>IF(C509="","",MONTH(C509))</f>
        <v/>
      </c>
      <c r="AP509">
        <f>IF(C509="","",UPPER(TEXT(C509,"mmmm")))</f>
        <v/>
      </c>
      <c r="AQ509">
        <f>IF(C509="","","Q"&amp;ROUNDUP(MONTH(C509)/3,0))</f>
        <v/>
      </c>
    </row>
    <row r="510">
      <c r="A510" s="19" t="n">
        <v>46260</v>
      </c>
      <c r="B510" t="inlineStr">
        <is>
          <t>Magazyn Zabrze</t>
        </is>
      </c>
      <c r="C510" s="19" t="n">
        <v>46260</v>
      </c>
      <c r="D510" t="inlineStr">
        <is>
          <t>Magazyn Zabrze</t>
        </is>
      </c>
      <c r="E510" t="inlineStr">
        <is>
          <t>SPRZEDAŻ</t>
        </is>
      </c>
      <c r="F510" t="inlineStr">
        <is>
          <t>WZ-21</t>
        </is>
      </c>
      <c r="G510" t="inlineStr">
        <is>
          <t>TAK</t>
        </is>
      </c>
      <c r="H510" t="inlineStr">
        <is>
          <t>KZR</t>
        </is>
      </c>
      <c r="I510" s="20" t="n">
        <v>90</v>
      </c>
      <c r="J510" t="inlineStr">
        <is>
          <t>MP</t>
        </is>
      </c>
      <c r="K510" s="21" t="n">
        <v>0</v>
      </c>
      <c r="L510" s="21" t="n">
        <v>0</v>
      </c>
      <c r="M510" s="21" t="n">
        <v>0</v>
      </c>
      <c r="N510" t="inlineStr">
        <is>
          <t>Zrębka Produkcyjna Leśna</t>
        </is>
      </c>
      <c r="O510" t="inlineStr">
        <is>
          <t>B</t>
        </is>
      </c>
      <c r="Q510" s="21" t="n">
        <v>0</v>
      </c>
      <c r="R510" t="inlineStr">
        <is>
          <t>własny (Chrzan)</t>
        </is>
      </c>
      <c r="S510" t="inlineStr">
        <is>
          <t>SK 5L809</t>
        </is>
      </c>
      <c r="T510" s="22" t="n">
        <v>107</v>
      </c>
      <c r="U510" s="21" t="n">
        <v>5</v>
      </c>
      <c r="V510" s="21" t="n">
        <v>535</v>
      </c>
      <c r="W510" t="inlineStr">
        <is>
          <t>Re Alloys, Łaziska</t>
        </is>
      </c>
      <c r="Z510" t="inlineStr">
        <is>
          <t>Roesner Mateusz</t>
        </is>
      </c>
      <c r="AA510" s="23" t="n">
        <v>46262.40717592592</v>
      </c>
      <c r="AB510" t="inlineStr">
        <is>
          <t>OP-MIGR-00509</t>
        </is>
      </c>
      <c r="AD510" t="inlineStr">
        <is>
          <t>AKTYWNY</t>
        </is>
      </c>
      <c r="AE510" s="20">
        <f>IF(I510="",0,IF(ISNUMBER(SEARCH("MP",UPPER(J510))),I510,IF(ISNUMBER(SEARCH("TON",UPPER(J510))),I510/Przelicznik_MP_tona,IF(ISNUMBER(SEARCH("M3",UPPER(J510))),I510*Przelicznik_M3_MP,IF(ISNUMBER(SEARCH("GJ",UPPER(J510))),I510/Przelicznik_GJ_tona/Przelicznik_MP_tona,I510)))))</f>
        <v/>
      </c>
      <c r="AF510" s="20">
        <f>IF(I510="",0,IF(ISNUMBER(SEARCH("TON",UPPER(J510))),I510,IF(ISNUMBER(SEARCH("GJ",UPPER(J510))),I510/Przelicznik_GJ_tona,AE510*Przelicznik_MP_tona)))</f>
        <v/>
      </c>
      <c r="AG510" s="20">
        <f>AF510*Przelicznik_GJ_tona</f>
        <v/>
      </c>
      <c r="AH510" s="20">
        <f>IF(UPPER(AD510)="SKORYGOWANY",0,IF(OR(UPPER(E510)="TRANSPORT",UPPER(E510)="MM"),0,IF(UPPER(G510)&lt;&gt;"TAK",0,IF(OR(UPPER(E510)="ZAKUP",UPPER(E510)="PRODUKCJA"),AE510,IF(OR(UPPER(E510)="SPRZEDAŻ",UPPER(E510)="ZUŻYCIE"),-AE510,0)))))</f>
        <v/>
      </c>
      <c r="AI510" s="20">
        <f>IF(UPPER(AD510)="SKORYGOWANY",0,IF(OR(UPPER(E510)="TRANSPORT",UPPER(E510)="MM"),0,IF(UPPER(G510)&lt;&gt;"TAK",0,IF(OR(UPPER(E510)="ZAKUP",UPPER(E510)="PRODUKCJA"),AF510,IF(OR(UPPER(E510)="SPRZEDAŻ",UPPER(E510)="ZUŻYCIE"),-AF510,0)))))</f>
        <v/>
      </c>
      <c r="AJ510" s="21">
        <f>IF(UPPER(AD510)="SKORYGOWANY",0,IF(UPPER(E510)="ZAKUP",IF(L510&lt;&gt;"",L510,I510*K510),0))</f>
        <v/>
      </c>
      <c r="AK510" s="21">
        <f>IF(UPPER(AD510)="SKORYGOWANY",0,IF(UPPER(E510)="SPRZEDAŻ",IF(L510&lt;&gt;"",L510,I510*M510),0))</f>
        <v/>
      </c>
      <c r="AL510" s="21">
        <f>AE510*Q510</f>
        <v/>
      </c>
      <c r="AM510">
        <f>IF(R510="","",IF(LOWER(R510)="brak","Brak",IF(OR(ISNUMBER(SEARCH("własn",LOWER(R510))),ISNUMBER(SEARCH("wlasn",LOWER(R510))),ISNUMBER(SEARCH("wojciechowski",LOWER(R510)))),"Własny","Zewnętrzny")))</f>
        <v/>
      </c>
      <c r="AN510" s="24">
        <f>IF(C510="","",YEAR(C510))</f>
        <v/>
      </c>
      <c r="AO510" s="24">
        <f>IF(C510="","",MONTH(C510))</f>
        <v/>
      </c>
      <c r="AP510">
        <f>IF(C510="","",UPPER(TEXT(C510,"mmmm")))</f>
        <v/>
      </c>
      <c r="AQ510">
        <f>IF(C510="","","Q"&amp;ROUNDUP(MONTH(C510)/3,0))</f>
        <v/>
      </c>
    </row>
    <row r="511">
      <c r="A511" s="19" t="n">
        <v>46260</v>
      </c>
      <c r="C511" s="19" t="n">
        <v>46260</v>
      </c>
      <c r="D511" t="inlineStr">
        <is>
          <t>Walber</t>
        </is>
      </c>
      <c r="E511" t="inlineStr">
        <is>
          <t>ZAKUP</t>
        </is>
      </c>
      <c r="F511" t="inlineStr">
        <is>
          <t>PZ/106</t>
        </is>
      </c>
      <c r="G511" t="inlineStr">
        <is>
          <t>TAK</t>
        </is>
      </c>
      <c r="H511" t="inlineStr">
        <is>
          <t>KZR</t>
        </is>
      </c>
      <c r="I511" s="20" t="n">
        <v>92</v>
      </c>
      <c r="J511" t="inlineStr">
        <is>
          <t>MP</t>
        </is>
      </c>
      <c r="K511" s="21" t="n">
        <v>105</v>
      </c>
      <c r="L511" s="21" t="n">
        <v>9660</v>
      </c>
      <c r="M511" s="21" t="n">
        <v>0</v>
      </c>
      <c r="N511" t="inlineStr">
        <is>
          <t>Zrębka towar</t>
        </is>
      </c>
      <c r="Q511" s="21" t="n">
        <v>0</v>
      </c>
      <c r="T511" s="22" t="n">
        <v>0</v>
      </c>
      <c r="U511" s="21" t="n">
        <v>0</v>
      </c>
      <c r="V511" s="21" t="n">
        <v>0</v>
      </c>
      <c r="W511" t="inlineStr">
        <is>
          <t>Magazyn Zabrze</t>
        </is>
      </c>
      <c r="Z511" t="inlineStr">
        <is>
          <t>Roesner Mateusz</t>
        </is>
      </c>
      <c r="AA511" s="23" t="n">
        <v>46262.41023148148</v>
      </c>
      <c r="AB511" t="inlineStr">
        <is>
          <t>OP-MIGR-00510</t>
        </is>
      </c>
      <c r="AD511" t="inlineStr">
        <is>
          <t>AKTYWNY</t>
        </is>
      </c>
      <c r="AE511" s="20">
        <f>IF(I511="",0,IF(ISNUMBER(SEARCH("MP",UPPER(J511))),I511,IF(ISNUMBER(SEARCH("TON",UPPER(J511))),I511/Przelicznik_MP_tona,IF(ISNUMBER(SEARCH("M3",UPPER(J511))),I511*Przelicznik_M3_MP,IF(ISNUMBER(SEARCH("GJ",UPPER(J511))),I511/Przelicznik_GJ_tona/Przelicznik_MP_tona,I511)))))</f>
        <v/>
      </c>
      <c r="AF511" s="20">
        <f>IF(I511="",0,IF(ISNUMBER(SEARCH("TON",UPPER(J511))),I511,IF(ISNUMBER(SEARCH("GJ",UPPER(J511))),I511/Przelicznik_GJ_tona,AE511*Przelicznik_MP_tona)))</f>
        <v/>
      </c>
      <c r="AG511" s="20">
        <f>AF511*Przelicznik_GJ_tona</f>
        <v/>
      </c>
      <c r="AH511" s="20">
        <f>IF(UPPER(AD511)="SKORYGOWANY",0,IF(OR(UPPER(E511)="TRANSPORT",UPPER(E511)="MM"),0,IF(UPPER(G511)&lt;&gt;"TAK",0,IF(OR(UPPER(E511)="ZAKUP",UPPER(E511)="PRODUKCJA"),AE511,IF(OR(UPPER(E511)="SPRZEDAŻ",UPPER(E511)="ZUŻYCIE"),-AE511,0)))))</f>
        <v/>
      </c>
      <c r="AI511" s="20">
        <f>IF(UPPER(AD511)="SKORYGOWANY",0,IF(OR(UPPER(E511)="TRANSPORT",UPPER(E511)="MM"),0,IF(UPPER(G511)&lt;&gt;"TAK",0,IF(OR(UPPER(E511)="ZAKUP",UPPER(E511)="PRODUKCJA"),AF511,IF(OR(UPPER(E511)="SPRZEDAŻ",UPPER(E511)="ZUŻYCIE"),-AF511,0)))))</f>
        <v/>
      </c>
      <c r="AJ511" s="21">
        <f>IF(UPPER(AD511)="SKORYGOWANY",0,IF(UPPER(E511)="ZAKUP",IF(L511&lt;&gt;"",L511,I511*K511),0))</f>
        <v/>
      </c>
      <c r="AK511" s="21">
        <f>IF(UPPER(AD511)="SKORYGOWANY",0,IF(UPPER(E511)="SPRZEDAŻ",IF(L511&lt;&gt;"",L511,I511*M511),0))</f>
        <v/>
      </c>
      <c r="AL511" s="21">
        <f>AE511*Q511</f>
        <v/>
      </c>
      <c r="AM511">
        <f>IF(R511="","",IF(LOWER(R511)="brak","Brak",IF(OR(ISNUMBER(SEARCH("własn",LOWER(R511))),ISNUMBER(SEARCH("wlasn",LOWER(R511))),ISNUMBER(SEARCH("wojciechowski",LOWER(R511)))),"Własny","Zewnętrzny")))</f>
        <v/>
      </c>
      <c r="AN511" s="24">
        <f>IF(C511="","",YEAR(C511))</f>
        <v/>
      </c>
      <c r="AO511" s="24">
        <f>IF(C511="","",MONTH(C511))</f>
        <v/>
      </c>
      <c r="AP511">
        <f>IF(C511="","",UPPER(TEXT(C511,"mmmm")))</f>
        <v/>
      </c>
      <c r="AQ511">
        <f>IF(C511="","","Q"&amp;ROUNDUP(MONTH(C511)/3,0))</f>
        <v/>
      </c>
    </row>
    <row r="512">
      <c r="A512" s="19" t="n">
        <v>46260</v>
      </c>
      <c r="C512" s="19" t="n">
        <v>46260</v>
      </c>
      <c r="D512" t="inlineStr">
        <is>
          <t>Walber</t>
        </is>
      </c>
      <c r="E512" t="inlineStr">
        <is>
          <t>ZAKUP</t>
        </is>
      </c>
      <c r="F512" t="inlineStr">
        <is>
          <t>PZ/107</t>
        </is>
      </c>
      <c r="G512" t="inlineStr">
        <is>
          <t>TAK</t>
        </is>
      </c>
      <c r="H512" t="inlineStr">
        <is>
          <t>KZR</t>
        </is>
      </c>
      <c r="I512" s="20" t="n">
        <v>92</v>
      </c>
      <c r="J512" t="inlineStr">
        <is>
          <t>MP</t>
        </is>
      </c>
      <c r="K512" s="21" t="n">
        <v>105</v>
      </c>
      <c r="L512" s="21" t="n">
        <v>9660</v>
      </c>
      <c r="M512" s="21" t="n">
        <v>0</v>
      </c>
      <c r="N512" t="inlineStr">
        <is>
          <t>Zrębka towar</t>
        </is>
      </c>
      <c r="Q512" s="21" t="n">
        <v>0</v>
      </c>
      <c r="T512" s="22" t="n">
        <v>0</v>
      </c>
      <c r="U512" s="21" t="n">
        <v>0</v>
      </c>
      <c r="V512" s="21" t="n">
        <v>0</v>
      </c>
      <c r="W512" t="inlineStr">
        <is>
          <t>Magazyn Zabrze</t>
        </is>
      </c>
      <c r="Z512" t="inlineStr">
        <is>
          <t>Roesner Mateusz</t>
        </is>
      </c>
      <c r="AA512" s="23" t="n">
        <v>46262.41106481481</v>
      </c>
      <c r="AB512" t="inlineStr">
        <is>
          <t>OP-MIGR-00511</t>
        </is>
      </c>
      <c r="AD512" t="inlineStr">
        <is>
          <t>AKTYWNY</t>
        </is>
      </c>
      <c r="AE512" s="20">
        <f>IF(I512="",0,IF(ISNUMBER(SEARCH("MP",UPPER(J512))),I512,IF(ISNUMBER(SEARCH("TON",UPPER(J512))),I512/Przelicznik_MP_tona,IF(ISNUMBER(SEARCH("M3",UPPER(J512))),I512*Przelicznik_M3_MP,IF(ISNUMBER(SEARCH("GJ",UPPER(J512))),I512/Przelicznik_GJ_tona/Przelicznik_MP_tona,I512)))))</f>
        <v/>
      </c>
      <c r="AF512" s="20">
        <f>IF(I512="",0,IF(ISNUMBER(SEARCH("TON",UPPER(J512))),I512,IF(ISNUMBER(SEARCH("GJ",UPPER(J512))),I512/Przelicznik_GJ_tona,AE512*Przelicznik_MP_tona)))</f>
        <v/>
      </c>
      <c r="AG512" s="20">
        <f>AF512*Przelicznik_GJ_tona</f>
        <v/>
      </c>
      <c r="AH512" s="20">
        <f>IF(UPPER(AD512)="SKORYGOWANY",0,IF(OR(UPPER(E512)="TRANSPORT",UPPER(E512)="MM"),0,IF(UPPER(G512)&lt;&gt;"TAK",0,IF(OR(UPPER(E512)="ZAKUP",UPPER(E512)="PRODUKCJA"),AE512,IF(OR(UPPER(E512)="SPRZEDAŻ",UPPER(E512)="ZUŻYCIE"),-AE512,0)))))</f>
        <v/>
      </c>
      <c r="AI512" s="20">
        <f>IF(UPPER(AD512)="SKORYGOWANY",0,IF(OR(UPPER(E512)="TRANSPORT",UPPER(E512)="MM"),0,IF(UPPER(G512)&lt;&gt;"TAK",0,IF(OR(UPPER(E512)="ZAKUP",UPPER(E512)="PRODUKCJA"),AF512,IF(OR(UPPER(E512)="SPRZEDAŻ",UPPER(E512)="ZUŻYCIE"),-AF512,0)))))</f>
        <v/>
      </c>
      <c r="AJ512" s="21">
        <f>IF(UPPER(AD512)="SKORYGOWANY",0,IF(UPPER(E512)="ZAKUP",IF(L512&lt;&gt;"",L512,I512*K512),0))</f>
        <v/>
      </c>
      <c r="AK512" s="21">
        <f>IF(UPPER(AD512)="SKORYGOWANY",0,IF(UPPER(E512)="SPRZEDAŻ",IF(L512&lt;&gt;"",L512,I512*M512),0))</f>
        <v/>
      </c>
      <c r="AL512" s="21">
        <f>AE512*Q512</f>
        <v/>
      </c>
      <c r="AM512">
        <f>IF(R512="","",IF(LOWER(R512)="brak","Brak",IF(OR(ISNUMBER(SEARCH("własn",LOWER(R512))),ISNUMBER(SEARCH("wlasn",LOWER(R512))),ISNUMBER(SEARCH("wojciechowski",LOWER(R512)))),"Własny","Zewnętrzny")))</f>
        <v/>
      </c>
      <c r="AN512" s="24">
        <f>IF(C512="","",YEAR(C512))</f>
        <v/>
      </c>
      <c r="AO512" s="24">
        <f>IF(C512="","",MONTH(C512))</f>
        <v/>
      </c>
      <c r="AP512">
        <f>IF(C512="","",UPPER(TEXT(C512,"mmmm")))</f>
        <v/>
      </c>
      <c r="AQ512">
        <f>IF(C512="","","Q"&amp;ROUNDUP(MONTH(C512)/3,0))</f>
        <v/>
      </c>
    </row>
    <row r="513">
      <c r="A513" s="19" t="n">
        <v>46260</v>
      </c>
      <c r="C513" s="19" t="n">
        <v>46260</v>
      </c>
      <c r="D513" t="inlineStr">
        <is>
          <t>Walber</t>
        </is>
      </c>
      <c r="E513" t="inlineStr">
        <is>
          <t>ZAKUP</t>
        </is>
      </c>
      <c r="F513" t="inlineStr">
        <is>
          <t>PZ/108</t>
        </is>
      </c>
      <c r="G513" t="inlineStr">
        <is>
          <t>TAK</t>
        </is>
      </c>
      <c r="H513" t="inlineStr">
        <is>
          <t>KZR</t>
        </is>
      </c>
      <c r="I513" s="20" t="n">
        <v>92</v>
      </c>
      <c r="J513" t="inlineStr">
        <is>
          <t>MP</t>
        </is>
      </c>
      <c r="K513" s="21" t="n">
        <v>105</v>
      </c>
      <c r="L513" s="21" t="n">
        <v>9660</v>
      </c>
      <c r="M513" s="21" t="n">
        <v>0</v>
      </c>
      <c r="N513" t="inlineStr">
        <is>
          <t>Zrębka towar</t>
        </is>
      </c>
      <c r="Q513" s="21" t="n">
        <v>0</v>
      </c>
      <c r="T513" s="22" t="n">
        <v>0</v>
      </c>
      <c r="U513" s="21" t="n">
        <v>0</v>
      </c>
      <c r="V513" s="21" t="n">
        <v>0</v>
      </c>
      <c r="W513" t="inlineStr">
        <is>
          <t>Magazyn Zabrze</t>
        </is>
      </c>
      <c r="Z513" t="inlineStr">
        <is>
          <t>Roesner Mateusz</t>
        </is>
      </c>
      <c r="AA513" s="23" t="n">
        <v>46262.436875</v>
      </c>
      <c r="AB513" t="inlineStr">
        <is>
          <t>OP-MIGR-00512</t>
        </is>
      </c>
      <c r="AD513" t="inlineStr">
        <is>
          <t>AKTYWNY</t>
        </is>
      </c>
      <c r="AE513" s="20">
        <f>IF(I513="",0,IF(ISNUMBER(SEARCH("MP",UPPER(J513))),I513,IF(ISNUMBER(SEARCH("TON",UPPER(J513))),I513/Przelicznik_MP_tona,IF(ISNUMBER(SEARCH("M3",UPPER(J513))),I513*Przelicznik_M3_MP,IF(ISNUMBER(SEARCH("GJ",UPPER(J513))),I513/Przelicznik_GJ_tona/Przelicznik_MP_tona,I513)))))</f>
        <v/>
      </c>
      <c r="AF513" s="20">
        <f>IF(I513="",0,IF(ISNUMBER(SEARCH("TON",UPPER(J513))),I513,IF(ISNUMBER(SEARCH("GJ",UPPER(J513))),I513/Przelicznik_GJ_tona,AE513*Przelicznik_MP_tona)))</f>
        <v/>
      </c>
      <c r="AG513" s="20">
        <f>AF513*Przelicznik_GJ_tona</f>
        <v/>
      </c>
      <c r="AH513" s="20">
        <f>IF(UPPER(AD513)="SKORYGOWANY",0,IF(OR(UPPER(E513)="TRANSPORT",UPPER(E513)="MM"),0,IF(UPPER(G513)&lt;&gt;"TAK",0,IF(OR(UPPER(E513)="ZAKUP",UPPER(E513)="PRODUKCJA"),AE513,IF(OR(UPPER(E513)="SPRZEDAŻ",UPPER(E513)="ZUŻYCIE"),-AE513,0)))))</f>
        <v/>
      </c>
      <c r="AI513" s="20">
        <f>IF(UPPER(AD513)="SKORYGOWANY",0,IF(OR(UPPER(E513)="TRANSPORT",UPPER(E513)="MM"),0,IF(UPPER(G513)&lt;&gt;"TAK",0,IF(OR(UPPER(E513)="ZAKUP",UPPER(E513)="PRODUKCJA"),AF513,IF(OR(UPPER(E513)="SPRZEDAŻ",UPPER(E513)="ZUŻYCIE"),-AF513,0)))))</f>
        <v/>
      </c>
      <c r="AJ513" s="21">
        <f>IF(UPPER(AD513)="SKORYGOWANY",0,IF(UPPER(E513)="ZAKUP",IF(L513&lt;&gt;"",L513,I513*K513),0))</f>
        <v/>
      </c>
      <c r="AK513" s="21">
        <f>IF(UPPER(AD513)="SKORYGOWANY",0,IF(UPPER(E513)="SPRZEDAŻ",IF(L513&lt;&gt;"",L513,I513*M513),0))</f>
        <v/>
      </c>
      <c r="AL513" s="21">
        <f>AE513*Q513</f>
        <v/>
      </c>
      <c r="AM513">
        <f>IF(R513="","",IF(LOWER(R513)="brak","Brak",IF(OR(ISNUMBER(SEARCH("własn",LOWER(R513))),ISNUMBER(SEARCH("wlasn",LOWER(R513))),ISNUMBER(SEARCH("wojciechowski",LOWER(R513)))),"Własny","Zewnętrzny")))</f>
        <v/>
      </c>
      <c r="AN513" s="24">
        <f>IF(C513="","",YEAR(C513))</f>
        <v/>
      </c>
      <c r="AO513" s="24">
        <f>IF(C513="","",MONTH(C513))</f>
        <v/>
      </c>
      <c r="AP513">
        <f>IF(C513="","",UPPER(TEXT(C513,"mmmm")))</f>
        <v/>
      </c>
      <c r="AQ513">
        <f>IF(C513="","","Q"&amp;ROUNDUP(MONTH(C513)/3,0))</f>
        <v/>
      </c>
    </row>
    <row r="514">
      <c r="A514" s="19" t="n">
        <v>46260</v>
      </c>
      <c r="C514" s="19" t="n">
        <v>46260</v>
      </c>
      <c r="D514" t="inlineStr">
        <is>
          <t>Walber</t>
        </is>
      </c>
      <c r="E514" t="inlineStr">
        <is>
          <t>ZAKUP</t>
        </is>
      </c>
      <c r="F514" t="inlineStr">
        <is>
          <t>PZ/109</t>
        </is>
      </c>
      <c r="G514" t="inlineStr">
        <is>
          <t>TAK</t>
        </is>
      </c>
      <c r="H514" t="inlineStr">
        <is>
          <t>KZR</t>
        </is>
      </c>
      <c r="I514" s="20" t="n">
        <v>92</v>
      </c>
      <c r="J514" t="inlineStr">
        <is>
          <t>MP</t>
        </is>
      </c>
      <c r="K514" s="21" t="n">
        <v>105</v>
      </c>
      <c r="L514" s="21" t="n">
        <v>9660</v>
      </c>
      <c r="M514" s="21" t="n">
        <v>0</v>
      </c>
      <c r="N514" t="inlineStr">
        <is>
          <t>Zrębka towar</t>
        </is>
      </c>
      <c r="Q514" s="21" t="n">
        <v>0</v>
      </c>
      <c r="T514" s="22" t="n">
        <v>0</v>
      </c>
      <c r="U514" s="21" t="n">
        <v>0</v>
      </c>
      <c r="V514" s="21" t="n">
        <v>0</v>
      </c>
      <c r="W514" t="inlineStr">
        <is>
          <t>Magazyn Zabrze</t>
        </is>
      </c>
      <c r="Z514" t="inlineStr">
        <is>
          <t>Roesner Mateusz</t>
        </is>
      </c>
      <c r="AA514" s="23" t="n">
        <v>46262.4374537037</v>
      </c>
      <c r="AB514" t="inlineStr">
        <is>
          <t>OP-MIGR-00513</t>
        </is>
      </c>
      <c r="AD514" t="inlineStr">
        <is>
          <t>AKTYWNY</t>
        </is>
      </c>
      <c r="AE514" s="20">
        <f>IF(I514="",0,IF(ISNUMBER(SEARCH("MP",UPPER(J514))),I514,IF(ISNUMBER(SEARCH("TON",UPPER(J514))),I514/Przelicznik_MP_tona,IF(ISNUMBER(SEARCH("M3",UPPER(J514))),I514*Przelicznik_M3_MP,IF(ISNUMBER(SEARCH("GJ",UPPER(J514))),I514/Przelicznik_GJ_tona/Przelicznik_MP_tona,I514)))))</f>
        <v/>
      </c>
      <c r="AF514" s="20">
        <f>IF(I514="",0,IF(ISNUMBER(SEARCH("TON",UPPER(J514))),I514,IF(ISNUMBER(SEARCH("GJ",UPPER(J514))),I514/Przelicznik_GJ_tona,AE514*Przelicznik_MP_tona)))</f>
        <v/>
      </c>
      <c r="AG514" s="20">
        <f>AF514*Przelicznik_GJ_tona</f>
        <v/>
      </c>
      <c r="AH514" s="20">
        <f>IF(UPPER(AD514)="SKORYGOWANY",0,IF(OR(UPPER(E514)="TRANSPORT",UPPER(E514)="MM"),0,IF(UPPER(G514)&lt;&gt;"TAK",0,IF(OR(UPPER(E514)="ZAKUP",UPPER(E514)="PRODUKCJA"),AE514,IF(OR(UPPER(E514)="SPRZEDAŻ",UPPER(E514)="ZUŻYCIE"),-AE514,0)))))</f>
        <v/>
      </c>
      <c r="AI514" s="20">
        <f>IF(UPPER(AD514)="SKORYGOWANY",0,IF(OR(UPPER(E514)="TRANSPORT",UPPER(E514)="MM"),0,IF(UPPER(G514)&lt;&gt;"TAK",0,IF(OR(UPPER(E514)="ZAKUP",UPPER(E514)="PRODUKCJA"),AF514,IF(OR(UPPER(E514)="SPRZEDAŻ",UPPER(E514)="ZUŻYCIE"),-AF514,0)))))</f>
        <v/>
      </c>
      <c r="AJ514" s="21">
        <f>IF(UPPER(AD514)="SKORYGOWANY",0,IF(UPPER(E514)="ZAKUP",IF(L514&lt;&gt;"",L514,I514*K514),0))</f>
        <v/>
      </c>
      <c r="AK514" s="21">
        <f>IF(UPPER(AD514)="SKORYGOWANY",0,IF(UPPER(E514)="SPRZEDAŻ",IF(L514&lt;&gt;"",L514,I514*M514),0))</f>
        <v/>
      </c>
      <c r="AL514" s="21">
        <f>AE514*Q514</f>
        <v/>
      </c>
      <c r="AM514">
        <f>IF(R514="","",IF(LOWER(R514)="brak","Brak",IF(OR(ISNUMBER(SEARCH("własn",LOWER(R514))),ISNUMBER(SEARCH("wlasn",LOWER(R514))),ISNUMBER(SEARCH("wojciechowski",LOWER(R514)))),"Własny","Zewnętrzny")))</f>
        <v/>
      </c>
      <c r="AN514" s="24">
        <f>IF(C514="","",YEAR(C514))</f>
        <v/>
      </c>
      <c r="AO514" s="24">
        <f>IF(C514="","",MONTH(C514))</f>
        <v/>
      </c>
      <c r="AP514">
        <f>IF(C514="","",UPPER(TEXT(C514,"mmmm")))</f>
        <v/>
      </c>
      <c r="AQ514">
        <f>IF(C514="","","Q"&amp;ROUNDUP(MONTH(C514)/3,0))</f>
        <v/>
      </c>
    </row>
    <row r="515">
      <c r="A515" s="19" t="n">
        <v>46261</v>
      </c>
      <c r="C515" s="19" t="n">
        <v>46261</v>
      </c>
      <c r="D515" t="inlineStr">
        <is>
          <t>Lander Agro</t>
        </is>
      </c>
      <c r="E515" t="inlineStr">
        <is>
          <t>ZAKUP</t>
        </is>
      </c>
      <c r="F515" t="inlineStr">
        <is>
          <t>PZ/43/D</t>
        </is>
      </c>
      <c r="G515" t="inlineStr">
        <is>
          <t>TAK</t>
        </is>
      </c>
      <c r="H515" t="inlineStr">
        <is>
          <t>KZR</t>
        </is>
      </c>
      <c r="I515" s="20" t="n">
        <v>30.3</v>
      </c>
      <c r="J515" t="inlineStr">
        <is>
          <t>M3</t>
        </is>
      </c>
      <c r="K515" s="21" t="n">
        <v>230</v>
      </c>
      <c r="L515" s="21" t="n">
        <v>6969</v>
      </c>
      <c r="M515" s="21" t="n">
        <v>0</v>
      </c>
      <c r="N515" t="inlineStr">
        <is>
          <t>Drewno opałowe z lasu</t>
        </is>
      </c>
      <c r="Q515" s="21" t="n">
        <v>0</v>
      </c>
      <c r="T515" s="22" t="n">
        <v>0</v>
      </c>
      <c r="U515" s="21" t="n">
        <v>0</v>
      </c>
      <c r="V515" s="21" t="n">
        <v>0</v>
      </c>
      <c r="W515" t="inlineStr">
        <is>
          <t>Magazyn Zabrze</t>
        </is>
      </c>
      <c r="Z515" t="inlineStr">
        <is>
          <t>Roesner Mateusz</t>
        </is>
      </c>
      <c r="AA515" s="23" t="n">
        <v>46262.41868055556</v>
      </c>
      <c r="AB515" t="inlineStr">
        <is>
          <t>OP-MIGR-00514</t>
        </is>
      </c>
      <c r="AD515" t="inlineStr">
        <is>
          <t>AKTYWNY</t>
        </is>
      </c>
      <c r="AE515" s="20">
        <f>IF(I515="",0,IF(ISNUMBER(SEARCH("MP",UPPER(J515))),I515,IF(ISNUMBER(SEARCH("TON",UPPER(J515))),I515/Przelicznik_MP_tona,IF(ISNUMBER(SEARCH("M3",UPPER(J515))),I515*Przelicznik_M3_MP,IF(ISNUMBER(SEARCH("GJ",UPPER(J515))),I515/Przelicznik_GJ_tona/Przelicznik_MP_tona,I515)))))</f>
        <v/>
      </c>
      <c r="AF515" s="20">
        <f>IF(I515="",0,IF(ISNUMBER(SEARCH("TON",UPPER(J515))),I515,IF(ISNUMBER(SEARCH("GJ",UPPER(J515))),I515/Przelicznik_GJ_tona,AE515*Przelicznik_MP_tona)))</f>
        <v/>
      </c>
      <c r="AG515" s="20">
        <f>AF515*Przelicznik_GJ_tona</f>
        <v/>
      </c>
      <c r="AH515" s="20">
        <f>IF(UPPER(AD515)="SKORYGOWANY",0,IF(OR(UPPER(E515)="TRANSPORT",UPPER(E515)="MM"),0,IF(UPPER(G515)&lt;&gt;"TAK",0,IF(OR(UPPER(E515)="ZAKUP",UPPER(E515)="PRODUKCJA"),AE515,IF(OR(UPPER(E515)="SPRZEDAŻ",UPPER(E515)="ZUŻYCIE"),-AE515,0)))))</f>
        <v/>
      </c>
      <c r="AI515" s="20">
        <f>IF(UPPER(AD515)="SKORYGOWANY",0,IF(OR(UPPER(E515)="TRANSPORT",UPPER(E515)="MM"),0,IF(UPPER(G515)&lt;&gt;"TAK",0,IF(OR(UPPER(E515)="ZAKUP",UPPER(E515)="PRODUKCJA"),AF515,IF(OR(UPPER(E515)="SPRZEDAŻ",UPPER(E515)="ZUŻYCIE"),-AF515,0)))))</f>
        <v/>
      </c>
      <c r="AJ515" s="21">
        <f>IF(UPPER(AD515)="SKORYGOWANY",0,IF(UPPER(E515)="ZAKUP",IF(L515&lt;&gt;"",L515,I515*K515),0))</f>
        <v/>
      </c>
      <c r="AK515" s="21">
        <f>IF(UPPER(AD515)="SKORYGOWANY",0,IF(UPPER(E515)="SPRZEDAŻ",IF(L515&lt;&gt;"",L515,I515*M515),0))</f>
        <v/>
      </c>
      <c r="AL515" s="21">
        <f>AE515*Q515</f>
        <v/>
      </c>
      <c r="AM515">
        <f>IF(R515="","",IF(LOWER(R515)="brak","Brak",IF(OR(ISNUMBER(SEARCH("własn",LOWER(R515))),ISNUMBER(SEARCH("wlasn",LOWER(R515))),ISNUMBER(SEARCH("wojciechowski",LOWER(R515)))),"Własny","Zewnętrzny")))</f>
        <v/>
      </c>
      <c r="AN515" s="24">
        <f>IF(C515="","",YEAR(C515))</f>
        <v/>
      </c>
      <c r="AO515" s="24">
        <f>IF(C515="","",MONTH(C515))</f>
        <v/>
      </c>
      <c r="AP515">
        <f>IF(C515="","",UPPER(TEXT(C515,"mmmm")))</f>
        <v/>
      </c>
      <c r="AQ515">
        <f>IF(C515="","","Q"&amp;ROUNDUP(MONTH(C515)/3,0))</f>
        <v/>
      </c>
    </row>
    <row r="516">
      <c r="A516" s="19" t="n">
        <v>46261</v>
      </c>
      <c r="C516" s="19" t="n">
        <v>46261</v>
      </c>
      <c r="D516" t="inlineStr">
        <is>
          <t>NDL Strzelce Op, Leśnictwo Spórok</t>
        </is>
      </c>
      <c r="E516" t="inlineStr">
        <is>
          <t>ZAKUP</t>
        </is>
      </c>
      <c r="F516" t="inlineStr">
        <is>
          <t>PZ/110  3/202638592/1129</t>
        </is>
      </c>
      <c r="G516" t="inlineStr">
        <is>
          <t>TAK</t>
        </is>
      </c>
      <c r="H516" t="inlineStr">
        <is>
          <t>Deklaracja</t>
        </is>
      </c>
      <c r="I516" s="20" t="n">
        <v>20.5</v>
      </c>
      <c r="J516" t="inlineStr">
        <is>
          <t>M3</t>
        </is>
      </c>
      <c r="K516" s="21" t="n">
        <v>0</v>
      </c>
      <c r="L516" s="21" t="n">
        <v>0</v>
      </c>
      <c r="M516" s="21" t="n">
        <v>0</v>
      </c>
      <c r="N516" t="inlineStr">
        <is>
          <t>Drewno opałowe z lasu</t>
        </is>
      </c>
      <c r="Q516" s="21" t="n">
        <v>0</v>
      </c>
      <c r="T516" s="22" t="n">
        <v>0</v>
      </c>
      <c r="U516" s="21" t="n">
        <v>0</v>
      </c>
      <c r="V516" s="21" t="n">
        <v>0</v>
      </c>
      <c r="W516" t="inlineStr">
        <is>
          <t>Magazyn Zabrze</t>
        </is>
      </c>
      <c r="Z516" t="inlineStr">
        <is>
          <t>Roesner Mateusz</t>
        </is>
      </c>
      <c r="AA516" s="23" t="n">
        <v>46265.38016203704</v>
      </c>
      <c r="AB516" t="inlineStr">
        <is>
          <t>OP-MIGR-00515</t>
        </is>
      </c>
      <c r="AD516" t="inlineStr">
        <is>
          <t>AKTYWNY</t>
        </is>
      </c>
      <c r="AE516" s="20">
        <f>IF(I516="",0,IF(ISNUMBER(SEARCH("MP",UPPER(J516))),I516,IF(ISNUMBER(SEARCH("TON",UPPER(J516))),I516/Przelicznik_MP_tona,IF(ISNUMBER(SEARCH("M3",UPPER(J516))),I516*Przelicznik_M3_MP,IF(ISNUMBER(SEARCH("GJ",UPPER(J516))),I516/Przelicznik_GJ_tona/Przelicznik_MP_tona,I516)))))</f>
        <v/>
      </c>
      <c r="AF516" s="20">
        <f>IF(I516="",0,IF(ISNUMBER(SEARCH("TON",UPPER(J516))),I516,IF(ISNUMBER(SEARCH("GJ",UPPER(J516))),I516/Przelicznik_GJ_tona,AE516*Przelicznik_MP_tona)))</f>
        <v/>
      </c>
      <c r="AG516" s="20">
        <f>AF516*Przelicznik_GJ_tona</f>
        <v/>
      </c>
      <c r="AH516" s="20">
        <f>IF(UPPER(AD516)="SKORYGOWANY",0,IF(OR(UPPER(E516)="TRANSPORT",UPPER(E516)="MM"),0,IF(UPPER(G516)&lt;&gt;"TAK",0,IF(OR(UPPER(E516)="ZAKUP",UPPER(E516)="PRODUKCJA"),AE516,IF(OR(UPPER(E516)="SPRZEDAŻ",UPPER(E516)="ZUŻYCIE"),-AE516,0)))))</f>
        <v/>
      </c>
      <c r="AI516" s="20">
        <f>IF(UPPER(AD516)="SKORYGOWANY",0,IF(OR(UPPER(E516)="TRANSPORT",UPPER(E516)="MM"),0,IF(UPPER(G516)&lt;&gt;"TAK",0,IF(OR(UPPER(E516)="ZAKUP",UPPER(E516)="PRODUKCJA"),AF516,IF(OR(UPPER(E516)="SPRZEDAŻ",UPPER(E516)="ZUŻYCIE"),-AF516,0)))))</f>
        <v/>
      </c>
      <c r="AJ516" s="21">
        <f>IF(UPPER(AD516)="SKORYGOWANY",0,IF(UPPER(E516)="ZAKUP",IF(L516&lt;&gt;"",L516,I516*K516),0))</f>
        <v/>
      </c>
      <c r="AK516" s="21">
        <f>IF(UPPER(AD516)="SKORYGOWANY",0,IF(UPPER(E516)="SPRZEDAŻ",IF(L516&lt;&gt;"",L516,I516*M516),0))</f>
        <v/>
      </c>
      <c r="AL516" s="21">
        <f>AE516*Q516</f>
        <v/>
      </c>
      <c r="AM516">
        <f>IF(R516="","",IF(LOWER(R516)="brak","Brak",IF(OR(ISNUMBER(SEARCH("własn",LOWER(R516))),ISNUMBER(SEARCH("wlasn",LOWER(R516))),ISNUMBER(SEARCH("wojciechowski",LOWER(R516)))),"Własny","Zewnętrzny")))</f>
        <v/>
      </c>
      <c r="AN516" s="24">
        <f>IF(C516="","",YEAR(C516))</f>
        <v/>
      </c>
      <c r="AO516" s="24">
        <f>IF(C516="","",MONTH(C516))</f>
        <v/>
      </c>
      <c r="AP516">
        <f>IF(C516="","",UPPER(TEXT(C516,"mmmm")))</f>
        <v/>
      </c>
      <c r="AQ516">
        <f>IF(C516="","","Q"&amp;ROUNDUP(MONTH(C516)/3,0))</f>
        <v/>
      </c>
    </row>
    <row r="517">
      <c r="A517" s="19" t="n">
        <v>46261</v>
      </c>
      <c r="C517" s="19" t="n">
        <v>46261</v>
      </c>
      <c r="D517" t="inlineStr">
        <is>
          <t>Magazyn Zabrze</t>
        </is>
      </c>
      <c r="E517" t="inlineStr">
        <is>
          <t>PRODUKCJA</t>
        </is>
      </c>
      <c r="F517" t="inlineStr">
        <is>
          <t>PZ/110</t>
        </is>
      </c>
      <c r="G517" t="inlineStr">
        <is>
          <t>TAK</t>
        </is>
      </c>
      <c r="H517" t="inlineStr">
        <is>
          <t>Deklaracja</t>
        </is>
      </c>
      <c r="I517" s="20" t="n">
        <v>82</v>
      </c>
      <c r="J517" t="inlineStr">
        <is>
          <t>MP</t>
        </is>
      </c>
      <c r="K517" s="21" t="n">
        <v>0</v>
      </c>
      <c r="L517" s="21" t="n">
        <v>0</v>
      </c>
      <c r="M517" s="21" t="n">
        <v>0</v>
      </c>
      <c r="N517" t="inlineStr">
        <is>
          <t>Zrębka Produkcyjna Leśna</t>
        </is>
      </c>
      <c r="O517" t="inlineStr">
        <is>
          <t>B</t>
        </is>
      </c>
      <c r="P517" t="inlineStr">
        <is>
          <t>własne</t>
        </is>
      </c>
      <c r="Q517" s="21" t="n">
        <v>10</v>
      </c>
      <c r="T517" s="22" t="n">
        <v>0</v>
      </c>
      <c r="U517" s="21" t="n">
        <v>0</v>
      </c>
      <c r="V517" s="21" t="n">
        <v>0</v>
      </c>
      <c r="W517" t="inlineStr">
        <is>
          <t>Magazyn Zabrze</t>
        </is>
      </c>
      <c r="Z517" t="inlineStr">
        <is>
          <t>Roesner Mateusz</t>
        </is>
      </c>
      <c r="AA517" s="23" t="n">
        <v>46265.38131944444</v>
      </c>
      <c r="AB517" t="inlineStr">
        <is>
          <t>OP-MIGR-00516</t>
        </is>
      </c>
      <c r="AD517" t="inlineStr">
        <is>
          <t>AKTYWNY</t>
        </is>
      </c>
      <c r="AE517" s="20">
        <f>IF(I517="",0,IF(ISNUMBER(SEARCH("MP",UPPER(J517))),I517,IF(ISNUMBER(SEARCH("TON",UPPER(J517))),I517/Przelicznik_MP_tona,IF(ISNUMBER(SEARCH("M3",UPPER(J517))),I517*Przelicznik_M3_MP,IF(ISNUMBER(SEARCH("GJ",UPPER(J517))),I517/Przelicznik_GJ_tona/Przelicznik_MP_tona,I517)))))</f>
        <v/>
      </c>
      <c r="AF517" s="20">
        <f>IF(I517="",0,IF(ISNUMBER(SEARCH("TON",UPPER(J517))),I517,IF(ISNUMBER(SEARCH("GJ",UPPER(J517))),I517/Przelicznik_GJ_tona,AE517*Przelicznik_MP_tona)))</f>
        <v/>
      </c>
      <c r="AG517" s="20">
        <f>AF517*Przelicznik_GJ_tona</f>
        <v/>
      </c>
      <c r="AH517" s="20">
        <f>IF(UPPER(AD517)="SKORYGOWANY",0,IF(OR(UPPER(E517)="TRANSPORT",UPPER(E517)="MM"),0,IF(UPPER(G517)&lt;&gt;"TAK",0,IF(OR(UPPER(E517)="ZAKUP",UPPER(E517)="PRODUKCJA"),AE517,IF(OR(UPPER(E517)="SPRZEDAŻ",UPPER(E517)="ZUŻYCIE"),-AE517,0)))))</f>
        <v/>
      </c>
      <c r="AI517" s="20">
        <f>IF(UPPER(AD517)="SKORYGOWANY",0,IF(OR(UPPER(E517)="TRANSPORT",UPPER(E517)="MM"),0,IF(UPPER(G517)&lt;&gt;"TAK",0,IF(OR(UPPER(E517)="ZAKUP",UPPER(E517)="PRODUKCJA"),AF517,IF(OR(UPPER(E517)="SPRZEDAŻ",UPPER(E517)="ZUŻYCIE"),-AF517,0)))))</f>
        <v/>
      </c>
      <c r="AJ517" s="21">
        <f>IF(UPPER(AD517)="SKORYGOWANY",0,IF(UPPER(E517)="ZAKUP",IF(L517&lt;&gt;"",L517,I517*K517),0))</f>
        <v/>
      </c>
      <c r="AK517" s="21">
        <f>IF(UPPER(AD517)="SKORYGOWANY",0,IF(UPPER(E517)="SPRZEDAŻ",IF(L517&lt;&gt;"",L517,I517*M517),0))</f>
        <v/>
      </c>
      <c r="AL517" s="21">
        <f>AE517*Q517</f>
        <v/>
      </c>
      <c r="AM517">
        <f>IF(R517="","",IF(LOWER(R517)="brak","Brak",IF(OR(ISNUMBER(SEARCH("własn",LOWER(R517))),ISNUMBER(SEARCH("wlasn",LOWER(R517))),ISNUMBER(SEARCH("wojciechowski",LOWER(R517)))),"Własny","Zewnętrzny")))</f>
        <v/>
      </c>
      <c r="AN517" s="24">
        <f>IF(C517="","",YEAR(C517))</f>
        <v/>
      </c>
      <c r="AO517" s="24">
        <f>IF(C517="","",MONTH(C517))</f>
        <v/>
      </c>
      <c r="AP517">
        <f>IF(C517="","",UPPER(TEXT(C517,"mmmm")))</f>
        <v/>
      </c>
      <c r="AQ517">
        <f>IF(C517="","","Q"&amp;ROUNDUP(MONTH(C517)/3,0))</f>
        <v/>
      </c>
    </row>
    <row r="518">
      <c r="A518" s="19" t="n">
        <v>46261</v>
      </c>
      <c r="C518" s="19" t="n">
        <v>46261</v>
      </c>
      <c r="D518" t="inlineStr">
        <is>
          <t>Magazyn Zabrze</t>
        </is>
      </c>
      <c r="E518" t="inlineStr">
        <is>
          <t>ZUŻYCIE</t>
        </is>
      </c>
      <c r="F518" t="inlineStr">
        <is>
          <t>PZ/110</t>
        </is>
      </c>
      <c r="G518" t="inlineStr">
        <is>
          <t>TAK</t>
        </is>
      </c>
      <c r="H518" t="inlineStr">
        <is>
          <t>Deklaracja</t>
        </is>
      </c>
      <c r="I518" s="20" t="n">
        <v>82</v>
      </c>
      <c r="J518" t="inlineStr">
        <is>
          <t>MP</t>
        </is>
      </c>
      <c r="K518" s="21" t="n">
        <v>0</v>
      </c>
      <c r="L518" s="21" t="n">
        <v>0</v>
      </c>
      <c r="M518" s="21" t="n">
        <v>0</v>
      </c>
      <c r="N518" t="inlineStr">
        <is>
          <t>Zrębka Produkcyjna Leśna</t>
        </is>
      </c>
      <c r="O518" t="inlineStr">
        <is>
          <t>B</t>
        </is>
      </c>
      <c r="P518" t="inlineStr">
        <is>
          <t>własne</t>
        </is>
      </c>
      <c r="Q518" s="21" t="n">
        <v>10</v>
      </c>
      <c r="T518" s="22" t="n">
        <v>0</v>
      </c>
      <c r="U518" s="21" t="n">
        <v>0</v>
      </c>
      <c r="V518" s="21" t="n">
        <v>0</v>
      </c>
      <c r="W518" t="inlineStr">
        <is>
          <t>Magazyn Zabrze</t>
        </is>
      </c>
      <c r="Y518" t="inlineStr">
        <is>
          <t>Automatyczne zużycie surowca do produkcji</t>
        </is>
      </c>
      <c r="AA518" s="23" t="n">
        <v>46265.38131944444</v>
      </c>
      <c r="AB518" t="inlineStr">
        <is>
          <t>OP-MIGR-00517</t>
        </is>
      </c>
      <c r="AD518" t="inlineStr">
        <is>
          <t>AKTYWNY</t>
        </is>
      </c>
      <c r="AE518" s="20">
        <f>IF(I518="",0,IF(ISNUMBER(SEARCH("MP",UPPER(J518))),I518,IF(ISNUMBER(SEARCH("TON",UPPER(J518))),I518/Przelicznik_MP_tona,IF(ISNUMBER(SEARCH("M3",UPPER(J518))),I518*Przelicznik_M3_MP,IF(ISNUMBER(SEARCH("GJ",UPPER(J518))),I518/Przelicznik_GJ_tona/Przelicznik_MP_tona,I518)))))</f>
        <v/>
      </c>
      <c r="AF518" s="20">
        <f>IF(I518="",0,IF(ISNUMBER(SEARCH("TON",UPPER(J518))),I518,IF(ISNUMBER(SEARCH("GJ",UPPER(J518))),I518/Przelicznik_GJ_tona,AE518*Przelicznik_MP_tona)))</f>
        <v/>
      </c>
      <c r="AG518" s="20">
        <f>AF518*Przelicznik_GJ_tona</f>
        <v/>
      </c>
      <c r="AH518" s="20">
        <f>IF(UPPER(AD518)="SKORYGOWANY",0,IF(OR(UPPER(E518)="TRANSPORT",UPPER(E518)="MM"),0,IF(UPPER(G518)&lt;&gt;"TAK",0,IF(OR(UPPER(E518)="ZAKUP",UPPER(E518)="PRODUKCJA"),AE518,IF(OR(UPPER(E518)="SPRZEDAŻ",UPPER(E518)="ZUŻYCIE"),-AE518,0)))))</f>
        <v/>
      </c>
      <c r="AI518" s="20">
        <f>IF(UPPER(AD518)="SKORYGOWANY",0,IF(OR(UPPER(E518)="TRANSPORT",UPPER(E518)="MM"),0,IF(UPPER(G518)&lt;&gt;"TAK",0,IF(OR(UPPER(E518)="ZAKUP",UPPER(E518)="PRODUKCJA"),AF518,IF(OR(UPPER(E518)="SPRZEDAŻ",UPPER(E518)="ZUŻYCIE"),-AF518,0)))))</f>
        <v/>
      </c>
      <c r="AJ518" s="21">
        <f>IF(UPPER(AD518)="SKORYGOWANY",0,IF(UPPER(E518)="ZAKUP",IF(L518&lt;&gt;"",L518,I518*K518),0))</f>
        <v/>
      </c>
      <c r="AK518" s="21">
        <f>IF(UPPER(AD518)="SKORYGOWANY",0,IF(UPPER(E518)="SPRZEDAŻ",IF(L518&lt;&gt;"",L518,I518*M518),0))</f>
        <v/>
      </c>
      <c r="AL518" s="21">
        <f>AE518*Q518</f>
        <v/>
      </c>
      <c r="AM518">
        <f>IF(R518="","",IF(LOWER(R518)="brak","Brak",IF(OR(ISNUMBER(SEARCH("własn",LOWER(R518))),ISNUMBER(SEARCH("wlasn",LOWER(R518))),ISNUMBER(SEARCH("wojciechowski",LOWER(R518)))),"Własny","Zewnętrzny")))</f>
        <v/>
      </c>
      <c r="AN518" s="24">
        <f>IF(C518="","",YEAR(C518))</f>
        <v/>
      </c>
      <c r="AO518" s="24">
        <f>IF(C518="","",MONTH(C518))</f>
        <v/>
      </c>
      <c r="AP518">
        <f>IF(C518="","",UPPER(TEXT(C518,"mmmm")))</f>
        <v/>
      </c>
      <c r="AQ518">
        <f>IF(C518="","","Q"&amp;ROUNDUP(MONTH(C518)/3,0))</f>
        <v/>
      </c>
    </row>
    <row r="519">
      <c r="A519" s="19" t="n">
        <v>46261</v>
      </c>
      <c r="B519" t="inlineStr">
        <is>
          <t>Strzelce Opolskie</t>
        </is>
      </c>
      <c r="C519" s="19" t="n">
        <v>46261</v>
      </c>
      <c r="D519" t="inlineStr">
        <is>
          <t>Magazyn Zabrze</t>
        </is>
      </c>
      <c r="E519" t="inlineStr">
        <is>
          <t>ZAKUP</t>
        </is>
      </c>
      <c r="F519" t="inlineStr">
        <is>
          <t>PZ/110</t>
        </is>
      </c>
      <c r="G519" t="inlineStr">
        <is>
          <t>TAK</t>
        </is>
      </c>
      <c r="H519" t="inlineStr">
        <is>
          <t>Deklaracja</t>
        </is>
      </c>
      <c r="I519" s="20" t="n">
        <v>82</v>
      </c>
      <c r="J519" t="inlineStr">
        <is>
          <t>MP</t>
        </is>
      </c>
      <c r="K519" s="21" t="n">
        <v>0</v>
      </c>
      <c r="L519" s="21" t="n">
        <v>0</v>
      </c>
      <c r="M519" s="21" t="n">
        <v>0</v>
      </c>
      <c r="N519" t="inlineStr">
        <is>
          <t>Zrębka Produkcyjna Leśna</t>
        </is>
      </c>
      <c r="O519" t="inlineStr">
        <is>
          <t>B</t>
        </is>
      </c>
      <c r="Q519" s="21" t="n">
        <v>0</v>
      </c>
      <c r="R519" t="inlineStr">
        <is>
          <t>własny (Chrzan)</t>
        </is>
      </c>
      <c r="S519" t="inlineStr">
        <is>
          <t>SK 5L809</t>
        </is>
      </c>
      <c r="T519" s="22" t="n">
        <v>120</v>
      </c>
      <c r="U519" s="21" t="n">
        <v>5</v>
      </c>
      <c r="V519" s="21" t="n">
        <v>600</v>
      </c>
      <c r="W519" t="inlineStr">
        <is>
          <t>Magazyn Zabrze</t>
        </is>
      </c>
      <c r="Z519" t="inlineStr">
        <is>
          <t>Roesner Mateusz</t>
        </is>
      </c>
      <c r="AA519" s="23" t="n">
        <v>46265.38297453704</v>
      </c>
      <c r="AB519" t="inlineStr">
        <is>
          <t>OP-MIGR-00518</t>
        </is>
      </c>
      <c r="AD519" t="inlineStr">
        <is>
          <t>AKTYWNY</t>
        </is>
      </c>
      <c r="AE519" s="20">
        <f>IF(I519="",0,IF(ISNUMBER(SEARCH("MP",UPPER(J519))),I519,IF(ISNUMBER(SEARCH("TON",UPPER(J519))),I519/Przelicznik_MP_tona,IF(ISNUMBER(SEARCH("M3",UPPER(J519))),I519*Przelicznik_M3_MP,IF(ISNUMBER(SEARCH("GJ",UPPER(J519))),I519/Przelicznik_GJ_tona/Przelicznik_MP_tona,I519)))))</f>
        <v/>
      </c>
      <c r="AF519" s="20">
        <f>IF(I519="",0,IF(ISNUMBER(SEARCH("TON",UPPER(J519))),I519,IF(ISNUMBER(SEARCH("GJ",UPPER(J519))),I519/Przelicznik_GJ_tona,AE519*Przelicznik_MP_tona)))</f>
        <v/>
      </c>
      <c r="AG519" s="20">
        <f>AF519*Przelicznik_GJ_tona</f>
        <v/>
      </c>
      <c r="AH519" s="20">
        <f>IF(UPPER(AD519)="SKORYGOWANY",0,IF(OR(UPPER(E519)="TRANSPORT",UPPER(E519)="MM"),0,IF(UPPER(G519)&lt;&gt;"TAK",0,IF(OR(UPPER(E519)="ZAKUP",UPPER(E519)="PRODUKCJA"),AE519,IF(OR(UPPER(E519)="SPRZEDAŻ",UPPER(E519)="ZUŻYCIE"),-AE519,0)))))</f>
        <v/>
      </c>
      <c r="AI519" s="20">
        <f>IF(UPPER(AD519)="SKORYGOWANY",0,IF(OR(UPPER(E519)="TRANSPORT",UPPER(E519)="MM"),0,IF(UPPER(G519)&lt;&gt;"TAK",0,IF(OR(UPPER(E519)="ZAKUP",UPPER(E519)="PRODUKCJA"),AF519,IF(OR(UPPER(E519)="SPRZEDAŻ",UPPER(E519)="ZUŻYCIE"),-AF519,0)))))</f>
        <v/>
      </c>
      <c r="AJ519" s="21">
        <f>IF(UPPER(AD519)="SKORYGOWANY",0,IF(UPPER(E519)="ZAKUP",IF(L519&lt;&gt;"",L519,I519*K519),0))</f>
        <v/>
      </c>
      <c r="AK519" s="21">
        <f>IF(UPPER(AD519)="SKORYGOWANY",0,IF(UPPER(E519)="SPRZEDAŻ",IF(L519&lt;&gt;"",L519,I519*M519),0))</f>
        <v/>
      </c>
      <c r="AL519" s="21">
        <f>AE519*Q519</f>
        <v/>
      </c>
      <c r="AM519">
        <f>IF(R519="","",IF(LOWER(R519)="brak","Brak",IF(OR(ISNUMBER(SEARCH("własn",LOWER(R519))),ISNUMBER(SEARCH("wlasn",LOWER(R519))),ISNUMBER(SEARCH("wojciechowski",LOWER(R519)))),"Własny","Zewnętrzny")))</f>
        <v/>
      </c>
      <c r="AN519" s="24">
        <f>IF(C519="","",YEAR(C519))</f>
        <v/>
      </c>
      <c r="AO519" s="24">
        <f>IF(C519="","",MONTH(C519))</f>
        <v/>
      </c>
      <c r="AP519">
        <f>IF(C519="","",UPPER(TEXT(C519,"mmmm")))</f>
        <v/>
      </c>
      <c r="AQ519">
        <f>IF(C519="","","Q"&amp;ROUNDUP(MONTH(C519)/3,0))</f>
        <v/>
      </c>
    </row>
    <row r="520">
      <c r="A520" s="19" t="n">
        <v>46261</v>
      </c>
      <c r="C520" s="19" t="n">
        <v>46261</v>
      </c>
      <c r="D520" t="inlineStr">
        <is>
          <t>NDL Strzelce Op, Leśnictwo Spórok</t>
        </is>
      </c>
      <c r="E520" t="inlineStr">
        <is>
          <t>ZAKUP</t>
        </is>
      </c>
      <c r="F520" t="inlineStr">
        <is>
          <t>PZ/111  3/202638592/1130</t>
        </is>
      </c>
      <c r="G520" t="inlineStr">
        <is>
          <t>TAK</t>
        </is>
      </c>
      <c r="H520" t="inlineStr">
        <is>
          <t>Deklaracja</t>
        </is>
      </c>
      <c r="I520" s="20" t="n">
        <v>21.3</v>
      </c>
      <c r="J520" t="inlineStr">
        <is>
          <t>M3</t>
        </is>
      </c>
      <c r="K520" s="21" t="n">
        <v>0</v>
      </c>
      <c r="L520" s="21" t="n">
        <v>0</v>
      </c>
      <c r="M520" s="21" t="n">
        <v>0</v>
      </c>
      <c r="N520" t="inlineStr">
        <is>
          <t>Drewno opałowe z lasu</t>
        </is>
      </c>
      <c r="Q520" s="21" t="n">
        <v>0</v>
      </c>
      <c r="T520" s="22" t="n">
        <v>0</v>
      </c>
      <c r="U520" s="21" t="n">
        <v>0</v>
      </c>
      <c r="V520" s="21" t="n">
        <v>0</v>
      </c>
      <c r="W520" t="inlineStr">
        <is>
          <t>Magazyn Zabrze</t>
        </is>
      </c>
      <c r="Z520" t="inlineStr">
        <is>
          <t>Roesner Mateusz</t>
        </is>
      </c>
      <c r="AA520" s="23" t="n">
        <v>46265.38454861111</v>
      </c>
      <c r="AB520" t="inlineStr">
        <is>
          <t>OP-MIGR-00519</t>
        </is>
      </c>
      <c r="AD520" t="inlineStr">
        <is>
          <t>AKTYWNY</t>
        </is>
      </c>
      <c r="AE520" s="20">
        <f>IF(I520="",0,IF(ISNUMBER(SEARCH("MP",UPPER(J520))),I520,IF(ISNUMBER(SEARCH("TON",UPPER(J520))),I520/Przelicznik_MP_tona,IF(ISNUMBER(SEARCH("M3",UPPER(J520))),I520*Przelicznik_M3_MP,IF(ISNUMBER(SEARCH("GJ",UPPER(J520))),I520/Przelicznik_GJ_tona/Przelicznik_MP_tona,I520)))))</f>
        <v/>
      </c>
      <c r="AF520" s="20">
        <f>IF(I520="",0,IF(ISNUMBER(SEARCH("TON",UPPER(J520))),I520,IF(ISNUMBER(SEARCH("GJ",UPPER(J520))),I520/Przelicznik_GJ_tona,AE520*Przelicznik_MP_tona)))</f>
        <v/>
      </c>
      <c r="AG520" s="20">
        <f>AF520*Przelicznik_GJ_tona</f>
        <v/>
      </c>
      <c r="AH520" s="20">
        <f>IF(UPPER(AD520)="SKORYGOWANY",0,IF(OR(UPPER(E520)="TRANSPORT",UPPER(E520)="MM"),0,IF(UPPER(G520)&lt;&gt;"TAK",0,IF(OR(UPPER(E520)="ZAKUP",UPPER(E520)="PRODUKCJA"),AE520,IF(OR(UPPER(E520)="SPRZEDAŻ",UPPER(E520)="ZUŻYCIE"),-AE520,0)))))</f>
        <v/>
      </c>
      <c r="AI520" s="20">
        <f>IF(UPPER(AD520)="SKORYGOWANY",0,IF(OR(UPPER(E520)="TRANSPORT",UPPER(E520)="MM"),0,IF(UPPER(G520)&lt;&gt;"TAK",0,IF(OR(UPPER(E520)="ZAKUP",UPPER(E520)="PRODUKCJA"),AF520,IF(OR(UPPER(E520)="SPRZEDAŻ",UPPER(E520)="ZUŻYCIE"),-AF520,0)))))</f>
        <v/>
      </c>
      <c r="AJ520" s="21">
        <f>IF(UPPER(AD520)="SKORYGOWANY",0,IF(UPPER(E520)="ZAKUP",IF(L520&lt;&gt;"",L520,I520*K520),0))</f>
        <v/>
      </c>
      <c r="AK520" s="21">
        <f>IF(UPPER(AD520)="SKORYGOWANY",0,IF(UPPER(E520)="SPRZEDAŻ",IF(L520&lt;&gt;"",L520,I520*M520),0))</f>
        <v/>
      </c>
      <c r="AL520" s="21">
        <f>AE520*Q520</f>
        <v/>
      </c>
      <c r="AM520">
        <f>IF(R520="","",IF(LOWER(R520)="brak","Brak",IF(OR(ISNUMBER(SEARCH("własn",LOWER(R520))),ISNUMBER(SEARCH("wlasn",LOWER(R520))),ISNUMBER(SEARCH("wojciechowski",LOWER(R520)))),"Własny","Zewnętrzny")))</f>
        <v/>
      </c>
      <c r="AN520" s="24">
        <f>IF(C520="","",YEAR(C520))</f>
        <v/>
      </c>
      <c r="AO520" s="24">
        <f>IF(C520="","",MONTH(C520))</f>
        <v/>
      </c>
      <c r="AP520">
        <f>IF(C520="","",UPPER(TEXT(C520,"mmmm")))</f>
        <v/>
      </c>
      <c r="AQ520">
        <f>IF(C520="","","Q"&amp;ROUNDUP(MONTH(C520)/3,0))</f>
        <v/>
      </c>
    </row>
    <row r="521">
      <c r="A521" s="19" t="n">
        <v>46261</v>
      </c>
      <c r="C521" s="19" t="n">
        <v>46261</v>
      </c>
      <c r="D521" t="inlineStr">
        <is>
          <t>Magazyn Zabrze</t>
        </is>
      </c>
      <c r="E521" t="inlineStr">
        <is>
          <t>PRODUKCJA</t>
        </is>
      </c>
      <c r="F521" t="inlineStr">
        <is>
          <t>PZ/111</t>
        </is>
      </c>
      <c r="G521" t="inlineStr">
        <is>
          <t>TAK</t>
        </is>
      </c>
      <c r="H521" t="inlineStr">
        <is>
          <t>Deklaracja</t>
        </is>
      </c>
      <c r="I521" s="20" t="n">
        <v>85.2</v>
      </c>
      <c r="J521" t="inlineStr">
        <is>
          <t>MP</t>
        </is>
      </c>
      <c r="K521" s="21" t="n">
        <v>0</v>
      </c>
      <c r="L521" s="21" t="n">
        <v>0</v>
      </c>
      <c r="M521" s="21" t="n">
        <v>0</v>
      </c>
      <c r="N521" t="inlineStr">
        <is>
          <t>Zrębka Produkcyjna Leśna</t>
        </is>
      </c>
      <c r="O521" t="inlineStr">
        <is>
          <t>B</t>
        </is>
      </c>
      <c r="P521" t="inlineStr">
        <is>
          <t>własne</t>
        </is>
      </c>
      <c r="Q521" s="21" t="n">
        <v>10</v>
      </c>
      <c r="T521" s="22" t="n">
        <v>0</v>
      </c>
      <c r="U521" s="21" t="n">
        <v>0</v>
      </c>
      <c r="V521" s="21" t="n">
        <v>0</v>
      </c>
      <c r="W521" t="inlineStr">
        <is>
          <t>Magazyn Zabrze</t>
        </is>
      </c>
      <c r="Z521" t="inlineStr">
        <is>
          <t>Roesner Mateusz</t>
        </is>
      </c>
      <c r="AA521" s="23" t="n">
        <v>46265.38510416666</v>
      </c>
      <c r="AB521" t="inlineStr">
        <is>
          <t>OP-MIGR-00520</t>
        </is>
      </c>
      <c r="AD521" t="inlineStr">
        <is>
          <t>AKTYWNY</t>
        </is>
      </c>
      <c r="AE521" s="20">
        <f>IF(I521="",0,IF(ISNUMBER(SEARCH("MP",UPPER(J521))),I521,IF(ISNUMBER(SEARCH("TON",UPPER(J521))),I521/Przelicznik_MP_tona,IF(ISNUMBER(SEARCH("M3",UPPER(J521))),I521*Przelicznik_M3_MP,IF(ISNUMBER(SEARCH("GJ",UPPER(J521))),I521/Przelicznik_GJ_tona/Przelicznik_MP_tona,I521)))))</f>
        <v/>
      </c>
      <c r="AF521" s="20">
        <f>IF(I521="",0,IF(ISNUMBER(SEARCH("TON",UPPER(J521))),I521,IF(ISNUMBER(SEARCH("GJ",UPPER(J521))),I521/Przelicznik_GJ_tona,AE521*Przelicznik_MP_tona)))</f>
        <v/>
      </c>
      <c r="AG521" s="20">
        <f>AF521*Przelicznik_GJ_tona</f>
        <v/>
      </c>
      <c r="AH521" s="20">
        <f>IF(UPPER(AD521)="SKORYGOWANY",0,IF(OR(UPPER(E521)="TRANSPORT",UPPER(E521)="MM"),0,IF(UPPER(G521)&lt;&gt;"TAK",0,IF(OR(UPPER(E521)="ZAKUP",UPPER(E521)="PRODUKCJA"),AE521,IF(OR(UPPER(E521)="SPRZEDAŻ",UPPER(E521)="ZUŻYCIE"),-AE521,0)))))</f>
        <v/>
      </c>
      <c r="AI521" s="20">
        <f>IF(UPPER(AD521)="SKORYGOWANY",0,IF(OR(UPPER(E521)="TRANSPORT",UPPER(E521)="MM"),0,IF(UPPER(G521)&lt;&gt;"TAK",0,IF(OR(UPPER(E521)="ZAKUP",UPPER(E521)="PRODUKCJA"),AF521,IF(OR(UPPER(E521)="SPRZEDAŻ",UPPER(E521)="ZUŻYCIE"),-AF521,0)))))</f>
        <v/>
      </c>
      <c r="AJ521" s="21">
        <f>IF(UPPER(AD521)="SKORYGOWANY",0,IF(UPPER(E521)="ZAKUP",IF(L521&lt;&gt;"",L521,I521*K521),0))</f>
        <v/>
      </c>
      <c r="AK521" s="21">
        <f>IF(UPPER(AD521)="SKORYGOWANY",0,IF(UPPER(E521)="SPRZEDAŻ",IF(L521&lt;&gt;"",L521,I521*M521),0))</f>
        <v/>
      </c>
      <c r="AL521" s="21">
        <f>AE521*Q521</f>
        <v/>
      </c>
      <c r="AM521">
        <f>IF(R521="","",IF(LOWER(R521)="brak","Brak",IF(OR(ISNUMBER(SEARCH("własn",LOWER(R521))),ISNUMBER(SEARCH("wlasn",LOWER(R521))),ISNUMBER(SEARCH("wojciechowski",LOWER(R521)))),"Własny","Zewnętrzny")))</f>
        <v/>
      </c>
      <c r="AN521" s="24">
        <f>IF(C521="","",YEAR(C521))</f>
        <v/>
      </c>
      <c r="AO521" s="24">
        <f>IF(C521="","",MONTH(C521))</f>
        <v/>
      </c>
      <c r="AP521">
        <f>IF(C521="","",UPPER(TEXT(C521,"mmmm")))</f>
        <v/>
      </c>
      <c r="AQ521">
        <f>IF(C521="","","Q"&amp;ROUNDUP(MONTH(C521)/3,0))</f>
        <v/>
      </c>
    </row>
    <row r="522">
      <c r="A522" s="19" t="n">
        <v>46261</v>
      </c>
      <c r="C522" s="19" t="n">
        <v>46261</v>
      </c>
      <c r="D522" t="inlineStr">
        <is>
          <t>Magazyn Zabrze</t>
        </is>
      </c>
      <c r="E522" t="inlineStr">
        <is>
          <t>ZUŻYCIE</t>
        </is>
      </c>
      <c r="F522" t="inlineStr">
        <is>
          <t>PZ/111</t>
        </is>
      </c>
      <c r="G522" t="inlineStr">
        <is>
          <t>TAK</t>
        </is>
      </c>
      <c r="H522" t="inlineStr">
        <is>
          <t>Deklaracja</t>
        </is>
      </c>
      <c r="I522" s="20" t="n">
        <v>85.2</v>
      </c>
      <c r="J522" t="inlineStr">
        <is>
          <t>MP</t>
        </is>
      </c>
      <c r="K522" s="21" t="n">
        <v>0</v>
      </c>
      <c r="L522" s="21" t="n">
        <v>0</v>
      </c>
      <c r="M522" s="21" t="n">
        <v>0</v>
      </c>
      <c r="N522" t="inlineStr">
        <is>
          <t>Zrębka Produkcyjna Leśna</t>
        </is>
      </c>
      <c r="O522" t="inlineStr">
        <is>
          <t>B</t>
        </is>
      </c>
      <c r="P522" t="inlineStr">
        <is>
          <t>własne</t>
        </is>
      </c>
      <c r="Q522" s="21" t="n">
        <v>10</v>
      </c>
      <c r="T522" s="22" t="n">
        <v>0</v>
      </c>
      <c r="U522" s="21" t="n">
        <v>0</v>
      </c>
      <c r="V522" s="21" t="n">
        <v>0</v>
      </c>
      <c r="W522" t="inlineStr">
        <is>
          <t>Magazyn Zabrze</t>
        </is>
      </c>
      <c r="Y522" t="inlineStr">
        <is>
          <t>Automatyczne zużycie surowca do produkcji</t>
        </is>
      </c>
      <c r="AA522" s="23" t="n">
        <v>46265.38510416666</v>
      </c>
      <c r="AB522" t="inlineStr">
        <is>
          <t>OP-MIGR-00521</t>
        </is>
      </c>
      <c r="AD522" t="inlineStr">
        <is>
          <t>AKTYWNY</t>
        </is>
      </c>
      <c r="AE522" s="20">
        <f>IF(I522="",0,IF(ISNUMBER(SEARCH("MP",UPPER(J522))),I522,IF(ISNUMBER(SEARCH("TON",UPPER(J522))),I522/Przelicznik_MP_tona,IF(ISNUMBER(SEARCH("M3",UPPER(J522))),I522*Przelicznik_M3_MP,IF(ISNUMBER(SEARCH("GJ",UPPER(J522))),I522/Przelicznik_GJ_tona/Przelicznik_MP_tona,I522)))))</f>
        <v/>
      </c>
      <c r="AF522" s="20">
        <f>IF(I522="",0,IF(ISNUMBER(SEARCH("TON",UPPER(J522))),I522,IF(ISNUMBER(SEARCH("GJ",UPPER(J522))),I522/Przelicznik_GJ_tona,AE522*Przelicznik_MP_tona)))</f>
        <v/>
      </c>
      <c r="AG522" s="20">
        <f>AF522*Przelicznik_GJ_tona</f>
        <v/>
      </c>
      <c r="AH522" s="20">
        <f>IF(UPPER(AD522)="SKORYGOWANY",0,IF(OR(UPPER(E522)="TRANSPORT",UPPER(E522)="MM"),0,IF(UPPER(G522)&lt;&gt;"TAK",0,IF(OR(UPPER(E522)="ZAKUP",UPPER(E522)="PRODUKCJA"),AE522,IF(OR(UPPER(E522)="SPRZEDAŻ",UPPER(E522)="ZUŻYCIE"),-AE522,0)))))</f>
        <v/>
      </c>
      <c r="AI522" s="20">
        <f>IF(UPPER(AD522)="SKORYGOWANY",0,IF(OR(UPPER(E522)="TRANSPORT",UPPER(E522)="MM"),0,IF(UPPER(G522)&lt;&gt;"TAK",0,IF(OR(UPPER(E522)="ZAKUP",UPPER(E522)="PRODUKCJA"),AF522,IF(OR(UPPER(E522)="SPRZEDAŻ",UPPER(E522)="ZUŻYCIE"),-AF522,0)))))</f>
        <v/>
      </c>
      <c r="AJ522" s="21">
        <f>IF(UPPER(AD522)="SKORYGOWANY",0,IF(UPPER(E522)="ZAKUP",IF(L522&lt;&gt;"",L522,I522*K522),0))</f>
        <v/>
      </c>
      <c r="AK522" s="21">
        <f>IF(UPPER(AD522)="SKORYGOWANY",0,IF(UPPER(E522)="SPRZEDAŻ",IF(L522&lt;&gt;"",L522,I522*M522),0))</f>
        <v/>
      </c>
      <c r="AL522" s="21">
        <f>AE522*Q522</f>
        <v/>
      </c>
      <c r="AM522">
        <f>IF(R522="","",IF(LOWER(R522)="brak","Brak",IF(OR(ISNUMBER(SEARCH("własn",LOWER(R522))),ISNUMBER(SEARCH("wlasn",LOWER(R522))),ISNUMBER(SEARCH("wojciechowski",LOWER(R522)))),"Własny","Zewnętrzny")))</f>
        <v/>
      </c>
      <c r="AN522" s="24">
        <f>IF(C522="","",YEAR(C522))</f>
        <v/>
      </c>
      <c r="AO522" s="24">
        <f>IF(C522="","",MONTH(C522))</f>
        <v/>
      </c>
      <c r="AP522">
        <f>IF(C522="","",UPPER(TEXT(C522,"mmmm")))</f>
        <v/>
      </c>
      <c r="AQ522">
        <f>IF(C522="","","Q"&amp;ROUNDUP(MONTH(C522)/3,0))</f>
        <v/>
      </c>
    </row>
    <row r="523">
      <c r="A523" s="19" t="n">
        <v>46261</v>
      </c>
      <c r="B523" t="inlineStr">
        <is>
          <t>Strzelce Opolskie</t>
        </is>
      </c>
      <c r="C523" s="19" t="n">
        <v>46261</v>
      </c>
      <c r="D523" t="inlineStr">
        <is>
          <t>Magazyn Zabrze</t>
        </is>
      </c>
      <c r="E523" t="inlineStr">
        <is>
          <t>ZAKUP</t>
        </is>
      </c>
      <c r="F523" t="inlineStr">
        <is>
          <t>PZ/111</t>
        </is>
      </c>
      <c r="G523" t="inlineStr">
        <is>
          <t>TAK</t>
        </is>
      </c>
      <c r="H523" t="inlineStr">
        <is>
          <t>Deklaracja</t>
        </is>
      </c>
      <c r="I523" s="20" t="n">
        <v>85.2</v>
      </c>
      <c r="J523" t="inlineStr">
        <is>
          <t>MP</t>
        </is>
      </c>
      <c r="K523" s="21" t="n">
        <v>0</v>
      </c>
      <c r="L523" s="21" t="n">
        <v>0</v>
      </c>
      <c r="M523" s="21" t="n">
        <v>0</v>
      </c>
      <c r="N523" t="inlineStr">
        <is>
          <t>Zrębka Produkcyjna Leśna</t>
        </is>
      </c>
      <c r="O523" t="inlineStr">
        <is>
          <t>B</t>
        </is>
      </c>
      <c r="Q523" s="21" t="n">
        <v>0</v>
      </c>
      <c r="R523" t="inlineStr">
        <is>
          <t>własny (Wilczak)</t>
        </is>
      </c>
      <c r="S523" t="inlineStr">
        <is>
          <t>SK 7J885</t>
        </is>
      </c>
      <c r="T523" s="22" t="n">
        <v>120</v>
      </c>
      <c r="U523" s="21" t="n">
        <v>5</v>
      </c>
      <c r="V523" s="21" t="n">
        <v>600</v>
      </c>
      <c r="W523" t="inlineStr">
        <is>
          <t>Magazyn Zabrze</t>
        </is>
      </c>
      <c r="Z523" t="inlineStr">
        <is>
          <t>Roesner Mateusz</t>
        </is>
      </c>
      <c r="AA523" s="23" t="n">
        <v>46265.38584490741</v>
      </c>
      <c r="AB523" t="inlineStr">
        <is>
          <t>OP-MIGR-00522</t>
        </is>
      </c>
      <c r="AD523" t="inlineStr">
        <is>
          <t>AKTYWNY</t>
        </is>
      </c>
      <c r="AE523" s="20">
        <f>IF(I523="",0,IF(ISNUMBER(SEARCH("MP",UPPER(J523))),I523,IF(ISNUMBER(SEARCH("TON",UPPER(J523))),I523/Przelicznik_MP_tona,IF(ISNUMBER(SEARCH("M3",UPPER(J523))),I523*Przelicznik_M3_MP,IF(ISNUMBER(SEARCH("GJ",UPPER(J523))),I523/Przelicznik_GJ_tona/Przelicznik_MP_tona,I523)))))</f>
        <v/>
      </c>
      <c r="AF523" s="20">
        <f>IF(I523="",0,IF(ISNUMBER(SEARCH("TON",UPPER(J523))),I523,IF(ISNUMBER(SEARCH("GJ",UPPER(J523))),I523/Przelicznik_GJ_tona,AE523*Przelicznik_MP_tona)))</f>
        <v/>
      </c>
      <c r="AG523" s="20">
        <f>AF523*Przelicznik_GJ_tona</f>
        <v/>
      </c>
      <c r="AH523" s="20">
        <f>IF(UPPER(AD523)="SKORYGOWANY",0,IF(OR(UPPER(E523)="TRANSPORT",UPPER(E523)="MM"),0,IF(UPPER(G523)&lt;&gt;"TAK",0,IF(OR(UPPER(E523)="ZAKUP",UPPER(E523)="PRODUKCJA"),AE523,IF(OR(UPPER(E523)="SPRZEDAŻ",UPPER(E523)="ZUŻYCIE"),-AE523,0)))))</f>
        <v/>
      </c>
      <c r="AI523" s="20">
        <f>IF(UPPER(AD523)="SKORYGOWANY",0,IF(OR(UPPER(E523)="TRANSPORT",UPPER(E523)="MM"),0,IF(UPPER(G523)&lt;&gt;"TAK",0,IF(OR(UPPER(E523)="ZAKUP",UPPER(E523)="PRODUKCJA"),AF523,IF(OR(UPPER(E523)="SPRZEDAŻ",UPPER(E523)="ZUŻYCIE"),-AF523,0)))))</f>
        <v/>
      </c>
      <c r="AJ523" s="21">
        <f>IF(UPPER(AD523)="SKORYGOWANY",0,IF(UPPER(E523)="ZAKUP",IF(L523&lt;&gt;"",L523,I523*K523),0))</f>
        <v/>
      </c>
      <c r="AK523" s="21">
        <f>IF(UPPER(AD523)="SKORYGOWANY",0,IF(UPPER(E523)="SPRZEDAŻ",IF(L523&lt;&gt;"",L523,I523*M523),0))</f>
        <v/>
      </c>
      <c r="AL523" s="21">
        <f>AE523*Q523</f>
        <v/>
      </c>
      <c r="AM523">
        <f>IF(R523="","",IF(LOWER(R523)="brak","Brak",IF(OR(ISNUMBER(SEARCH("własn",LOWER(R523))),ISNUMBER(SEARCH("wlasn",LOWER(R523))),ISNUMBER(SEARCH("wojciechowski",LOWER(R523)))),"Własny","Zewnętrzny")))</f>
        <v/>
      </c>
      <c r="AN523" s="24">
        <f>IF(C523="","",YEAR(C523))</f>
        <v/>
      </c>
      <c r="AO523" s="24">
        <f>IF(C523="","",MONTH(C523))</f>
        <v/>
      </c>
      <c r="AP523">
        <f>IF(C523="","",UPPER(TEXT(C523,"mmmm")))</f>
        <v/>
      </c>
      <c r="AQ523">
        <f>IF(C523="","","Q"&amp;ROUNDUP(MONTH(C523)/3,0))</f>
        <v/>
      </c>
    </row>
    <row r="524">
      <c r="A524" s="19" t="n">
        <v>46261</v>
      </c>
      <c r="C524" s="19" t="n">
        <v>46261</v>
      </c>
      <c r="D524" t="inlineStr">
        <is>
          <t>NDL Strzelce Op, Leśnictwo Spórok</t>
        </is>
      </c>
      <c r="E524" t="inlineStr">
        <is>
          <t>ZAKUP</t>
        </is>
      </c>
      <c r="F524" t="inlineStr">
        <is>
          <t>PZ/112  3/202638592/1134</t>
        </is>
      </c>
      <c r="G524" t="inlineStr">
        <is>
          <t>TAK</t>
        </is>
      </c>
      <c r="H524" t="inlineStr">
        <is>
          <t>Deklaracja</t>
        </is>
      </c>
      <c r="I524" s="20" t="n">
        <v>18.96</v>
      </c>
      <c r="J524" t="inlineStr">
        <is>
          <t>M3</t>
        </is>
      </c>
      <c r="K524" s="21" t="n">
        <v>0</v>
      </c>
      <c r="L524" s="21" t="n">
        <v>0</v>
      </c>
      <c r="M524" s="21" t="n">
        <v>0</v>
      </c>
      <c r="N524" t="inlineStr">
        <is>
          <t>Drewno opałowe z lasu</t>
        </is>
      </c>
      <c r="Q524" s="21" t="n">
        <v>0</v>
      </c>
      <c r="T524" s="22" t="n">
        <v>0</v>
      </c>
      <c r="U524" s="21" t="n">
        <v>0</v>
      </c>
      <c r="V524" s="21" t="n">
        <v>0</v>
      </c>
      <c r="W524" t="inlineStr">
        <is>
          <t>Magazyn Zabrze</t>
        </is>
      </c>
      <c r="Z524" t="inlineStr">
        <is>
          <t>Roesner Mateusz</t>
        </is>
      </c>
      <c r="AA524" s="23" t="n">
        <v>46265.39179398148</v>
      </c>
      <c r="AB524" t="inlineStr">
        <is>
          <t>OP-MIGR-00523</t>
        </is>
      </c>
      <c r="AD524" t="inlineStr">
        <is>
          <t>AKTYWNY</t>
        </is>
      </c>
      <c r="AE524" s="20">
        <f>IF(I524="",0,IF(ISNUMBER(SEARCH("MP",UPPER(J524))),I524,IF(ISNUMBER(SEARCH("TON",UPPER(J524))),I524/Przelicznik_MP_tona,IF(ISNUMBER(SEARCH("M3",UPPER(J524))),I524*Przelicznik_M3_MP,IF(ISNUMBER(SEARCH("GJ",UPPER(J524))),I524/Przelicznik_GJ_tona/Przelicznik_MP_tona,I524)))))</f>
        <v/>
      </c>
      <c r="AF524" s="20">
        <f>IF(I524="",0,IF(ISNUMBER(SEARCH("TON",UPPER(J524))),I524,IF(ISNUMBER(SEARCH("GJ",UPPER(J524))),I524/Przelicznik_GJ_tona,AE524*Przelicznik_MP_tona)))</f>
        <v/>
      </c>
      <c r="AG524" s="20">
        <f>AF524*Przelicznik_GJ_tona</f>
        <v/>
      </c>
      <c r="AH524" s="20">
        <f>IF(UPPER(AD524)="SKORYGOWANY",0,IF(OR(UPPER(E524)="TRANSPORT",UPPER(E524)="MM"),0,IF(UPPER(G524)&lt;&gt;"TAK",0,IF(OR(UPPER(E524)="ZAKUP",UPPER(E524)="PRODUKCJA"),AE524,IF(OR(UPPER(E524)="SPRZEDAŻ",UPPER(E524)="ZUŻYCIE"),-AE524,0)))))</f>
        <v/>
      </c>
      <c r="AI524" s="20">
        <f>IF(UPPER(AD524)="SKORYGOWANY",0,IF(OR(UPPER(E524)="TRANSPORT",UPPER(E524)="MM"),0,IF(UPPER(G524)&lt;&gt;"TAK",0,IF(OR(UPPER(E524)="ZAKUP",UPPER(E524)="PRODUKCJA"),AF524,IF(OR(UPPER(E524)="SPRZEDAŻ",UPPER(E524)="ZUŻYCIE"),-AF524,0)))))</f>
        <v/>
      </c>
      <c r="AJ524" s="21">
        <f>IF(UPPER(AD524)="SKORYGOWANY",0,IF(UPPER(E524)="ZAKUP",IF(L524&lt;&gt;"",L524,I524*K524),0))</f>
        <v/>
      </c>
      <c r="AK524" s="21">
        <f>IF(UPPER(AD524)="SKORYGOWANY",0,IF(UPPER(E524)="SPRZEDAŻ",IF(L524&lt;&gt;"",L524,I524*M524),0))</f>
        <v/>
      </c>
      <c r="AL524" s="21">
        <f>AE524*Q524</f>
        <v/>
      </c>
      <c r="AM524">
        <f>IF(R524="","",IF(LOWER(R524)="brak","Brak",IF(OR(ISNUMBER(SEARCH("własn",LOWER(R524))),ISNUMBER(SEARCH("wlasn",LOWER(R524))),ISNUMBER(SEARCH("wojciechowski",LOWER(R524)))),"Własny","Zewnętrzny")))</f>
        <v/>
      </c>
      <c r="AN524" s="24">
        <f>IF(C524="","",YEAR(C524))</f>
        <v/>
      </c>
      <c r="AO524" s="24">
        <f>IF(C524="","",MONTH(C524))</f>
        <v/>
      </c>
      <c r="AP524">
        <f>IF(C524="","",UPPER(TEXT(C524,"mmmm")))</f>
        <v/>
      </c>
      <c r="AQ524">
        <f>IF(C524="","","Q"&amp;ROUNDUP(MONTH(C524)/3,0))</f>
        <v/>
      </c>
    </row>
    <row r="525">
      <c r="A525" s="19" t="n">
        <v>46261</v>
      </c>
      <c r="C525" s="19" t="n">
        <v>46261</v>
      </c>
      <c r="D525" t="inlineStr">
        <is>
          <t>Magazyn Zabrze</t>
        </is>
      </c>
      <c r="E525" t="inlineStr">
        <is>
          <t>PRODUKCJA</t>
        </is>
      </c>
      <c r="F525" t="inlineStr">
        <is>
          <t>PZ/112</t>
        </is>
      </c>
      <c r="G525" t="inlineStr">
        <is>
          <t>TAK</t>
        </is>
      </c>
      <c r="H525" t="inlineStr">
        <is>
          <t>Deklaracja</t>
        </is>
      </c>
      <c r="I525" s="20" t="n">
        <v>75.84</v>
      </c>
      <c r="J525" t="inlineStr">
        <is>
          <t>MP</t>
        </is>
      </c>
      <c r="K525" s="21" t="n">
        <v>0</v>
      </c>
      <c r="L525" s="21" t="n">
        <v>0</v>
      </c>
      <c r="M525" s="21" t="n">
        <v>0</v>
      </c>
      <c r="N525" t="inlineStr">
        <is>
          <t>Zrębka Produkcyjna Leśna</t>
        </is>
      </c>
      <c r="O525" t="inlineStr">
        <is>
          <t>B</t>
        </is>
      </c>
      <c r="P525" t="inlineStr">
        <is>
          <t>własne</t>
        </is>
      </c>
      <c r="Q525" s="21" t="n">
        <v>10</v>
      </c>
      <c r="T525" s="22" t="n">
        <v>0</v>
      </c>
      <c r="U525" s="21" t="n">
        <v>0</v>
      </c>
      <c r="V525" s="21" t="n">
        <v>0</v>
      </c>
      <c r="W525" t="inlineStr">
        <is>
          <t>Magazyn Zabrze</t>
        </is>
      </c>
      <c r="Z525" t="inlineStr">
        <is>
          <t>Roesner Mateusz</t>
        </is>
      </c>
      <c r="AA525" s="23" t="n">
        <v>46265.39244212963</v>
      </c>
      <c r="AB525" t="inlineStr">
        <is>
          <t>OP-MIGR-00524</t>
        </is>
      </c>
      <c r="AD525" t="inlineStr">
        <is>
          <t>AKTYWNY</t>
        </is>
      </c>
      <c r="AE525" s="20">
        <f>IF(I525="",0,IF(ISNUMBER(SEARCH("MP",UPPER(J525))),I525,IF(ISNUMBER(SEARCH("TON",UPPER(J525))),I525/Przelicznik_MP_tona,IF(ISNUMBER(SEARCH("M3",UPPER(J525))),I525*Przelicznik_M3_MP,IF(ISNUMBER(SEARCH("GJ",UPPER(J525))),I525/Przelicznik_GJ_tona/Przelicznik_MP_tona,I525)))))</f>
        <v/>
      </c>
      <c r="AF525" s="20">
        <f>IF(I525="",0,IF(ISNUMBER(SEARCH("TON",UPPER(J525))),I525,IF(ISNUMBER(SEARCH("GJ",UPPER(J525))),I525/Przelicznik_GJ_tona,AE525*Przelicznik_MP_tona)))</f>
        <v/>
      </c>
      <c r="AG525" s="20">
        <f>AF525*Przelicznik_GJ_tona</f>
        <v/>
      </c>
      <c r="AH525" s="20">
        <f>IF(UPPER(AD525)="SKORYGOWANY",0,IF(OR(UPPER(E525)="TRANSPORT",UPPER(E525)="MM"),0,IF(UPPER(G525)&lt;&gt;"TAK",0,IF(OR(UPPER(E525)="ZAKUP",UPPER(E525)="PRODUKCJA"),AE525,IF(OR(UPPER(E525)="SPRZEDAŻ",UPPER(E525)="ZUŻYCIE"),-AE525,0)))))</f>
        <v/>
      </c>
      <c r="AI525" s="20">
        <f>IF(UPPER(AD525)="SKORYGOWANY",0,IF(OR(UPPER(E525)="TRANSPORT",UPPER(E525)="MM"),0,IF(UPPER(G525)&lt;&gt;"TAK",0,IF(OR(UPPER(E525)="ZAKUP",UPPER(E525)="PRODUKCJA"),AF525,IF(OR(UPPER(E525)="SPRZEDAŻ",UPPER(E525)="ZUŻYCIE"),-AF525,0)))))</f>
        <v/>
      </c>
      <c r="AJ525" s="21">
        <f>IF(UPPER(AD525)="SKORYGOWANY",0,IF(UPPER(E525)="ZAKUP",IF(L525&lt;&gt;"",L525,I525*K525),0))</f>
        <v/>
      </c>
      <c r="AK525" s="21">
        <f>IF(UPPER(AD525)="SKORYGOWANY",0,IF(UPPER(E525)="SPRZEDAŻ",IF(L525&lt;&gt;"",L525,I525*M525),0))</f>
        <v/>
      </c>
      <c r="AL525" s="21">
        <f>AE525*Q525</f>
        <v/>
      </c>
      <c r="AM525">
        <f>IF(R525="","",IF(LOWER(R525)="brak","Brak",IF(OR(ISNUMBER(SEARCH("własn",LOWER(R525))),ISNUMBER(SEARCH("wlasn",LOWER(R525))),ISNUMBER(SEARCH("wojciechowski",LOWER(R525)))),"Własny","Zewnętrzny")))</f>
        <v/>
      </c>
      <c r="AN525" s="24">
        <f>IF(C525="","",YEAR(C525))</f>
        <v/>
      </c>
      <c r="AO525" s="24">
        <f>IF(C525="","",MONTH(C525))</f>
        <v/>
      </c>
      <c r="AP525">
        <f>IF(C525="","",UPPER(TEXT(C525,"mmmm")))</f>
        <v/>
      </c>
      <c r="AQ525">
        <f>IF(C525="","","Q"&amp;ROUNDUP(MONTH(C525)/3,0))</f>
        <v/>
      </c>
    </row>
    <row r="526">
      <c r="A526" s="19" t="n">
        <v>46261</v>
      </c>
      <c r="C526" s="19" t="n">
        <v>46261</v>
      </c>
      <c r="D526" t="inlineStr">
        <is>
          <t>Magazyn Zabrze</t>
        </is>
      </c>
      <c r="E526" t="inlineStr">
        <is>
          <t>ZUŻYCIE</t>
        </is>
      </c>
      <c r="F526" t="inlineStr">
        <is>
          <t>PZ/112</t>
        </is>
      </c>
      <c r="G526" t="inlineStr">
        <is>
          <t>TAK</t>
        </is>
      </c>
      <c r="H526" t="inlineStr">
        <is>
          <t>Deklaracja</t>
        </is>
      </c>
      <c r="I526" s="20" t="n">
        <v>75.84</v>
      </c>
      <c r="J526" t="inlineStr">
        <is>
          <t>MP</t>
        </is>
      </c>
      <c r="K526" s="21" t="n">
        <v>0</v>
      </c>
      <c r="L526" s="21" t="n">
        <v>0</v>
      </c>
      <c r="M526" s="21" t="n">
        <v>0</v>
      </c>
      <c r="N526" t="inlineStr">
        <is>
          <t>Zrębka Produkcyjna Leśna</t>
        </is>
      </c>
      <c r="O526" t="inlineStr">
        <is>
          <t>B</t>
        </is>
      </c>
      <c r="P526" t="inlineStr">
        <is>
          <t>własne</t>
        </is>
      </c>
      <c r="Q526" s="21" t="n">
        <v>10</v>
      </c>
      <c r="T526" s="22" t="n">
        <v>0</v>
      </c>
      <c r="U526" s="21" t="n">
        <v>0</v>
      </c>
      <c r="V526" s="21" t="n">
        <v>0</v>
      </c>
      <c r="W526" t="inlineStr">
        <is>
          <t>Magazyn Zabrze</t>
        </is>
      </c>
      <c r="Y526" t="inlineStr">
        <is>
          <t>Automatyczne zużycie surowca do produkcji</t>
        </is>
      </c>
      <c r="AA526" s="23" t="n">
        <v>46265.39244212963</v>
      </c>
      <c r="AB526" t="inlineStr">
        <is>
          <t>OP-MIGR-00525</t>
        </is>
      </c>
      <c r="AD526" t="inlineStr">
        <is>
          <t>AKTYWNY</t>
        </is>
      </c>
      <c r="AE526" s="20">
        <f>IF(I526="",0,IF(ISNUMBER(SEARCH("MP",UPPER(J526))),I526,IF(ISNUMBER(SEARCH("TON",UPPER(J526))),I526/Przelicznik_MP_tona,IF(ISNUMBER(SEARCH("M3",UPPER(J526))),I526*Przelicznik_M3_MP,IF(ISNUMBER(SEARCH("GJ",UPPER(J526))),I526/Przelicznik_GJ_tona/Przelicznik_MP_tona,I526)))))</f>
        <v/>
      </c>
      <c r="AF526" s="20">
        <f>IF(I526="",0,IF(ISNUMBER(SEARCH("TON",UPPER(J526))),I526,IF(ISNUMBER(SEARCH("GJ",UPPER(J526))),I526/Przelicznik_GJ_tona,AE526*Przelicznik_MP_tona)))</f>
        <v/>
      </c>
      <c r="AG526" s="20">
        <f>AF526*Przelicznik_GJ_tona</f>
        <v/>
      </c>
      <c r="AH526" s="20">
        <f>IF(UPPER(AD526)="SKORYGOWANY",0,IF(OR(UPPER(E526)="TRANSPORT",UPPER(E526)="MM"),0,IF(UPPER(G526)&lt;&gt;"TAK",0,IF(OR(UPPER(E526)="ZAKUP",UPPER(E526)="PRODUKCJA"),AE526,IF(OR(UPPER(E526)="SPRZEDAŻ",UPPER(E526)="ZUŻYCIE"),-AE526,0)))))</f>
        <v/>
      </c>
      <c r="AI526" s="20">
        <f>IF(UPPER(AD526)="SKORYGOWANY",0,IF(OR(UPPER(E526)="TRANSPORT",UPPER(E526)="MM"),0,IF(UPPER(G526)&lt;&gt;"TAK",0,IF(OR(UPPER(E526)="ZAKUP",UPPER(E526)="PRODUKCJA"),AF526,IF(OR(UPPER(E526)="SPRZEDAŻ",UPPER(E526)="ZUŻYCIE"),-AF526,0)))))</f>
        <v/>
      </c>
      <c r="AJ526" s="21">
        <f>IF(UPPER(AD526)="SKORYGOWANY",0,IF(UPPER(E526)="ZAKUP",IF(L526&lt;&gt;"",L526,I526*K526),0))</f>
        <v/>
      </c>
      <c r="AK526" s="21">
        <f>IF(UPPER(AD526)="SKORYGOWANY",0,IF(UPPER(E526)="SPRZEDAŻ",IF(L526&lt;&gt;"",L526,I526*M526),0))</f>
        <v/>
      </c>
      <c r="AL526" s="21">
        <f>AE526*Q526</f>
        <v/>
      </c>
      <c r="AM526">
        <f>IF(R526="","",IF(LOWER(R526)="brak","Brak",IF(OR(ISNUMBER(SEARCH("własn",LOWER(R526))),ISNUMBER(SEARCH("wlasn",LOWER(R526))),ISNUMBER(SEARCH("wojciechowski",LOWER(R526)))),"Własny","Zewnętrzny")))</f>
        <v/>
      </c>
      <c r="AN526" s="24">
        <f>IF(C526="","",YEAR(C526))</f>
        <v/>
      </c>
      <c r="AO526" s="24">
        <f>IF(C526="","",MONTH(C526))</f>
        <v/>
      </c>
      <c r="AP526">
        <f>IF(C526="","",UPPER(TEXT(C526,"mmmm")))</f>
        <v/>
      </c>
      <c r="AQ526">
        <f>IF(C526="","","Q"&amp;ROUNDUP(MONTH(C526)/3,0))</f>
        <v/>
      </c>
    </row>
    <row r="527">
      <c r="A527" s="19" t="n">
        <v>46261</v>
      </c>
      <c r="B527" t="inlineStr">
        <is>
          <t>Strzelce Opolskie</t>
        </is>
      </c>
      <c r="C527" s="19" t="n">
        <v>46261</v>
      </c>
      <c r="D527" t="inlineStr">
        <is>
          <t>Magazyn Zabrze</t>
        </is>
      </c>
      <c r="E527" t="inlineStr">
        <is>
          <t>ZAKUP</t>
        </is>
      </c>
      <c r="F527" t="inlineStr">
        <is>
          <t>PZ/112</t>
        </is>
      </c>
      <c r="G527" t="inlineStr">
        <is>
          <t>TAK</t>
        </is>
      </c>
      <c r="H527" t="inlineStr">
        <is>
          <t>Deklaracja</t>
        </is>
      </c>
      <c r="I527" s="20" t="n">
        <v>75.84</v>
      </c>
      <c r="J527" t="inlineStr">
        <is>
          <t>MP</t>
        </is>
      </c>
      <c r="K527" s="21" t="n">
        <v>0</v>
      </c>
      <c r="L527" s="21" t="n">
        <v>0</v>
      </c>
      <c r="M527" s="21" t="n">
        <v>0</v>
      </c>
      <c r="N527" t="inlineStr">
        <is>
          <t>Zrębka Produkcyjna Leśna</t>
        </is>
      </c>
      <c r="O527" t="inlineStr">
        <is>
          <t>B</t>
        </is>
      </c>
      <c r="Q527" s="21" t="n">
        <v>0</v>
      </c>
      <c r="R527" t="inlineStr">
        <is>
          <t>własny (Wilczak)</t>
        </is>
      </c>
      <c r="S527" t="inlineStr">
        <is>
          <t>SK 7J885</t>
        </is>
      </c>
      <c r="T527" s="22" t="n">
        <v>120</v>
      </c>
      <c r="U527" s="21" t="n">
        <v>5</v>
      </c>
      <c r="V527" s="21" t="n">
        <v>600</v>
      </c>
      <c r="W527" t="inlineStr">
        <is>
          <t>Magazyn Zabrze</t>
        </is>
      </c>
      <c r="Z527" t="inlineStr">
        <is>
          <t>Roesner Mateusz</t>
        </is>
      </c>
      <c r="AA527" s="23" t="n">
        <v>46265.39320601852</v>
      </c>
      <c r="AB527" t="inlineStr">
        <is>
          <t>OP-MIGR-00526</t>
        </is>
      </c>
      <c r="AD527" t="inlineStr">
        <is>
          <t>AKTYWNY</t>
        </is>
      </c>
      <c r="AE527" s="20">
        <f>IF(I527="",0,IF(ISNUMBER(SEARCH("MP",UPPER(J527))),I527,IF(ISNUMBER(SEARCH("TON",UPPER(J527))),I527/Przelicznik_MP_tona,IF(ISNUMBER(SEARCH("M3",UPPER(J527))),I527*Przelicznik_M3_MP,IF(ISNUMBER(SEARCH("GJ",UPPER(J527))),I527/Przelicznik_GJ_tona/Przelicznik_MP_tona,I527)))))</f>
        <v/>
      </c>
      <c r="AF527" s="20">
        <f>IF(I527="",0,IF(ISNUMBER(SEARCH("TON",UPPER(J527))),I527,IF(ISNUMBER(SEARCH("GJ",UPPER(J527))),I527/Przelicznik_GJ_tona,AE527*Przelicznik_MP_tona)))</f>
        <v/>
      </c>
      <c r="AG527" s="20">
        <f>AF527*Przelicznik_GJ_tona</f>
        <v/>
      </c>
      <c r="AH527" s="20">
        <f>IF(UPPER(AD527)="SKORYGOWANY",0,IF(OR(UPPER(E527)="TRANSPORT",UPPER(E527)="MM"),0,IF(UPPER(G527)&lt;&gt;"TAK",0,IF(OR(UPPER(E527)="ZAKUP",UPPER(E527)="PRODUKCJA"),AE527,IF(OR(UPPER(E527)="SPRZEDAŻ",UPPER(E527)="ZUŻYCIE"),-AE527,0)))))</f>
        <v/>
      </c>
      <c r="AI527" s="20">
        <f>IF(UPPER(AD527)="SKORYGOWANY",0,IF(OR(UPPER(E527)="TRANSPORT",UPPER(E527)="MM"),0,IF(UPPER(G527)&lt;&gt;"TAK",0,IF(OR(UPPER(E527)="ZAKUP",UPPER(E527)="PRODUKCJA"),AF527,IF(OR(UPPER(E527)="SPRZEDAŻ",UPPER(E527)="ZUŻYCIE"),-AF527,0)))))</f>
        <v/>
      </c>
      <c r="AJ527" s="21">
        <f>IF(UPPER(AD527)="SKORYGOWANY",0,IF(UPPER(E527)="ZAKUP",IF(L527&lt;&gt;"",L527,I527*K527),0))</f>
        <v/>
      </c>
      <c r="AK527" s="21">
        <f>IF(UPPER(AD527)="SKORYGOWANY",0,IF(UPPER(E527)="SPRZEDAŻ",IF(L527&lt;&gt;"",L527,I527*M527),0))</f>
        <v/>
      </c>
      <c r="AL527" s="21">
        <f>AE527*Q527</f>
        <v/>
      </c>
      <c r="AM527">
        <f>IF(R527="","",IF(LOWER(R527)="brak","Brak",IF(OR(ISNUMBER(SEARCH("własn",LOWER(R527))),ISNUMBER(SEARCH("wlasn",LOWER(R527))),ISNUMBER(SEARCH("wojciechowski",LOWER(R527)))),"Własny","Zewnętrzny")))</f>
        <v/>
      </c>
      <c r="AN527" s="24">
        <f>IF(C527="","",YEAR(C527))</f>
        <v/>
      </c>
      <c r="AO527" s="24">
        <f>IF(C527="","",MONTH(C527))</f>
        <v/>
      </c>
      <c r="AP527">
        <f>IF(C527="","",UPPER(TEXT(C527,"mmmm")))</f>
        <v/>
      </c>
      <c r="AQ527">
        <f>IF(C527="","","Q"&amp;ROUNDUP(MONTH(C527)/3,0))</f>
        <v/>
      </c>
    </row>
    <row r="528">
      <c r="A528" s="19" t="n">
        <v>46261</v>
      </c>
      <c r="C528" s="19" t="n">
        <v>46261</v>
      </c>
      <c r="D528" t="inlineStr">
        <is>
          <t>NDL Strzelce Op, Leśnictwo Spórok</t>
        </is>
      </c>
      <c r="E528" t="inlineStr">
        <is>
          <t>ZAKUP</t>
        </is>
      </c>
      <c r="F528" t="inlineStr">
        <is>
          <t>PZ/113  3/202638592/1132</t>
        </is>
      </c>
      <c r="G528" t="inlineStr">
        <is>
          <t>TAK</t>
        </is>
      </c>
      <c r="H528" t="inlineStr">
        <is>
          <t>Deklaracja</t>
        </is>
      </c>
      <c r="I528" s="20" t="n">
        <v>18.1</v>
      </c>
      <c r="J528" t="inlineStr">
        <is>
          <t>M3</t>
        </is>
      </c>
      <c r="K528" s="21" t="n">
        <v>0</v>
      </c>
      <c r="L528" s="21" t="n">
        <v>0</v>
      </c>
      <c r="M528" s="21" t="n">
        <v>0</v>
      </c>
      <c r="N528" t="inlineStr">
        <is>
          <t>Drewno opałowe z lasu</t>
        </is>
      </c>
      <c r="Q528" s="21" t="n">
        <v>0</v>
      </c>
      <c r="T528" s="22" t="n">
        <v>0</v>
      </c>
      <c r="U528" s="21" t="n">
        <v>0</v>
      </c>
      <c r="V528" s="21" t="n">
        <v>0</v>
      </c>
      <c r="W528" t="inlineStr">
        <is>
          <t>Magazyn Zabrze</t>
        </is>
      </c>
      <c r="Z528" t="inlineStr">
        <is>
          <t>Roesner Mateusz</t>
        </is>
      </c>
      <c r="AA528" s="23" t="n">
        <v>46265.39879629629</v>
      </c>
      <c r="AB528" t="inlineStr">
        <is>
          <t>OP-MIGR-00527</t>
        </is>
      </c>
      <c r="AD528" t="inlineStr">
        <is>
          <t>AKTYWNY</t>
        </is>
      </c>
      <c r="AE528" s="20">
        <f>IF(I528="",0,IF(ISNUMBER(SEARCH("MP",UPPER(J528))),I528,IF(ISNUMBER(SEARCH("TON",UPPER(J528))),I528/Przelicznik_MP_tona,IF(ISNUMBER(SEARCH("M3",UPPER(J528))),I528*Przelicznik_M3_MP,IF(ISNUMBER(SEARCH("GJ",UPPER(J528))),I528/Przelicznik_GJ_tona/Przelicznik_MP_tona,I528)))))</f>
        <v/>
      </c>
      <c r="AF528" s="20">
        <f>IF(I528="",0,IF(ISNUMBER(SEARCH("TON",UPPER(J528))),I528,IF(ISNUMBER(SEARCH("GJ",UPPER(J528))),I528/Przelicznik_GJ_tona,AE528*Przelicznik_MP_tona)))</f>
        <v/>
      </c>
      <c r="AG528" s="20">
        <f>AF528*Przelicznik_GJ_tona</f>
        <v/>
      </c>
      <c r="AH528" s="20">
        <f>IF(UPPER(AD528)="SKORYGOWANY",0,IF(OR(UPPER(E528)="TRANSPORT",UPPER(E528)="MM"),0,IF(UPPER(G528)&lt;&gt;"TAK",0,IF(OR(UPPER(E528)="ZAKUP",UPPER(E528)="PRODUKCJA"),AE528,IF(OR(UPPER(E528)="SPRZEDAŻ",UPPER(E528)="ZUŻYCIE"),-AE528,0)))))</f>
        <v/>
      </c>
      <c r="AI528" s="20">
        <f>IF(UPPER(AD528)="SKORYGOWANY",0,IF(OR(UPPER(E528)="TRANSPORT",UPPER(E528)="MM"),0,IF(UPPER(G528)&lt;&gt;"TAK",0,IF(OR(UPPER(E528)="ZAKUP",UPPER(E528)="PRODUKCJA"),AF528,IF(OR(UPPER(E528)="SPRZEDAŻ",UPPER(E528)="ZUŻYCIE"),-AF528,0)))))</f>
        <v/>
      </c>
      <c r="AJ528" s="21">
        <f>IF(UPPER(AD528)="SKORYGOWANY",0,IF(UPPER(E528)="ZAKUP",IF(L528&lt;&gt;"",L528,I528*K528),0))</f>
        <v/>
      </c>
      <c r="AK528" s="21">
        <f>IF(UPPER(AD528)="SKORYGOWANY",0,IF(UPPER(E528)="SPRZEDAŻ",IF(L528&lt;&gt;"",L528,I528*M528),0))</f>
        <v/>
      </c>
      <c r="AL528" s="21">
        <f>AE528*Q528</f>
        <v/>
      </c>
      <c r="AM528">
        <f>IF(R528="","",IF(LOWER(R528)="brak","Brak",IF(OR(ISNUMBER(SEARCH("własn",LOWER(R528))),ISNUMBER(SEARCH("wlasn",LOWER(R528))),ISNUMBER(SEARCH("wojciechowski",LOWER(R528)))),"Własny","Zewnętrzny")))</f>
        <v/>
      </c>
      <c r="AN528" s="24">
        <f>IF(C528="","",YEAR(C528))</f>
        <v/>
      </c>
      <c r="AO528" s="24">
        <f>IF(C528="","",MONTH(C528))</f>
        <v/>
      </c>
      <c r="AP528">
        <f>IF(C528="","",UPPER(TEXT(C528,"mmmm")))</f>
        <v/>
      </c>
      <c r="AQ528">
        <f>IF(C528="","","Q"&amp;ROUNDUP(MONTH(C528)/3,0))</f>
        <v/>
      </c>
    </row>
    <row r="529">
      <c r="A529" s="19" t="n">
        <v>46261</v>
      </c>
      <c r="C529" s="19" t="n">
        <v>46261</v>
      </c>
      <c r="D529" t="inlineStr">
        <is>
          <t>Magazyn Zabrze</t>
        </is>
      </c>
      <c r="E529" t="inlineStr">
        <is>
          <t>PRODUKCJA</t>
        </is>
      </c>
      <c r="F529" t="inlineStr">
        <is>
          <t>PZ/113</t>
        </is>
      </c>
      <c r="G529" t="inlineStr">
        <is>
          <t>TAK</t>
        </is>
      </c>
      <c r="H529" t="inlineStr">
        <is>
          <t>Deklaracja</t>
        </is>
      </c>
      <c r="I529" s="20" t="n">
        <v>72.40000000000001</v>
      </c>
      <c r="J529" t="inlineStr">
        <is>
          <t>MP</t>
        </is>
      </c>
      <c r="K529" s="21" t="n">
        <v>0</v>
      </c>
      <c r="L529" s="21" t="n">
        <v>0</v>
      </c>
      <c r="M529" s="21" t="n">
        <v>0</v>
      </c>
      <c r="N529" t="inlineStr">
        <is>
          <t>Zrębka Produkcyjna Leśna</t>
        </is>
      </c>
      <c r="O529" t="inlineStr">
        <is>
          <t>B</t>
        </is>
      </c>
      <c r="P529" t="inlineStr">
        <is>
          <t>własne</t>
        </is>
      </c>
      <c r="Q529" s="21" t="n">
        <v>10</v>
      </c>
      <c r="T529" s="22" t="n">
        <v>0</v>
      </c>
      <c r="U529" s="21" t="n">
        <v>0</v>
      </c>
      <c r="V529" s="21" t="n">
        <v>0</v>
      </c>
      <c r="W529" t="inlineStr">
        <is>
          <t>Magazyn Zabrze</t>
        </is>
      </c>
      <c r="Z529" t="inlineStr">
        <is>
          <t>Roesner Mateusz</t>
        </is>
      </c>
      <c r="AA529" s="23" t="n">
        <v>46265.39931712963</v>
      </c>
      <c r="AB529" t="inlineStr">
        <is>
          <t>OP-MIGR-00528</t>
        </is>
      </c>
      <c r="AD529" t="inlineStr">
        <is>
          <t>AKTYWNY</t>
        </is>
      </c>
      <c r="AE529" s="20">
        <f>IF(I529="",0,IF(ISNUMBER(SEARCH("MP",UPPER(J529))),I529,IF(ISNUMBER(SEARCH("TON",UPPER(J529))),I529/Przelicznik_MP_tona,IF(ISNUMBER(SEARCH("M3",UPPER(J529))),I529*Przelicznik_M3_MP,IF(ISNUMBER(SEARCH("GJ",UPPER(J529))),I529/Przelicznik_GJ_tona/Przelicznik_MP_tona,I529)))))</f>
        <v/>
      </c>
      <c r="AF529" s="20">
        <f>IF(I529="",0,IF(ISNUMBER(SEARCH("TON",UPPER(J529))),I529,IF(ISNUMBER(SEARCH("GJ",UPPER(J529))),I529/Przelicznik_GJ_tona,AE529*Przelicznik_MP_tona)))</f>
        <v/>
      </c>
      <c r="AG529" s="20">
        <f>AF529*Przelicznik_GJ_tona</f>
        <v/>
      </c>
      <c r="AH529" s="20">
        <f>IF(UPPER(AD529)="SKORYGOWANY",0,IF(OR(UPPER(E529)="TRANSPORT",UPPER(E529)="MM"),0,IF(UPPER(G529)&lt;&gt;"TAK",0,IF(OR(UPPER(E529)="ZAKUP",UPPER(E529)="PRODUKCJA"),AE529,IF(OR(UPPER(E529)="SPRZEDAŻ",UPPER(E529)="ZUŻYCIE"),-AE529,0)))))</f>
        <v/>
      </c>
      <c r="AI529" s="20">
        <f>IF(UPPER(AD529)="SKORYGOWANY",0,IF(OR(UPPER(E529)="TRANSPORT",UPPER(E529)="MM"),0,IF(UPPER(G529)&lt;&gt;"TAK",0,IF(OR(UPPER(E529)="ZAKUP",UPPER(E529)="PRODUKCJA"),AF529,IF(OR(UPPER(E529)="SPRZEDAŻ",UPPER(E529)="ZUŻYCIE"),-AF529,0)))))</f>
        <v/>
      </c>
      <c r="AJ529" s="21">
        <f>IF(UPPER(AD529)="SKORYGOWANY",0,IF(UPPER(E529)="ZAKUP",IF(L529&lt;&gt;"",L529,I529*K529),0))</f>
        <v/>
      </c>
      <c r="AK529" s="21">
        <f>IF(UPPER(AD529)="SKORYGOWANY",0,IF(UPPER(E529)="SPRZEDAŻ",IF(L529&lt;&gt;"",L529,I529*M529),0))</f>
        <v/>
      </c>
      <c r="AL529" s="21">
        <f>AE529*Q529</f>
        <v/>
      </c>
      <c r="AM529">
        <f>IF(R529="","",IF(LOWER(R529)="brak","Brak",IF(OR(ISNUMBER(SEARCH("własn",LOWER(R529))),ISNUMBER(SEARCH("wlasn",LOWER(R529))),ISNUMBER(SEARCH("wojciechowski",LOWER(R529)))),"Własny","Zewnętrzny")))</f>
        <v/>
      </c>
      <c r="AN529" s="24">
        <f>IF(C529="","",YEAR(C529))</f>
        <v/>
      </c>
      <c r="AO529" s="24">
        <f>IF(C529="","",MONTH(C529))</f>
        <v/>
      </c>
      <c r="AP529">
        <f>IF(C529="","",UPPER(TEXT(C529,"mmmm")))</f>
        <v/>
      </c>
      <c r="AQ529">
        <f>IF(C529="","","Q"&amp;ROUNDUP(MONTH(C529)/3,0))</f>
        <v/>
      </c>
    </row>
    <row r="530">
      <c r="A530" s="19" t="n">
        <v>46261</v>
      </c>
      <c r="C530" s="19" t="n">
        <v>46261</v>
      </c>
      <c r="D530" t="inlineStr">
        <is>
          <t>Magazyn Zabrze</t>
        </is>
      </c>
      <c r="E530" t="inlineStr">
        <is>
          <t>ZUŻYCIE</t>
        </is>
      </c>
      <c r="F530" t="inlineStr">
        <is>
          <t>PZ/113</t>
        </is>
      </c>
      <c r="G530" t="inlineStr">
        <is>
          <t>TAK</t>
        </is>
      </c>
      <c r="H530" t="inlineStr">
        <is>
          <t>Deklaracja</t>
        </is>
      </c>
      <c r="I530" s="20" t="n">
        <v>72.40000000000001</v>
      </c>
      <c r="J530" t="inlineStr">
        <is>
          <t>MP</t>
        </is>
      </c>
      <c r="K530" s="21" t="n">
        <v>0</v>
      </c>
      <c r="L530" s="21" t="n">
        <v>0</v>
      </c>
      <c r="M530" s="21" t="n">
        <v>0</v>
      </c>
      <c r="N530" t="inlineStr">
        <is>
          <t>Zrębka Produkcyjna Leśna</t>
        </is>
      </c>
      <c r="O530" t="inlineStr">
        <is>
          <t>B</t>
        </is>
      </c>
      <c r="P530" t="inlineStr">
        <is>
          <t>własne</t>
        </is>
      </c>
      <c r="Q530" s="21" t="n">
        <v>10</v>
      </c>
      <c r="T530" s="22" t="n">
        <v>0</v>
      </c>
      <c r="U530" s="21" t="n">
        <v>0</v>
      </c>
      <c r="V530" s="21" t="n">
        <v>0</v>
      </c>
      <c r="W530" t="inlineStr">
        <is>
          <t>Magazyn Zabrze</t>
        </is>
      </c>
      <c r="Y530" t="inlineStr">
        <is>
          <t>Automatyczne zużycie surowca do produkcji</t>
        </is>
      </c>
      <c r="AA530" s="23" t="n">
        <v>46265.3993287037</v>
      </c>
      <c r="AB530" t="inlineStr">
        <is>
          <t>OP-MIGR-00529</t>
        </is>
      </c>
      <c r="AD530" t="inlineStr">
        <is>
          <t>AKTYWNY</t>
        </is>
      </c>
      <c r="AE530" s="20">
        <f>IF(I530="",0,IF(ISNUMBER(SEARCH("MP",UPPER(J530))),I530,IF(ISNUMBER(SEARCH("TON",UPPER(J530))),I530/Przelicznik_MP_tona,IF(ISNUMBER(SEARCH("M3",UPPER(J530))),I530*Przelicznik_M3_MP,IF(ISNUMBER(SEARCH("GJ",UPPER(J530))),I530/Przelicznik_GJ_tona/Przelicznik_MP_tona,I530)))))</f>
        <v/>
      </c>
      <c r="AF530" s="20">
        <f>IF(I530="",0,IF(ISNUMBER(SEARCH("TON",UPPER(J530))),I530,IF(ISNUMBER(SEARCH("GJ",UPPER(J530))),I530/Przelicznik_GJ_tona,AE530*Przelicznik_MP_tona)))</f>
        <v/>
      </c>
      <c r="AG530" s="20">
        <f>AF530*Przelicznik_GJ_tona</f>
        <v/>
      </c>
      <c r="AH530" s="20">
        <f>IF(UPPER(AD530)="SKORYGOWANY",0,IF(OR(UPPER(E530)="TRANSPORT",UPPER(E530)="MM"),0,IF(UPPER(G530)&lt;&gt;"TAK",0,IF(OR(UPPER(E530)="ZAKUP",UPPER(E530)="PRODUKCJA"),AE530,IF(OR(UPPER(E530)="SPRZEDAŻ",UPPER(E530)="ZUŻYCIE"),-AE530,0)))))</f>
        <v/>
      </c>
      <c r="AI530" s="20">
        <f>IF(UPPER(AD530)="SKORYGOWANY",0,IF(OR(UPPER(E530)="TRANSPORT",UPPER(E530)="MM"),0,IF(UPPER(G530)&lt;&gt;"TAK",0,IF(OR(UPPER(E530)="ZAKUP",UPPER(E530)="PRODUKCJA"),AF530,IF(OR(UPPER(E530)="SPRZEDAŻ",UPPER(E530)="ZUŻYCIE"),-AF530,0)))))</f>
        <v/>
      </c>
      <c r="AJ530" s="21">
        <f>IF(UPPER(AD530)="SKORYGOWANY",0,IF(UPPER(E530)="ZAKUP",IF(L530&lt;&gt;"",L530,I530*K530),0))</f>
        <v/>
      </c>
      <c r="AK530" s="21">
        <f>IF(UPPER(AD530)="SKORYGOWANY",0,IF(UPPER(E530)="SPRZEDAŻ",IF(L530&lt;&gt;"",L530,I530*M530),0))</f>
        <v/>
      </c>
      <c r="AL530" s="21">
        <f>AE530*Q530</f>
        <v/>
      </c>
      <c r="AM530">
        <f>IF(R530="","",IF(LOWER(R530)="brak","Brak",IF(OR(ISNUMBER(SEARCH("własn",LOWER(R530))),ISNUMBER(SEARCH("wlasn",LOWER(R530))),ISNUMBER(SEARCH("wojciechowski",LOWER(R530)))),"Własny","Zewnętrzny")))</f>
        <v/>
      </c>
      <c r="AN530" s="24">
        <f>IF(C530="","",YEAR(C530))</f>
        <v/>
      </c>
      <c r="AO530" s="24">
        <f>IF(C530="","",MONTH(C530))</f>
        <v/>
      </c>
      <c r="AP530">
        <f>IF(C530="","",UPPER(TEXT(C530,"mmmm")))</f>
        <v/>
      </c>
      <c r="AQ530">
        <f>IF(C530="","","Q"&amp;ROUNDUP(MONTH(C530)/3,0))</f>
        <v/>
      </c>
    </row>
    <row r="531">
      <c r="A531" s="19" t="n">
        <v>46261</v>
      </c>
      <c r="B531" t="inlineStr">
        <is>
          <t>Strzelce Opolskie</t>
        </is>
      </c>
      <c r="C531" s="19" t="n">
        <v>46261</v>
      </c>
      <c r="D531" t="inlineStr">
        <is>
          <t>Magazyn Zabrze</t>
        </is>
      </c>
      <c r="E531" t="inlineStr">
        <is>
          <t>ZAKUP</t>
        </is>
      </c>
      <c r="F531" t="inlineStr">
        <is>
          <t>PZ/113</t>
        </is>
      </c>
      <c r="G531" t="inlineStr">
        <is>
          <t>TAK</t>
        </is>
      </c>
      <c r="H531" t="inlineStr">
        <is>
          <t>Deklaracja</t>
        </is>
      </c>
      <c r="I531" s="20" t="n">
        <v>72.40000000000001</v>
      </c>
      <c r="J531" t="inlineStr">
        <is>
          <t>MP</t>
        </is>
      </c>
      <c r="K531" s="21" t="n">
        <v>0</v>
      </c>
      <c r="L531" s="21" t="n">
        <v>0</v>
      </c>
      <c r="M531" s="21" t="n">
        <v>0</v>
      </c>
      <c r="N531" t="inlineStr">
        <is>
          <t>Zrębka Produkcyjna Leśna</t>
        </is>
      </c>
      <c r="O531" t="inlineStr">
        <is>
          <t>B</t>
        </is>
      </c>
      <c r="Q531" s="21" t="n">
        <v>0</v>
      </c>
      <c r="R531" t="inlineStr">
        <is>
          <t>własny (Chrzan)</t>
        </is>
      </c>
      <c r="S531" t="inlineStr">
        <is>
          <t>SK 5L809</t>
        </is>
      </c>
      <c r="T531" s="22" t="n">
        <v>120</v>
      </c>
      <c r="U531" s="21" t="n">
        <v>5</v>
      </c>
      <c r="V531" s="21" t="n">
        <v>600</v>
      </c>
      <c r="W531" t="inlineStr">
        <is>
          <t>Magazyn Zabrze</t>
        </is>
      </c>
      <c r="Z531" t="inlineStr">
        <is>
          <t>Roesner Mateusz</t>
        </is>
      </c>
      <c r="AA531" s="23" t="n">
        <v>46265.40002314815</v>
      </c>
      <c r="AB531" t="inlineStr">
        <is>
          <t>OP-MIGR-00530</t>
        </is>
      </c>
      <c r="AD531" t="inlineStr">
        <is>
          <t>AKTYWNY</t>
        </is>
      </c>
      <c r="AE531" s="20">
        <f>IF(I531="",0,IF(ISNUMBER(SEARCH("MP",UPPER(J531))),I531,IF(ISNUMBER(SEARCH("TON",UPPER(J531))),I531/Przelicznik_MP_tona,IF(ISNUMBER(SEARCH("M3",UPPER(J531))),I531*Przelicznik_M3_MP,IF(ISNUMBER(SEARCH("GJ",UPPER(J531))),I531/Przelicznik_GJ_tona/Przelicznik_MP_tona,I531)))))</f>
        <v/>
      </c>
      <c r="AF531" s="20">
        <f>IF(I531="",0,IF(ISNUMBER(SEARCH("TON",UPPER(J531))),I531,IF(ISNUMBER(SEARCH("GJ",UPPER(J531))),I531/Przelicznik_GJ_tona,AE531*Przelicznik_MP_tona)))</f>
        <v/>
      </c>
      <c r="AG531" s="20">
        <f>AF531*Przelicznik_GJ_tona</f>
        <v/>
      </c>
      <c r="AH531" s="20">
        <f>IF(UPPER(AD531)="SKORYGOWANY",0,IF(OR(UPPER(E531)="TRANSPORT",UPPER(E531)="MM"),0,IF(UPPER(G531)&lt;&gt;"TAK",0,IF(OR(UPPER(E531)="ZAKUP",UPPER(E531)="PRODUKCJA"),AE531,IF(OR(UPPER(E531)="SPRZEDAŻ",UPPER(E531)="ZUŻYCIE"),-AE531,0)))))</f>
        <v/>
      </c>
      <c r="AI531" s="20">
        <f>IF(UPPER(AD531)="SKORYGOWANY",0,IF(OR(UPPER(E531)="TRANSPORT",UPPER(E531)="MM"),0,IF(UPPER(G531)&lt;&gt;"TAK",0,IF(OR(UPPER(E531)="ZAKUP",UPPER(E531)="PRODUKCJA"),AF531,IF(OR(UPPER(E531)="SPRZEDAŻ",UPPER(E531)="ZUŻYCIE"),-AF531,0)))))</f>
        <v/>
      </c>
      <c r="AJ531" s="21">
        <f>IF(UPPER(AD531)="SKORYGOWANY",0,IF(UPPER(E531)="ZAKUP",IF(L531&lt;&gt;"",L531,I531*K531),0))</f>
        <v/>
      </c>
      <c r="AK531" s="21">
        <f>IF(UPPER(AD531)="SKORYGOWANY",0,IF(UPPER(E531)="SPRZEDAŻ",IF(L531&lt;&gt;"",L531,I531*M531),0))</f>
        <v/>
      </c>
      <c r="AL531" s="21">
        <f>AE531*Q531</f>
        <v/>
      </c>
      <c r="AM531">
        <f>IF(R531="","",IF(LOWER(R531)="brak","Brak",IF(OR(ISNUMBER(SEARCH("własn",LOWER(R531))),ISNUMBER(SEARCH("wlasn",LOWER(R531))),ISNUMBER(SEARCH("wojciechowski",LOWER(R531)))),"Własny","Zewnętrzny")))</f>
        <v/>
      </c>
      <c r="AN531" s="24">
        <f>IF(C531="","",YEAR(C531))</f>
        <v/>
      </c>
      <c r="AO531" s="24">
        <f>IF(C531="","",MONTH(C531))</f>
        <v/>
      </c>
      <c r="AP531">
        <f>IF(C531="","",UPPER(TEXT(C531,"mmmm")))</f>
        <v/>
      </c>
      <c r="AQ531">
        <f>IF(C531="","","Q"&amp;ROUNDUP(MONTH(C531)/3,0))</f>
        <v/>
      </c>
    </row>
    <row r="532">
      <c r="A532" s="19" t="n">
        <v>46261</v>
      </c>
      <c r="C532" s="19" t="n">
        <v>46261</v>
      </c>
      <c r="D532" t="inlineStr">
        <is>
          <t>NDL Strzelce Op, Leśnictwo Spórok</t>
        </is>
      </c>
      <c r="E532" t="inlineStr">
        <is>
          <t>ZAKUP</t>
        </is>
      </c>
      <c r="F532" t="inlineStr">
        <is>
          <t>PZ/122    3/202638592/1131</t>
        </is>
      </c>
      <c r="G532" t="inlineStr">
        <is>
          <t>TAK</t>
        </is>
      </c>
      <c r="H532" t="inlineStr">
        <is>
          <t>Deklaracja</t>
        </is>
      </c>
      <c r="I532" s="20" t="n">
        <v>14.5</v>
      </c>
      <c r="J532" t="inlineStr">
        <is>
          <t>M3</t>
        </is>
      </c>
      <c r="K532" s="21" t="n">
        <v>0</v>
      </c>
      <c r="L532" s="21" t="n">
        <v>0</v>
      </c>
      <c r="M532" s="21" t="n">
        <v>0</v>
      </c>
      <c r="N532" t="inlineStr">
        <is>
          <t>Drewno opałowe z lasu</t>
        </is>
      </c>
      <c r="Q532" s="21" t="n">
        <v>0</v>
      </c>
      <c r="T532" s="22" t="n">
        <v>0</v>
      </c>
      <c r="U532" s="21" t="n">
        <v>0</v>
      </c>
      <c r="V532" s="21" t="n">
        <v>0</v>
      </c>
      <c r="W532" t="inlineStr">
        <is>
          <t>Magazyn Zabrze</t>
        </is>
      </c>
      <c r="Z532" t="inlineStr">
        <is>
          <t>Roesner Mateusz</t>
        </is>
      </c>
      <c r="AA532" s="23" t="n">
        <v>46266.26584490741</v>
      </c>
      <c r="AB532" t="inlineStr">
        <is>
          <t>OP-MIGR-00531</t>
        </is>
      </c>
      <c r="AD532" t="inlineStr">
        <is>
          <t>AKTYWNY</t>
        </is>
      </c>
      <c r="AE532" s="20">
        <f>IF(I532="",0,IF(ISNUMBER(SEARCH("MP",UPPER(J532))),I532,IF(ISNUMBER(SEARCH("TON",UPPER(J532))),I532/Przelicznik_MP_tona,IF(ISNUMBER(SEARCH("M3",UPPER(J532))),I532*Przelicznik_M3_MP,IF(ISNUMBER(SEARCH("GJ",UPPER(J532))),I532/Przelicznik_GJ_tona/Przelicznik_MP_tona,I532)))))</f>
        <v/>
      </c>
      <c r="AF532" s="20">
        <f>IF(I532="",0,IF(ISNUMBER(SEARCH("TON",UPPER(J532))),I532,IF(ISNUMBER(SEARCH("GJ",UPPER(J532))),I532/Przelicznik_GJ_tona,AE532*Przelicznik_MP_tona)))</f>
        <v/>
      </c>
      <c r="AG532" s="20">
        <f>AF532*Przelicznik_GJ_tona</f>
        <v/>
      </c>
      <c r="AH532" s="20">
        <f>IF(UPPER(AD532)="SKORYGOWANY",0,IF(OR(UPPER(E532)="TRANSPORT",UPPER(E532)="MM"),0,IF(UPPER(G532)&lt;&gt;"TAK",0,IF(OR(UPPER(E532)="ZAKUP",UPPER(E532)="PRODUKCJA"),AE532,IF(OR(UPPER(E532)="SPRZEDAŻ",UPPER(E532)="ZUŻYCIE"),-AE532,0)))))</f>
        <v/>
      </c>
      <c r="AI532" s="20">
        <f>IF(UPPER(AD532)="SKORYGOWANY",0,IF(OR(UPPER(E532)="TRANSPORT",UPPER(E532)="MM"),0,IF(UPPER(G532)&lt;&gt;"TAK",0,IF(OR(UPPER(E532)="ZAKUP",UPPER(E532)="PRODUKCJA"),AF532,IF(OR(UPPER(E532)="SPRZEDAŻ",UPPER(E532)="ZUŻYCIE"),-AF532,0)))))</f>
        <v/>
      </c>
      <c r="AJ532" s="21">
        <f>IF(UPPER(AD532)="SKORYGOWANY",0,IF(UPPER(E532)="ZAKUP",IF(L532&lt;&gt;"",L532,I532*K532),0))</f>
        <v/>
      </c>
      <c r="AK532" s="21">
        <f>IF(UPPER(AD532)="SKORYGOWANY",0,IF(UPPER(E532)="SPRZEDAŻ",IF(L532&lt;&gt;"",L532,I532*M532),0))</f>
        <v/>
      </c>
      <c r="AL532" s="21">
        <f>AE532*Q532</f>
        <v/>
      </c>
      <c r="AM532">
        <f>IF(R532="","",IF(LOWER(R532)="brak","Brak",IF(OR(ISNUMBER(SEARCH("własn",LOWER(R532))),ISNUMBER(SEARCH("wlasn",LOWER(R532))),ISNUMBER(SEARCH("wojciechowski",LOWER(R532)))),"Własny","Zewnętrzny")))</f>
        <v/>
      </c>
      <c r="AN532" s="24">
        <f>IF(C532="","",YEAR(C532))</f>
        <v/>
      </c>
      <c r="AO532" s="24">
        <f>IF(C532="","",MONTH(C532))</f>
        <v/>
      </c>
      <c r="AP532">
        <f>IF(C532="","",UPPER(TEXT(C532,"mmmm")))</f>
        <v/>
      </c>
      <c r="AQ532">
        <f>IF(C532="","","Q"&amp;ROUNDUP(MONTH(C532)/3,0))</f>
        <v/>
      </c>
    </row>
    <row r="533">
      <c r="A533" s="19" t="n">
        <v>46261</v>
      </c>
      <c r="C533" s="19" t="n">
        <v>46261</v>
      </c>
      <c r="D533" t="inlineStr">
        <is>
          <t>Magazyn Zabrze</t>
        </is>
      </c>
      <c r="E533" t="inlineStr">
        <is>
          <t>PRODUKCJA</t>
        </is>
      </c>
      <c r="F533" t="inlineStr">
        <is>
          <t>PZ/122</t>
        </is>
      </c>
      <c r="G533" t="inlineStr">
        <is>
          <t>TAK</t>
        </is>
      </c>
      <c r="H533" t="inlineStr">
        <is>
          <t>Deklaracja</t>
        </is>
      </c>
      <c r="I533" s="20" t="n">
        <v>58</v>
      </c>
      <c r="J533" t="inlineStr">
        <is>
          <t>MP</t>
        </is>
      </c>
      <c r="K533" s="21" t="n">
        <v>0</v>
      </c>
      <c r="L533" s="21" t="n">
        <v>0</v>
      </c>
      <c r="M533" s="21" t="n">
        <v>0</v>
      </c>
      <c r="N533" t="inlineStr">
        <is>
          <t>Zrębka Produkcyjna Leśna</t>
        </is>
      </c>
      <c r="O533" t="inlineStr">
        <is>
          <t>B</t>
        </is>
      </c>
      <c r="P533" t="inlineStr">
        <is>
          <t>własne</t>
        </is>
      </c>
      <c r="Q533" s="21" t="n">
        <v>10</v>
      </c>
      <c r="T533" s="22" t="n">
        <v>0</v>
      </c>
      <c r="U533" s="21" t="n">
        <v>0</v>
      </c>
      <c r="V533" s="21" t="n">
        <v>0</v>
      </c>
      <c r="W533" t="inlineStr">
        <is>
          <t>Magazyn Zabrze</t>
        </is>
      </c>
      <c r="Z533" t="inlineStr">
        <is>
          <t>Roesner Mateusz</t>
        </is>
      </c>
      <c r="AA533" s="23" t="n">
        <v>46266.26732638889</v>
      </c>
      <c r="AB533" t="inlineStr">
        <is>
          <t>OP-MIGR-00532</t>
        </is>
      </c>
      <c r="AD533" t="inlineStr">
        <is>
          <t>AKTYWNY</t>
        </is>
      </c>
      <c r="AE533" s="20">
        <f>IF(I533="",0,IF(ISNUMBER(SEARCH("MP",UPPER(J533))),I533,IF(ISNUMBER(SEARCH("TON",UPPER(J533))),I533/Przelicznik_MP_tona,IF(ISNUMBER(SEARCH("M3",UPPER(J533))),I533*Przelicznik_M3_MP,IF(ISNUMBER(SEARCH("GJ",UPPER(J533))),I533/Przelicznik_GJ_tona/Przelicznik_MP_tona,I533)))))</f>
        <v/>
      </c>
      <c r="AF533" s="20">
        <f>IF(I533="",0,IF(ISNUMBER(SEARCH("TON",UPPER(J533))),I533,IF(ISNUMBER(SEARCH("GJ",UPPER(J533))),I533/Przelicznik_GJ_tona,AE533*Przelicznik_MP_tona)))</f>
        <v/>
      </c>
      <c r="AG533" s="20">
        <f>AF533*Przelicznik_GJ_tona</f>
        <v/>
      </c>
      <c r="AH533" s="20">
        <f>IF(UPPER(AD533)="SKORYGOWANY",0,IF(OR(UPPER(E533)="TRANSPORT",UPPER(E533)="MM"),0,IF(UPPER(G533)&lt;&gt;"TAK",0,IF(OR(UPPER(E533)="ZAKUP",UPPER(E533)="PRODUKCJA"),AE533,IF(OR(UPPER(E533)="SPRZEDAŻ",UPPER(E533)="ZUŻYCIE"),-AE533,0)))))</f>
        <v/>
      </c>
      <c r="AI533" s="20">
        <f>IF(UPPER(AD533)="SKORYGOWANY",0,IF(OR(UPPER(E533)="TRANSPORT",UPPER(E533)="MM"),0,IF(UPPER(G533)&lt;&gt;"TAK",0,IF(OR(UPPER(E533)="ZAKUP",UPPER(E533)="PRODUKCJA"),AF533,IF(OR(UPPER(E533)="SPRZEDAŻ",UPPER(E533)="ZUŻYCIE"),-AF533,0)))))</f>
        <v/>
      </c>
      <c r="AJ533" s="21">
        <f>IF(UPPER(AD533)="SKORYGOWANY",0,IF(UPPER(E533)="ZAKUP",IF(L533&lt;&gt;"",L533,I533*K533),0))</f>
        <v/>
      </c>
      <c r="AK533" s="21">
        <f>IF(UPPER(AD533)="SKORYGOWANY",0,IF(UPPER(E533)="SPRZEDAŻ",IF(L533&lt;&gt;"",L533,I533*M533),0))</f>
        <v/>
      </c>
      <c r="AL533" s="21">
        <f>AE533*Q533</f>
        <v/>
      </c>
      <c r="AM533">
        <f>IF(R533="","",IF(LOWER(R533)="brak","Brak",IF(OR(ISNUMBER(SEARCH("własn",LOWER(R533))),ISNUMBER(SEARCH("wlasn",LOWER(R533))),ISNUMBER(SEARCH("wojciechowski",LOWER(R533)))),"Własny","Zewnętrzny")))</f>
        <v/>
      </c>
      <c r="AN533" s="24">
        <f>IF(C533="","",YEAR(C533))</f>
        <v/>
      </c>
      <c r="AO533" s="24">
        <f>IF(C533="","",MONTH(C533))</f>
        <v/>
      </c>
      <c r="AP533">
        <f>IF(C533="","",UPPER(TEXT(C533,"mmmm")))</f>
        <v/>
      </c>
      <c r="AQ533">
        <f>IF(C533="","","Q"&amp;ROUNDUP(MONTH(C533)/3,0))</f>
        <v/>
      </c>
    </row>
    <row r="534">
      <c r="A534" s="19" t="n">
        <v>46261</v>
      </c>
      <c r="C534" s="19" t="n">
        <v>46261</v>
      </c>
      <c r="D534" t="inlineStr">
        <is>
          <t>Magazyn Zabrze</t>
        </is>
      </c>
      <c r="E534" t="inlineStr">
        <is>
          <t>ZUŻYCIE</t>
        </is>
      </c>
      <c r="F534" t="inlineStr">
        <is>
          <t>PZ/122</t>
        </is>
      </c>
      <c r="G534" t="inlineStr">
        <is>
          <t>TAK</t>
        </is>
      </c>
      <c r="H534" t="inlineStr">
        <is>
          <t>Deklaracja</t>
        </is>
      </c>
      <c r="I534" s="20" t="n">
        <v>58</v>
      </c>
      <c r="J534" t="inlineStr">
        <is>
          <t>MP</t>
        </is>
      </c>
      <c r="K534" s="21" t="n">
        <v>0</v>
      </c>
      <c r="L534" s="21" t="n">
        <v>0</v>
      </c>
      <c r="M534" s="21" t="n">
        <v>0</v>
      </c>
      <c r="N534" t="inlineStr">
        <is>
          <t>Zrębka Produkcyjna Leśna</t>
        </is>
      </c>
      <c r="O534" t="inlineStr">
        <is>
          <t>B</t>
        </is>
      </c>
      <c r="P534" t="inlineStr">
        <is>
          <t>własne</t>
        </is>
      </c>
      <c r="Q534" s="21" t="n">
        <v>10</v>
      </c>
      <c r="T534" s="22" t="n">
        <v>0</v>
      </c>
      <c r="U534" s="21" t="n">
        <v>0</v>
      </c>
      <c r="V534" s="21" t="n">
        <v>0</v>
      </c>
      <c r="W534" t="inlineStr">
        <is>
          <t>Magazyn Zabrze</t>
        </is>
      </c>
      <c r="Y534" t="inlineStr">
        <is>
          <t>Automatyczne zużycie surowca do produkcji</t>
        </is>
      </c>
      <c r="AA534" s="23" t="n">
        <v>46266.26733796296</v>
      </c>
      <c r="AB534" t="inlineStr">
        <is>
          <t>OP-MIGR-00533</t>
        </is>
      </c>
      <c r="AD534" t="inlineStr">
        <is>
          <t>AKTYWNY</t>
        </is>
      </c>
      <c r="AE534" s="20">
        <f>IF(I534="",0,IF(ISNUMBER(SEARCH("MP",UPPER(J534))),I534,IF(ISNUMBER(SEARCH("TON",UPPER(J534))),I534/Przelicznik_MP_tona,IF(ISNUMBER(SEARCH("M3",UPPER(J534))),I534*Przelicznik_M3_MP,IF(ISNUMBER(SEARCH("GJ",UPPER(J534))),I534/Przelicznik_GJ_tona/Przelicznik_MP_tona,I534)))))</f>
        <v/>
      </c>
      <c r="AF534" s="20">
        <f>IF(I534="",0,IF(ISNUMBER(SEARCH("TON",UPPER(J534))),I534,IF(ISNUMBER(SEARCH("GJ",UPPER(J534))),I534/Przelicznik_GJ_tona,AE534*Przelicznik_MP_tona)))</f>
        <v/>
      </c>
      <c r="AG534" s="20">
        <f>AF534*Przelicznik_GJ_tona</f>
        <v/>
      </c>
      <c r="AH534" s="20">
        <f>IF(UPPER(AD534)="SKORYGOWANY",0,IF(OR(UPPER(E534)="TRANSPORT",UPPER(E534)="MM"),0,IF(UPPER(G534)&lt;&gt;"TAK",0,IF(OR(UPPER(E534)="ZAKUP",UPPER(E534)="PRODUKCJA"),AE534,IF(OR(UPPER(E534)="SPRZEDAŻ",UPPER(E534)="ZUŻYCIE"),-AE534,0)))))</f>
        <v/>
      </c>
      <c r="AI534" s="20">
        <f>IF(UPPER(AD534)="SKORYGOWANY",0,IF(OR(UPPER(E534)="TRANSPORT",UPPER(E534)="MM"),0,IF(UPPER(G534)&lt;&gt;"TAK",0,IF(OR(UPPER(E534)="ZAKUP",UPPER(E534)="PRODUKCJA"),AF534,IF(OR(UPPER(E534)="SPRZEDAŻ",UPPER(E534)="ZUŻYCIE"),-AF534,0)))))</f>
        <v/>
      </c>
      <c r="AJ534" s="21">
        <f>IF(UPPER(AD534)="SKORYGOWANY",0,IF(UPPER(E534)="ZAKUP",IF(L534&lt;&gt;"",L534,I534*K534),0))</f>
        <v/>
      </c>
      <c r="AK534" s="21">
        <f>IF(UPPER(AD534)="SKORYGOWANY",0,IF(UPPER(E534)="SPRZEDAŻ",IF(L534&lt;&gt;"",L534,I534*M534),0))</f>
        <v/>
      </c>
      <c r="AL534" s="21">
        <f>AE534*Q534</f>
        <v/>
      </c>
      <c r="AM534">
        <f>IF(R534="","",IF(LOWER(R534)="brak","Brak",IF(OR(ISNUMBER(SEARCH("własn",LOWER(R534))),ISNUMBER(SEARCH("wlasn",LOWER(R534))),ISNUMBER(SEARCH("wojciechowski",LOWER(R534)))),"Własny","Zewnętrzny")))</f>
        <v/>
      </c>
      <c r="AN534" s="24">
        <f>IF(C534="","",YEAR(C534))</f>
        <v/>
      </c>
      <c r="AO534" s="24">
        <f>IF(C534="","",MONTH(C534))</f>
        <v/>
      </c>
      <c r="AP534">
        <f>IF(C534="","",UPPER(TEXT(C534,"mmmm")))</f>
        <v/>
      </c>
      <c r="AQ534">
        <f>IF(C534="","","Q"&amp;ROUNDUP(MONTH(C534)/3,0))</f>
        <v/>
      </c>
    </row>
    <row r="535">
      <c r="A535" s="19" t="n">
        <v>46261</v>
      </c>
      <c r="B535" t="inlineStr">
        <is>
          <t>Strzelce Opolskie</t>
        </is>
      </c>
      <c r="C535" s="19" t="n">
        <v>46261</v>
      </c>
      <c r="D535" t="inlineStr">
        <is>
          <t>Magazyn Zabrze</t>
        </is>
      </c>
      <c r="E535" t="inlineStr">
        <is>
          <t>ZAKUP</t>
        </is>
      </c>
      <c r="F535" t="inlineStr">
        <is>
          <t>PZ/122</t>
        </is>
      </c>
      <c r="G535" t="inlineStr">
        <is>
          <t>TAK</t>
        </is>
      </c>
      <c r="H535" t="inlineStr">
        <is>
          <t>Deklaracja</t>
        </is>
      </c>
      <c r="I535" s="20" t="n">
        <v>58</v>
      </c>
      <c r="J535" t="inlineStr">
        <is>
          <t>MP</t>
        </is>
      </c>
      <c r="K535" s="21" t="n">
        <v>0</v>
      </c>
      <c r="L535" s="21" t="n">
        <v>0</v>
      </c>
      <c r="M535" s="21" t="n">
        <v>0</v>
      </c>
      <c r="N535" t="inlineStr">
        <is>
          <t>Zrębka Produkcyjna Leśna</t>
        </is>
      </c>
      <c r="O535" t="inlineStr">
        <is>
          <t>B</t>
        </is>
      </c>
      <c r="Q535" s="21" t="n">
        <v>0</v>
      </c>
      <c r="R535" t="inlineStr">
        <is>
          <t>Lander Agro</t>
        </is>
      </c>
      <c r="S535" t="inlineStr">
        <is>
          <t>PY 30536</t>
        </is>
      </c>
      <c r="T535" s="22" t="n">
        <v>120</v>
      </c>
      <c r="U535" s="21" t="n">
        <v>5</v>
      </c>
      <c r="V535" s="21" t="n">
        <v>600</v>
      </c>
      <c r="W535" t="inlineStr">
        <is>
          <t>Magazyn Zabrze</t>
        </is>
      </c>
      <c r="Z535" t="inlineStr">
        <is>
          <t>Roesner Mateusz</t>
        </is>
      </c>
      <c r="AA535" s="23" t="n">
        <v>46266.2683912037</v>
      </c>
      <c r="AB535" t="inlineStr">
        <is>
          <t>OP-MIGR-00534</t>
        </is>
      </c>
      <c r="AD535" t="inlineStr">
        <is>
          <t>AKTYWNY</t>
        </is>
      </c>
      <c r="AE535" s="20">
        <f>IF(I535="",0,IF(ISNUMBER(SEARCH("MP",UPPER(J535))),I535,IF(ISNUMBER(SEARCH("TON",UPPER(J535))),I535/Przelicznik_MP_tona,IF(ISNUMBER(SEARCH("M3",UPPER(J535))),I535*Przelicznik_M3_MP,IF(ISNUMBER(SEARCH("GJ",UPPER(J535))),I535/Przelicznik_GJ_tona/Przelicznik_MP_tona,I535)))))</f>
        <v/>
      </c>
      <c r="AF535" s="20">
        <f>IF(I535="",0,IF(ISNUMBER(SEARCH("TON",UPPER(J535))),I535,IF(ISNUMBER(SEARCH("GJ",UPPER(J535))),I535/Przelicznik_GJ_tona,AE535*Przelicznik_MP_tona)))</f>
        <v/>
      </c>
      <c r="AG535" s="20">
        <f>AF535*Przelicznik_GJ_tona</f>
        <v/>
      </c>
      <c r="AH535" s="20">
        <f>IF(UPPER(AD535)="SKORYGOWANY",0,IF(OR(UPPER(E535)="TRANSPORT",UPPER(E535)="MM"),0,IF(UPPER(G535)&lt;&gt;"TAK",0,IF(OR(UPPER(E535)="ZAKUP",UPPER(E535)="PRODUKCJA"),AE535,IF(OR(UPPER(E535)="SPRZEDAŻ",UPPER(E535)="ZUŻYCIE"),-AE535,0)))))</f>
        <v/>
      </c>
      <c r="AI535" s="20">
        <f>IF(UPPER(AD535)="SKORYGOWANY",0,IF(OR(UPPER(E535)="TRANSPORT",UPPER(E535)="MM"),0,IF(UPPER(G535)&lt;&gt;"TAK",0,IF(OR(UPPER(E535)="ZAKUP",UPPER(E535)="PRODUKCJA"),AF535,IF(OR(UPPER(E535)="SPRZEDAŻ",UPPER(E535)="ZUŻYCIE"),-AF535,0)))))</f>
        <v/>
      </c>
      <c r="AJ535" s="21">
        <f>IF(UPPER(AD535)="SKORYGOWANY",0,IF(UPPER(E535)="ZAKUP",IF(L535&lt;&gt;"",L535,I535*K535),0))</f>
        <v/>
      </c>
      <c r="AK535" s="21">
        <f>IF(UPPER(AD535)="SKORYGOWANY",0,IF(UPPER(E535)="SPRZEDAŻ",IF(L535&lt;&gt;"",L535,I535*M535),0))</f>
        <v/>
      </c>
      <c r="AL535" s="21">
        <f>AE535*Q535</f>
        <v/>
      </c>
      <c r="AM535">
        <f>IF(R535="","",IF(LOWER(R535)="brak","Brak",IF(OR(ISNUMBER(SEARCH("własn",LOWER(R535))),ISNUMBER(SEARCH("wlasn",LOWER(R535))),ISNUMBER(SEARCH("wojciechowski",LOWER(R535)))),"Własny","Zewnętrzny")))</f>
        <v/>
      </c>
      <c r="AN535" s="24">
        <f>IF(C535="","",YEAR(C535))</f>
        <v/>
      </c>
      <c r="AO535" s="24">
        <f>IF(C535="","",MONTH(C535))</f>
        <v/>
      </c>
      <c r="AP535">
        <f>IF(C535="","",UPPER(TEXT(C535,"mmmm")))</f>
        <v/>
      </c>
      <c r="AQ535">
        <f>IF(C535="","","Q"&amp;ROUNDUP(MONTH(C535)/3,0))</f>
        <v/>
      </c>
    </row>
    <row r="536">
      <c r="A536" s="19" t="n">
        <v>46261</v>
      </c>
      <c r="C536" s="19" t="n">
        <v>46261</v>
      </c>
      <c r="D536" t="inlineStr">
        <is>
          <t>NDL Strzelce Op, Leśnictwo Spórok</t>
        </is>
      </c>
      <c r="E536" t="inlineStr">
        <is>
          <t>ZAKUP</t>
        </is>
      </c>
      <c r="F536" t="inlineStr">
        <is>
          <t>PZ/123  3/202638592/1133</t>
        </is>
      </c>
      <c r="G536" t="inlineStr">
        <is>
          <t>TAK</t>
        </is>
      </c>
      <c r="H536" t="inlineStr">
        <is>
          <t>Deklaracja</t>
        </is>
      </c>
      <c r="I536" s="20" t="n">
        <v>15.65</v>
      </c>
      <c r="J536" t="inlineStr">
        <is>
          <t>M3</t>
        </is>
      </c>
      <c r="K536" s="21" t="n">
        <v>0</v>
      </c>
      <c r="L536" s="21" t="n">
        <v>0</v>
      </c>
      <c r="M536" s="21" t="n">
        <v>0</v>
      </c>
      <c r="N536" t="inlineStr">
        <is>
          <t>Drewno opałowe z lasu</t>
        </is>
      </c>
      <c r="Q536" s="21" t="n">
        <v>0</v>
      </c>
      <c r="T536" s="22" t="n">
        <v>0</v>
      </c>
      <c r="U536" s="21" t="n">
        <v>0</v>
      </c>
      <c r="V536" s="21" t="n">
        <v>0</v>
      </c>
      <c r="W536" t="inlineStr">
        <is>
          <t>Magazyn Zabrze</t>
        </is>
      </c>
      <c r="Z536" t="inlineStr">
        <is>
          <t>Roesner Mateusz</t>
        </is>
      </c>
      <c r="AA536" s="23" t="n">
        <v>46266.27012731481</v>
      </c>
      <c r="AB536" t="inlineStr">
        <is>
          <t>OP-MIGR-00535</t>
        </is>
      </c>
      <c r="AD536" t="inlineStr">
        <is>
          <t>AKTYWNY</t>
        </is>
      </c>
      <c r="AE536" s="20">
        <f>IF(I536="",0,IF(ISNUMBER(SEARCH("MP",UPPER(J536))),I536,IF(ISNUMBER(SEARCH("TON",UPPER(J536))),I536/Przelicznik_MP_tona,IF(ISNUMBER(SEARCH("M3",UPPER(J536))),I536*Przelicznik_M3_MP,IF(ISNUMBER(SEARCH("GJ",UPPER(J536))),I536/Przelicznik_GJ_tona/Przelicznik_MP_tona,I536)))))</f>
        <v/>
      </c>
      <c r="AF536" s="20">
        <f>IF(I536="",0,IF(ISNUMBER(SEARCH("TON",UPPER(J536))),I536,IF(ISNUMBER(SEARCH("GJ",UPPER(J536))),I536/Przelicznik_GJ_tona,AE536*Przelicznik_MP_tona)))</f>
        <v/>
      </c>
      <c r="AG536" s="20">
        <f>AF536*Przelicznik_GJ_tona</f>
        <v/>
      </c>
      <c r="AH536" s="20">
        <f>IF(UPPER(AD536)="SKORYGOWANY",0,IF(OR(UPPER(E536)="TRANSPORT",UPPER(E536)="MM"),0,IF(UPPER(G536)&lt;&gt;"TAK",0,IF(OR(UPPER(E536)="ZAKUP",UPPER(E536)="PRODUKCJA"),AE536,IF(OR(UPPER(E536)="SPRZEDAŻ",UPPER(E536)="ZUŻYCIE"),-AE536,0)))))</f>
        <v/>
      </c>
      <c r="AI536" s="20">
        <f>IF(UPPER(AD536)="SKORYGOWANY",0,IF(OR(UPPER(E536)="TRANSPORT",UPPER(E536)="MM"),0,IF(UPPER(G536)&lt;&gt;"TAK",0,IF(OR(UPPER(E536)="ZAKUP",UPPER(E536)="PRODUKCJA"),AF536,IF(OR(UPPER(E536)="SPRZEDAŻ",UPPER(E536)="ZUŻYCIE"),-AF536,0)))))</f>
        <v/>
      </c>
      <c r="AJ536" s="21">
        <f>IF(UPPER(AD536)="SKORYGOWANY",0,IF(UPPER(E536)="ZAKUP",IF(L536&lt;&gt;"",L536,I536*K536),0))</f>
        <v/>
      </c>
      <c r="AK536" s="21">
        <f>IF(UPPER(AD536)="SKORYGOWANY",0,IF(UPPER(E536)="SPRZEDAŻ",IF(L536&lt;&gt;"",L536,I536*M536),0))</f>
        <v/>
      </c>
      <c r="AL536" s="21">
        <f>AE536*Q536</f>
        <v/>
      </c>
      <c r="AM536">
        <f>IF(R536="","",IF(LOWER(R536)="brak","Brak",IF(OR(ISNUMBER(SEARCH("własn",LOWER(R536))),ISNUMBER(SEARCH("wlasn",LOWER(R536))),ISNUMBER(SEARCH("wojciechowski",LOWER(R536)))),"Własny","Zewnętrzny")))</f>
        <v/>
      </c>
      <c r="AN536" s="24">
        <f>IF(C536="","",YEAR(C536))</f>
        <v/>
      </c>
      <c r="AO536" s="24">
        <f>IF(C536="","",MONTH(C536))</f>
        <v/>
      </c>
      <c r="AP536">
        <f>IF(C536="","",UPPER(TEXT(C536,"mmmm")))</f>
        <v/>
      </c>
      <c r="AQ536">
        <f>IF(C536="","","Q"&amp;ROUNDUP(MONTH(C536)/3,0))</f>
        <v/>
      </c>
    </row>
    <row r="537">
      <c r="A537" s="19" t="n">
        <v>46261</v>
      </c>
      <c r="C537" s="19" t="n">
        <v>46261</v>
      </c>
      <c r="D537" t="inlineStr">
        <is>
          <t>Magazyn Zabrze</t>
        </is>
      </c>
      <c r="E537" t="inlineStr">
        <is>
          <t>PRODUKCJA</t>
        </is>
      </c>
      <c r="F537" t="inlineStr">
        <is>
          <t>PZ/123</t>
        </is>
      </c>
      <c r="G537" t="inlineStr">
        <is>
          <t>TAK</t>
        </is>
      </c>
      <c r="H537" t="inlineStr">
        <is>
          <t>Deklaracja</t>
        </is>
      </c>
      <c r="I537" s="20" t="n">
        <v>62.6</v>
      </c>
      <c r="J537" t="inlineStr">
        <is>
          <t>MP</t>
        </is>
      </c>
      <c r="K537" s="21" t="n">
        <v>0</v>
      </c>
      <c r="L537" s="21" t="n">
        <v>0</v>
      </c>
      <c r="M537" s="21" t="n">
        <v>0</v>
      </c>
      <c r="N537" t="inlineStr">
        <is>
          <t>Zrębka Produkcyjna Leśna</t>
        </is>
      </c>
      <c r="O537" t="inlineStr">
        <is>
          <t>B</t>
        </is>
      </c>
      <c r="P537" t="inlineStr">
        <is>
          <t>własne</t>
        </is>
      </c>
      <c r="Q537" s="21" t="n">
        <v>10</v>
      </c>
      <c r="T537" s="22" t="n">
        <v>0</v>
      </c>
      <c r="U537" s="21" t="n">
        <v>0</v>
      </c>
      <c r="V537" s="21" t="n">
        <v>0</v>
      </c>
      <c r="W537" t="inlineStr">
        <is>
          <t>Magazyn Zabrze</t>
        </is>
      </c>
      <c r="Z537" t="inlineStr">
        <is>
          <t>Roesner Mateusz</t>
        </is>
      </c>
      <c r="AA537" s="23" t="n">
        <v>46266.27063657407</v>
      </c>
      <c r="AB537" t="inlineStr">
        <is>
          <t>OP-MIGR-00536</t>
        </is>
      </c>
      <c r="AD537" t="inlineStr">
        <is>
          <t>AKTYWNY</t>
        </is>
      </c>
      <c r="AE537" s="20">
        <f>IF(I537="",0,IF(ISNUMBER(SEARCH("MP",UPPER(J537))),I537,IF(ISNUMBER(SEARCH("TON",UPPER(J537))),I537/Przelicznik_MP_tona,IF(ISNUMBER(SEARCH("M3",UPPER(J537))),I537*Przelicznik_M3_MP,IF(ISNUMBER(SEARCH("GJ",UPPER(J537))),I537/Przelicznik_GJ_tona/Przelicznik_MP_tona,I537)))))</f>
        <v/>
      </c>
      <c r="AF537" s="20">
        <f>IF(I537="",0,IF(ISNUMBER(SEARCH("TON",UPPER(J537))),I537,IF(ISNUMBER(SEARCH("GJ",UPPER(J537))),I537/Przelicznik_GJ_tona,AE537*Przelicznik_MP_tona)))</f>
        <v/>
      </c>
      <c r="AG537" s="20">
        <f>AF537*Przelicznik_GJ_tona</f>
        <v/>
      </c>
      <c r="AH537" s="20">
        <f>IF(UPPER(AD537)="SKORYGOWANY",0,IF(OR(UPPER(E537)="TRANSPORT",UPPER(E537)="MM"),0,IF(UPPER(G537)&lt;&gt;"TAK",0,IF(OR(UPPER(E537)="ZAKUP",UPPER(E537)="PRODUKCJA"),AE537,IF(OR(UPPER(E537)="SPRZEDAŻ",UPPER(E537)="ZUŻYCIE"),-AE537,0)))))</f>
        <v/>
      </c>
      <c r="AI537" s="20">
        <f>IF(UPPER(AD537)="SKORYGOWANY",0,IF(OR(UPPER(E537)="TRANSPORT",UPPER(E537)="MM"),0,IF(UPPER(G537)&lt;&gt;"TAK",0,IF(OR(UPPER(E537)="ZAKUP",UPPER(E537)="PRODUKCJA"),AF537,IF(OR(UPPER(E537)="SPRZEDAŻ",UPPER(E537)="ZUŻYCIE"),-AF537,0)))))</f>
        <v/>
      </c>
      <c r="AJ537" s="21">
        <f>IF(UPPER(AD537)="SKORYGOWANY",0,IF(UPPER(E537)="ZAKUP",IF(L537&lt;&gt;"",L537,I537*K537),0))</f>
        <v/>
      </c>
      <c r="AK537" s="21">
        <f>IF(UPPER(AD537)="SKORYGOWANY",0,IF(UPPER(E537)="SPRZEDAŻ",IF(L537&lt;&gt;"",L537,I537*M537),0))</f>
        <v/>
      </c>
      <c r="AL537" s="21">
        <f>AE537*Q537</f>
        <v/>
      </c>
      <c r="AM537">
        <f>IF(R537="","",IF(LOWER(R537)="brak","Brak",IF(OR(ISNUMBER(SEARCH("własn",LOWER(R537))),ISNUMBER(SEARCH("wlasn",LOWER(R537))),ISNUMBER(SEARCH("wojciechowski",LOWER(R537)))),"Własny","Zewnętrzny")))</f>
        <v/>
      </c>
      <c r="AN537" s="24">
        <f>IF(C537="","",YEAR(C537))</f>
        <v/>
      </c>
      <c r="AO537" s="24">
        <f>IF(C537="","",MONTH(C537))</f>
        <v/>
      </c>
      <c r="AP537">
        <f>IF(C537="","",UPPER(TEXT(C537,"mmmm")))</f>
        <v/>
      </c>
      <c r="AQ537">
        <f>IF(C537="","","Q"&amp;ROUNDUP(MONTH(C537)/3,0))</f>
        <v/>
      </c>
    </row>
    <row r="538">
      <c r="A538" s="19" t="n">
        <v>46261</v>
      </c>
      <c r="C538" s="19" t="n">
        <v>46261</v>
      </c>
      <c r="D538" t="inlineStr">
        <is>
          <t>Magazyn Zabrze</t>
        </is>
      </c>
      <c r="E538" t="inlineStr">
        <is>
          <t>ZUŻYCIE</t>
        </is>
      </c>
      <c r="F538" t="inlineStr">
        <is>
          <t>PZ/123</t>
        </is>
      </c>
      <c r="G538" t="inlineStr">
        <is>
          <t>TAK</t>
        </is>
      </c>
      <c r="H538" t="inlineStr">
        <is>
          <t>Deklaracja</t>
        </is>
      </c>
      <c r="I538" s="20" t="n">
        <v>62.6</v>
      </c>
      <c r="J538" t="inlineStr">
        <is>
          <t>MP</t>
        </is>
      </c>
      <c r="K538" s="21" t="n">
        <v>0</v>
      </c>
      <c r="L538" s="21" t="n">
        <v>0</v>
      </c>
      <c r="M538" s="21" t="n">
        <v>0</v>
      </c>
      <c r="N538" t="inlineStr">
        <is>
          <t>Zrębka Produkcyjna Leśna</t>
        </is>
      </c>
      <c r="O538" t="inlineStr">
        <is>
          <t>B</t>
        </is>
      </c>
      <c r="P538" t="inlineStr">
        <is>
          <t>własne</t>
        </is>
      </c>
      <c r="Q538" s="21" t="n">
        <v>10</v>
      </c>
      <c r="T538" s="22" t="n">
        <v>0</v>
      </c>
      <c r="U538" s="21" t="n">
        <v>0</v>
      </c>
      <c r="V538" s="21" t="n">
        <v>0</v>
      </c>
      <c r="W538" t="inlineStr">
        <is>
          <t>Magazyn Zabrze</t>
        </is>
      </c>
      <c r="Y538" t="inlineStr">
        <is>
          <t>Automatyczne zużycie surowca do produkcji</t>
        </is>
      </c>
      <c r="AA538" s="23" t="n">
        <v>46266.27063657407</v>
      </c>
      <c r="AB538" t="inlineStr">
        <is>
          <t>OP-MIGR-00537</t>
        </is>
      </c>
      <c r="AD538" t="inlineStr">
        <is>
          <t>AKTYWNY</t>
        </is>
      </c>
      <c r="AE538" s="20">
        <f>IF(I538="",0,IF(ISNUMBER(SEARCH("MP",UPPER(J538))),I538,IF(ISNUMBER(SEARCH("TON",UPPER(J538))),I538/Przelicznik_MP_tona,IF(ISNUMBER(SEARCH("M3",UPPER(J538))),I538*Przelicznik_M3_MP,IF(ISNUMBER(SEARCH("GJ",UPPER(J538))),I538/Przelicznik_GJ_tona/Przelicznik_MP_tona,I538)))))</f>
        <v/>
      </c>
      <c r="AF538" s="20">
        <f>IF(I538="",0,IF(ISNUMBER(SEARCH("TON",UPPER(J538))),I538,IF(ISNUMBER(SEARCH("GJ",UPPER(J538))),I538/Przelicznik_GJ_tona,AE538*Przelicznik_MP_tona)))</f>
        <v/>
      </c>
      <c r="AG538" s="20">
        <f>AF538*Przelicznik_GJ_tona</f>
        <v/>
      </c>
      <c r="AH538" s="20">
        <f>IF(UPPER(AD538)="SKORYGOWANY",0,IF(OR(UPPER(E538)="TRANSPORT",UPPER(E538)="MM"),0,IF(UPPER(G538)&lt;&gt;"TAK",0,IF(OR(UPPER(E538)="ZAKUP",UPPER(E538)="PRODUKCJA"),AE538,IF(OR(UPPER(E538)="SPRZEDAŻ",UPPER(E538)="ZUŻYCIE"),-AE538,0)))))</f>
        <v/>
      </c>
      <c r="AI538" s="20">
        <f>IF(UPPER(AD538)="SKORYGOWANY",0,IF(OR(UPPER(E538)="TRANSPORT",UPPER(E538)="MM"),0,IF(UPPER(G538)&lt;&gt;"TAK",0,IF(OR(UPPER(E538)="ZAKUP",UPPER(E538)="PRODUKCJA"),AF538,IF(OR(UPPER(E538)="SPRZEDAŻ",UPPER(E538)="ZUŻYCIE"),-AF538,0)))))</f>
        <v/>
      </c>
      <c r="AJ538" s="21">
        <f>IF(UPPER(AD538)="SKORYGOWANY",0,IF(UPPER(E538)="ZAKUP",IF(L538&lt;&gt;"",L538,I538*K538),0))</f>
        <v/>
      </c>
      <c r="AK538" s="21">
        <f>IF(UPPER(AD538)="SKORYGOWANY",0,IF(UPPER(E538)="SPRZEDAŻ",IF(L538&lt;&gt;"",L538,I538*M538),0))</f>
        <v/>
      </c>
      <c r="AL538" s="21">
        <f>AE538*Q538</f>
        <v/>
      </c>
      <c r="AM538">
        <f>IF(R538="","",IF(LOWER(R538)="brak","Brak",IF(OR(ISNUMBER(SEARCH("własn",LOWER(R538))),ISNUMBER(SEARCH("wlasn",LOWER(R538))),ISNUMBER(SEARCH("wojciechowski",LOWER(R538)))),"Własny","Zewnętrzny")))</f>
        <v/>
      </c>
      <c r="AN538" s="24">
        <f>IF(C538="","",YEAR(C538))</f>
        <v/>
      </c>
      <c r="AO538" s="24">
        <f>IF(C538="","",MONTH(C538))</f>
        <v/>
      </c>
      <c r="AP538">
        <f>IF(C538="","",UPPER(TEXT(C538,"mmmm")))</f>
        <v/>
      </c>
      <c r="AQ538">
        <f>IF(C538="","","Q"&amp;ROUNDUP(MONTH(C538)/3,0))</f>
        <v/>
      </c>
    </row>
    <row r="539">
      <c r="A539" s="19" t="n">
        <v>46261</v>
      </c>
      <c r="B539" t="inlineStr">
        <is>
          <t>Strzelce Opolskie</t>
        </is>
      </c>
      <c r="C539" s="19" t="n">
        <v>46261</v>
      </c>
      <c r="D539" t="inlineStr">
        <is>
          <t>Magazyn Zabrze</t>
        </is>
      </c>
      <c r="E539" t="inlineStr">
        <is>
          <t>ZAKUP</t>
        </is>
      </c>
      <c r="F539" t="inlineStr">
        <is>
          <t>PZ/123</t>
        </is>
      </c>
      <c r="G539" t="inlineStr">
        <is>
          <t>TAK</t>
        </is>
      </c>
      <c r="H539" t="inlineStr">
        <is>
          <t>Deklaracja</t>
        </is>
      </c>
      <c r="I539" s="20" t="n">
        <v>62.6</v>
      </c>
      <c r="J539" t="inlineStr">
        <is>
          <t>MP</t>
        </is>
      </c>
      <c r="K539" s="21" t="n">
        <v>0</v>
      </c>
      <c r="L539" s="21" t="n">
        <v>0</v>
      </c>
      <c r="M539" s="21" t="n">
        <v>0</v>
      </c>
      <c r="N539" t="inlineStr">
        <is>
          <t>Zrębka Produkcyjna Leśna</t>
        </is>
      </c>
      <c r="O539" t="inlineStr">
        <is>
          <t>B</t>
        </is>
      </c>
      <c r="Q539" s="21" t="n">
        <v>0</v>
      </c>
      <c r="R539" t="inlineStr">
        <is>
          <t>Lander Agro</t>
        </is>
      </c>
      <c r="S539" t="inlineStr">
        <is>
          <t>PY 30536</t>
        </is>
      </c>
      <c r="T539" s="22" t="n">
        <v>120</v>
      </c>
      <c r="U539" s="21" t="n">
        <v>5</v>
      </c>
      <c r="V539" s="21" t="n">
        <v>600</v>
      </c>
      <c r="W539" t="inlineStr">
        <is>
          <t>Magazyn Zabrze</t>
        </is>
      </c>
      <c r="Z539" t="inlineStr">
        <is>
          <t>Roesner Mateusz</t>
        </is>
      </c>
      <c r="AA539" s="23" t="n">
        <v>46266.27145833334</v>
      </c>
      <c r="AB539" t="inlineStr">
        <is>
          <t>OP-MIGR-00538</t>
        </is>
      </c>
      <c r="AD539" t="inlineStr">
        <is>
          <t>AKTYWNY</t>
        </is>
      </c>
      <c r="AE539" s="20">
        <f>IF(I539="",0,IF(ISNUMBER(SEARCH("MP",UPPER(J539))),I539,IF(ISNUMBER(SEARCH("TON",UPPER(J539))),I539/Przelicznik_MP_tona,IF(ISNUMBER(SEARCH("M3",UPPER(J539))),I539*Przelicznik_M3_MP,IF(ISNUMBER(SEARCH("GJ",UPPER(J539))),I539/Przelicznik_GJ_tona/Przelicznik_MP_tona,I539)))))</f>
        <v/>
      </c>
      <c r="AF539" s="20">
        <f>IF(I539="",0,IF(ISNUMBER(SEARCH("TON",UPPER(J539))),I539,IF(ISNUMBER(SEARCH("GJ",UPPER(J539))),I539/Przelicznik_GJ_tona,AE539*Przelicznik_MP_tona)))</f>
        <v/>
      </c>
      <c r="AG539" s="20">
        <f>AF539*Przelicznik_GJ_tona</f>
        <v/>
      </c>
      <c r="AH539" s="20">
        <f>IF(UPPER(AD539)="SKORYGOWANY",0,IF(OR(UPPER(E539)="TRANSPORT",UPPER(E539)="MM"),0,IF(UPPER(G539)&lt;&gt;"TAK",0,IF(OR(UPPER(E539)="ZAKUP",UPPER(E539)="PRODUKCJA"),AE539,IF(OR(UPPER(E539)="SPRZEDAŻ",UPPER(E539)="ZUŻYCIE"),-AE539,0)))))</f>
        <v/>
      </c>
      <c r="AI539" s="20">
        <f>IF(UPPER(AD539)="SKORYGOWANY",0,IF(OR(UPPER(E539)="TRANSPORT",UPPER(E539)="MM"),0,IF(UPPER(G539)&lt;&gt;"TAK",0,IF(OR(UPPER(E539)="ZAKUP",UPPER(E539)="PRODUKCJA"),AF539,IF(OR(UPPER(E539)="SPRZEDAŻ",UPPER(E539)="ZUŻYCIE"),-AF539,0)))))</f>
        <v/>
      </c>
      <c r="AJ539" s="21">
        <f>IF(UPPER(AD539)="SKORYGOWANY",0,IF(UPPER(E539)="ZAKUP",IF(L539&lt;&gt;"",L539,I539*K539),0))</f>
        <v/>
      </c>
      <c r="AK539" s="21">
        <f>IF(UPPER(AD539)="SKORYGOWANY",0,IF(UPPER(E539)="SPRZEDAŻ",IF(L539&lt;&gt;"",L539,I539*M539),0))</f>
        <v/>
      </c>
      <c r="AL539" s="21">
        <f>AE539*Q539</f>
        <v/>
      </c>
      <c r="AM539">
        <f>IF(R539="","",IF(LOWER(R539)="brak","Brak",IF(OR(ISNUMBER(SEARCH("własn",LOWER(R539))),ISNUMBER(SEARCH("wlasn",LOWER(R539))),ISNUMBER(SEARCH("wojciechowski",LOWER(R539)))),"Własny","Zewnętrzny")))</f>
        <v/>
      </c>
      <c r="AN539" s="24">
        <f>IF(C539="","",YEAR(C539))</f>
        <v/>
      </c>
      <c r="AO539" s="24">
        <f>IF(C539="","",MONTH(C539))</f>
        <v/>
      </c>
      <c r="AP539">
        <f>IF(C539="","",UPPER(TEXT(C539,"mmmm")))</f>
        <v/>
      </c>
      <c r="AQ539">
        <f>IF(C539="","","Q"&amp;ROUNDUP(MONTH(C539)/3,0))</f>
        <v/>
      </c>
    </row>
    <row r="540">
      <c r="A540" s="19" t="n">
        <v>46262</v>
      </c>
      <c r="C540" s="19" t="n">
        <v>46262</v>
      </c>
      <c r="D540" t="inlineStr">
        <is>
          <t>Walber</t>
        </is>
      </c>
      <c r="E540" t="inlineStr">
        <is>
          <t>ZAKUP</t>
        </is>
      </c>
      <c r="F540" t="inlineStr">
        <is>
          <t>PZ/114</t>
        </is>
      </c>
      <c r="G540" t="inlineStr">
        <is>
          <t>TAK</t>
        </is>
      </c>
      <c r="H540" t="inlineStr">
        <is>
          <t>KZR</t>
        </is>
      </c>
      <c r="I540" s="20" t="n">
        <v>92</v>
      </c>
      <c r="J540" t="inlineStr">
        <is>
          <t>MP</t>
        </is>
      </c>
      <c r="K540" s="21" t="n">
        <v>105</v>
      </c>
      <c r="L540" s="21" t="n">
        <v>9660</v>
      </c>
      <c r="M540" s="21" t="n">
        <v>0</v>
      </c>
      <c r="N540" t="inlineStr">
        <is>
          <t>Zrębka towar</t>
        </is>
      </c>
      <c r="Q540" s="21" t="n">
        <v>0</v>
      </c>
      <c r="T540" s="22" t="n">
        <v>0</v>
      </c>
      <c r="U540" s="21" t="n">
        <v>0</v>
      </c>
      <c r="V540" s="21" t="n">
        <v>0</v>
      </c>
      <c r="W540" t="inlineStr">
        <is>
          <t>Magazyn Zabrze</t>
        </is>
      </c>
      <c r="Z540" t="inlineStr">
        <is>
          <t>Roesner Mateusz</t>
        </is>
      </c>
      <c r="AA540" s="23" t="n">
        <v>46262.41540509259</v>
      </c>
      <c r="AB540" t="inlineStr">
        <is>
          <t>OP-MIGR-00550</t>
        </is>
      </c>
      <c r="AD540" t="inlineStr">
        <is>
          <t>AKTYWNY</t>
        </is>
      </c>
      <c r="AE540" s="20">
        <f>IF(I540="",0,IF(ISNUMBER(SEARCH("MP",UPPER(J540))),I540,IF(ISNUMBER(SEARCH("TON",UPPER(J540))),I540/Przelicznik_MP_tona,IF(ISNUMBER(SEARCH("M3",UPPER(J540))),I540*Przelicznik_M3_MP,IF(ISNUMBER(SEARCH("GJ",UPPER(J540))),I540/Przelicznik_GJ_tona/Przelicznik_MP_tona,I540)))))</f>
        <v/>
      </c>
      <c r="AF540" s="20">
        <f>IF(I540="",0,IF(ISNUMBER(SEARCH("TON",UPPER(J540))),I540,IF(ISNUMBER(SEARCH("GJ",UPPER(J540))),I540/Przelicznik_GJ_tona,AE540*Przelicznik_MP_tona)))</f>
        <v/>
      </c>
      <c r="AG540" s="20">
        <f>AF540*Przelicznik_GJ_tona</f>
        <v/>
      </c>
      <c r="AH540" s="20">
        <f>IF(UPPER(AD540)="SKORYGOWANY",0,IF(OR(UPPER(E540)="TRANSPORT",UPPER(E540)="MM"),0,IF(UPPER(G540)&lt;&gt;"TAK",0,IF(OR(UPPER(E540)="ZAKUP",UPPER(E540)="PRODUKCJA"),AE540,IF(OR(UPPER(E540)="SPRZEDAŻ",UPPER(E540)="ZUŻYCIE"),-AE540,0)))))</f>
        <v/>
      </c>
      <c r="AI540" s="20">
        <f>IF(UPPER(AD540)="SKORYGOWANY",0,IF(OR(UPPER(E540)="TRANSPORT",UPPER(E540)="MM"),0,IF(UPPER(G540)&lt;&gt;"TAK",0,IF(OR(UPPER(E540)="ZAKUP",UPPER(E540)="PRODUKCJA"),AF540,IF(OR(UPPER(E540)="SPRZEDAŻ",UPPER(E540)="ZUŻYCIE"),-AF540,0)))))</f>
        <v/>
      </c>
      <c r="AJ540" s="21">
        <f>IF(UPPER(AD540)="SKORYGOWANY",0,IF(UPPER(E540)="ZAKUP",IF(L540&lt;&gt;"",L540,I540*K540),0))</f>
        <v/>
      </c>
      <c r="AK540" s="21">
        <f>IF(UPPER(AD540)="SKORYGOWANY",0,IF(UPPER(E540)="SPRZEDAŻ",IF(L540&lt;&gt;"",L540,I540*M540),0))</f>
        <v/>
      </c>
      <c r="AL540" s="21">
        <f>AE540*Q540</f>
        <v/>
      </c>
      <c r="AM540">
        <f>IF(R540="","",IF(LOWER(R540)="brak","Brak",IF(OR(ISNUMBER(SEARCH("własn",LOWER(R540))),ISNUMBER(SEARCH("wlasn",LOWER(R540))),ISNUMBER(SEARCH("wojciechowski",LOWER(R540)))),"Własny","Zewnętrzny")))</f>
        <v/>
      </c>
      <c r="AN540" s="24">
        <f>IF(C540="","",YEAR(C540))</f>
        <v/>
      </c>
      <c r="AO540" s="24">
        <f>IF(C540="","",MONTH(C540))</f>
        <v/>
      </c>
      <c r="AP540">
        <f>IF(C540="","",UPPER(TEXT(C540,"mmmm")))</f>
        <v/>
      </c>
      <c r="AQ540">
        <f>IF(C540="","","Q"&amp;ROUNDUP(MONTH(C540)/3,0))</f>
        <v/>
      </c>
    </row>
    <row r="541">
      <c r="A541" s="19" t="n">
        <v>46262</v>
      </c>
      <c r="C541" s="19" t="n">
        <v>46262</v>
      </c>
      <c r="D541" t="inlineStr">
        <is>
          <t>Walber</t>
        </is>
      </c>
      <c r="E541" t="inlineStr">
        <is>
          <t>ZAKUP</t>
        </is>
      </c>
      <c r="F541" t="inlineStr">
        <is>
          <t>PZ/115</t>
        </is>
      </c>
      <c r="G541" t="inlineStr">
        <is>
          <t>TAK</t>
        </is>
      </c>
      <c r="H541" t="inlineStr">
        <is>
          <t>KZR</t>
        </is>
      </c>
      <c r="I541" s="20" t="n">
        <v>92</v>
      </c>
      <c r="J541" t="inlineStr">
        <is>
          <t>MP</t>
        </is>
      </c>
      <c r="K541" s="21" t="n">
        <v>105</v>
      </c>
      <c r="L541" s="21" t="n">
        <v>9660</v>
      </c>
      <c r="M541" s="21" t="n">
        <v>0</v>
      </c>
      <c r="N541" t="inlineStr">
        <is>
          <t>Zrębka towar</t>
        </is>
      </c>
      <c r="Q541" s="21" t="n">
        <v>0</v>
      </c>
      <c r="T541" s="22" t="n">
        <v>0</v>
      </c>
      <c r="U541" s="21" t="n">
        <v>0</v>
      </c>
      <c r="V541" s="21" t="n">
        <v>0</v>
      </c>
      <c r="W541" t="inlineStr">
        <is>
          <t>Magazyn Zabrze</t>
        </is>
      </c>
      <c r="Z541" t="inlineStr">
        <is>
          <t>Roesner Mateusz</t>
        </is>
      </c>
      <c r="AA541" s="23" t="n">
        <v>46262.41618055556</v>
      </c>
      <c r="AB541" t="inlineStr">
        <is>
          <t>OP-MIGR-00551</t>
        </is>
      </c>
      <c r="AD541" t="inlineStr">
        <is>
          <t>AKTYWNY</t>
        </is>
      </c>
      <c r="AE541" s="20">
        <f>IF(I541="",0,IF(ISNUMBER(SEARCH("MP",UPPER(J541))),I541,IF(ISNUMBER(SEARCH("TON",UPPER(J541))),I541/Przelicznik_MP_tona,IF(ISNUMBER(SEARCH("M3",UPPER(J541))),I541*Przelicznik_M3_MP,IF(ISNUMBER(SEARCH("GJ",UPPER(J541))),I541/Przelicznik_GJ_tona/Przelicznik_MP_tona,I541)))))</f>
        <v/>
      </c>
      <c r="AF541" s="20">
        <f>IF(I541="",0,IF(ISNUMBER(SEARCH("TON",UPPER(J541))),I541,IF(ISNUMBER(SEARCH("GJ",UPPER(J541))),I541/Przelicznik_GJ_tona,AE541*Przelicznik_MP_tona)))</f>
        <v/>
      </c>
      <c r="AG541" s="20">
        <f>AF541*Przelicznik_GJ_tona</f>
        <v/>
      </c>
      <c r="AH541" s="20">
        <f>IF(UPPER(AD541)="SKORYGOWANY",0,IF(OR(UPPER(E541)="TRANSPORT",UPPER(E541)="MM"),0,IF(UPPER(G541)&lt;&gt;"TAK",0,IF(OR(UPPER(E541)="ZAKUP",UPPER(E541)="PRODUKCJA"),AE541,IF(OR(UPPER(E541)="SPRZEDAŻ",UPPER(E541)="ZUŻYCIE"),-AE541,0)))))</f>
        <v/>
      </c>
      <c r="AI541" s="20">
        <f>IF(UPPER(AD541)="SKORYGOWANY",0,IF(OR(UPPER(E541)="TRANSPORT",UPPER(E541)="MM"),0,IF(UPPER(G541)&lt;&gt;"TAK",0,IF(OR(UPPER(E541)="ZAKUP",UPPER(E541)="PRODUKCJA"),AF541,IF(OR(UPPER(E541)="SPRZEDAŻ",UPPER(E541)="ZUŻYCIE"),-AF541,0)))))</f>
        <v/>
      </c>
      <c r="AJ541" s="21">
        <f>IF(UPPER(AD541)="SKORYGOWANY",0,IF(UPPER(E541)="ZAKUP",IF(L541&lt;&gt;"",L541,I541*K541),0))</f>
        <v/>
      </c>
      <c r="AK541" s="21">
        <f>IF(UPPER(AD541)="SKORYGOWANY",0,IF(UPPER(E541)="SPRZEDAŻ",IF(L541&lt;&gt;"",L541,I541*M541),0))</f>
        <v/>
      </c>
      <c r="AL541" s="21">
        <f>AE541*Q541</f>
        <v/>
      </c>
      <c r="AM541">
        <f>IF(R541="","",IF(LOWER(R541)="brak","Brak",IF(OR(ISNUMBER(SEARCH("własn",LOWER(R541))),ISNUMBER(SEARCH("wlasn",LOWER(R541))),ISNUMBER(SEARCH("wojciechowski",LOWER(R541)))),"Własny","Zewnętrzny")))</f>
        <v/>
      </c>
      <c r="AN541" s="24">
        <f>IF(C541="","",YEAR(C541))</f>
        <v/>
      </c>
      <c r="AO541" s="24">
        <f>IF(C541="","",MONTH(C541))</f>
        <v/>
      </c>
      <c r="AP541">
        <f>IF(C541="","",UPPER(TEXT(C541,"mmmm")))</f>
        <v/>
      </c>
      <c r="AQ541">
        <f>IF(C541="","","Q"&amp;ROUNDUP(MONTH(C541)/3,0))</f>
        <v/>
      </c>
    </row>
    <row r="542">
      <c r="A542" s="19" t="n">
        <v>46262</v>
      </c>
      <c r="C542" s="19" t="n">
        <v>46262</v>
      </c>
      <c r="D542" t="inlineStr">
        <is>
          <t>NDL Strzelce Op, Leśnictwo Spórok</t>
        </is>
      </c>
      <c r="E542" t="inlineStr">
        <is>
          <t>ZAKUP</t>
        </is>
      </c>
      <c r="F542" t="inlineStr">
        <is>
          <t>PZ/116  3/202638592/6107</t>
        </is>
      </c>
      <c r="G542" t="inlineStr">
        <is>
          <t>TAK</t>
        </is>
      </c>
      <c r="H542" t="inlineStr">
        <is>
          <t>Deklaracja</t>
        </is>
      </c>
      <c r="I542" s="20" t="n">
        <v>18.3</v>
      </c>
      <c r="J542" t="inlineStr">
        <is>
          <t>M3</t>
        </is>
      </c>
      <c r="K542" s="21" t="n">
        <v>0</v>
      </c>
      <c r="L542" s="21" t="n">
        <v>0</v>
      </c>
      <c r="M542" s="21" t="n">
        <v>0</v>
      </c>
      <c r="N542" t="inlineStr">
        <is>
          <t>Drewno opałowe z lasu</t>
        </is>
      </c>
      <c r="Q542" s="21" t="n">
        <v>0</v>
      </c>
      <c r="T542" s="22" t="n">
        <v>0</v>
      </c>
      <c r="U542" s="21" t="n">
        <v>0</v>
      </c>
      <c r="V542" s="21" t="n">
        <v>0</v>
      </c>
      <c r="W542" t="inlineStr">
        <is>
          <t>Magazyn Zabrze</t>
        </is>
      </c>
      <c r="Z542" t="inlineStr">
        <is>
          <t>Roesner Mateusz</t>
        </is>
      </c>
      <c r="AA542" s="23" t="n">
        <v>46265.40256944444</v>
      </c>
      <c r="AB542" t="inlineStr">
        <is>
          <t>OP-MIGR-00552</t>
        </is>
      </c>
      <c r="AD542" t="inlineStr">
        <is>
          <t>AKTYWNY</t>
        </is>
      </c>
      <c r="AE542" s="20">
        <f>IF(I542="",0,IF(ISNUMBER(SEARCH("MP",UPPER(J542))),I542,IF(ISNUMBER(SEARCH("TON",UPPER(J542))),I542/Przelicznik_MP_tona,IF(ISNUMBER(SEARCH("M3",UPPER(J542))),I542*Przelicznik_M3_MP,IF(ISNUMBER(SEARCH("GJ",UPPER(J542))),I542/Przelicznik_GJ_tona/Przelicznik_MP_tona,I542)))))</f>
        <v/>
      </c>
      <c r="AF542" s="20">
        <f>IF(I542="",0,IF(ISNUMBER(SEARCH("TON",UPPER(J542))),I542,IF(ISNUMBER(SEARCH("GJ",UPPER(J542))),I542/Przelicznik_GJ_tona,AE542*Przelicznik_MP_tona)))</f>
        <v/>
      </c>
      <c r="AG542" s="20">
        <f>AF542*Przelicznik_GJ_tona</f>
        <v/>
      </c>
      <c r="AH542" s="20">
        <f>IF(UPPER(AD542)="SKORYGOWANY",0,IF(OR(UPPER(E542)="TRANSPORT",UPPER(E542)="MM"),0,IF(UPPER(G542)&lt;&gt;"TAK",0,IF(OR(UPPER(E542)="ZAKUP",UPPER(E542)="PRODUKCJA"),AE542,IF(OR(UPPER(E542)="SPRZEDAŻ",UPPER(E542)="ZUŻYCIE"),-AE542,0)))))</f>
        <v/>
      </c>
      <c r="AI542" s="20">
        <f>IF(UPPER(AD542)="SKORYGOWANY",0,IF(OR(UPPER(E542)="TRANSPORT",UPPER(E542)="MM"),0,IF(UPPER(G542)&lt;&gt;"TAK",0,IF(OR(UPPER(E542)="ZAKUP",UPPER(E542)="PRODUKCJA"),AF542,IF(OR(UPPER(E542)="SPRZEDAŻ",UPPER(E542)="ZUŻYCIE"),-AF542,0)))))</f>
        <v/>
      </c>
      <c r="AJ542" s="21">
        <f>IF(UPPER(AD542)="SKORYGOWANY",0,IF(UPPER(E542)="ZAKUP",IF(L542&lt;&gt;"",L542,I542*K542),0))</f>
        <v/>
      </c>
      <c r="AK542" s="21">
        <f>IF(UPPER(AD542)="SKORYGOWANY",0,IF(UPPER(E542)="SPRZEDAŻ",IF(L542&lt;&gt;"",L542,I542*M542),0))</f>
        <v/>
      </c>
      <c r="AL542" s="21">
        <f>AE542*Q542</f>
        <v/>
      </c>
      <c r="AM542">
        <f>IF(R542="","",IF(LOWER(R542)="brak","Brak",IF(OR(ISNUMBER(SEARCH("własn",LOWER(R542))),ISNUMBER(SEARCH("wlasn",LOWER(R542))),ISNUMBER(SEARCH("wojciechowski",LOWER(R542)))),"Własny","Zewnętrzny")))</f>
        <v/>
      </c>
      <c r="AN542" s="24">
        <f>IF(C542="","",YEAR(C542))</f>
        <v/>
      </c>
      <c r="AO542" s="24">
        <f>IF(C542="","",MONTH(C542))</f>
        <v/>
      </c>
      <c r="AP542">
        <f>IF(C542="","",UPPER(TEXT(C542,"mmmm")))</f>
        <v/>
      </c>
      <c r="AQ542">
        <f>IF(C542="","","Q"&amp;ROUNDUP(MONTH(C542)/3,0))</f>
        <v/>
      </c>
    </row>
    <row r="543">
      <c r="A543" s="19" t="n">
        <v>46262</v>
      </c>
      <c r="C543" s="19" t="n">
        <v>46262</v>
      </c>
      <c r="D543" t="inlineStr">
        <is>
          <t>Magazyn Zabrze</t>
        </is>
      </c>
      <c r="E543" t="inlineStr">
        <is>
          <t>PRODUKCJA</t>
        </is>
      </c>
      <c r="F543" t="inlineStr">
        <is>
          <t>PZ/116</t>
        </is>
      </c>
      <c r="G543" t="inlineStr">
        <is>
          <t>TAK</t>
        </is>
      </c>
      <c r="H543" t="inlineStr">
        <is>
          <t>Deklaracja</t>
        </is>
      </c>
      <c r="I543" s="20" t="n">
        <v>73.2</v>
      </c>
      <c r="J543" t="inlineStr">
        <is>
          <t>MP</t>
        </is>
      </c>
      <c r="K543" s="21" t="n">
        <v>0</v>
      </c>
      <c r="L543" s="21" t="n">
        <v>0</v>
      </c>
      <c r="M543" s="21" t="n">
        <v>0</v>
      </c>
      <c r="N543" t="inlineStr">
        <is>
          <t>Zrębka Produkcyjna Leśna</t>
        </is>
      </c>
      <c r="O543" t="inlineStr">
        <is>
          <t>B</t>
        </is>
      </c>
      <c r="P543" t="inlineStr">
        <is>
          <t>własne</t>
        </is>
      </c>
      <c r="Q543" s="21" t="n">
        <v>10</v>
      </c>
      <c r="T543" s="22" t="n">
        <v>0</v>
      </c>
      <c r="U543" s="21" t="n">
        <v>0</v>
      </c>
      <c r="V543" s="21" t="n">
        <v>0</v>
      </c>
      <c r="W543" t="inlineStr">
        <is>
          <t>Magazyn Zabrze</t>
        </is>
      </c>
      <c r="Z543" t="inlineStr">
        <is>
          <t>Roesner Mateusz</t>
        </is>
      </c>
      <c r="AA543" s="23" t="n">
        <v>46265.40336805556</v>
      </c>
      <c r="AB543" t="inlineStr">
        <is>
          <t>OP-MIGR-00542</t>
        </is>
      </c>
      <c r="AD543" t="inlineStr">
        <is>
          <t>AKTYWNY</t>
        </is>
      </c>
      <c r="AE543" s="20">
        <f>IF(I543="",0,IF(ISNUMBER(SEARCH("MP",UPPER(J543))),I543,IF(ISNUMBER(SEARCH("TON",UPPER(J543))),I543/Przelicznik_MP_tona,IF(ISNUMBER(SEARCH("M3",UPPER(J543))),I543*Przelicznik_M3_MP,IF(ISNUMBER(SEARCH("GJ",UPPER(J543))),I543/Przelicznik_GJ_tona/Przelicznik_MP_tona,I543)))))</f>
        <v/>
      </c>
      <c r="AF543" s="20">
        <f>IF(I543="",0,IF(ISNUMBER(SEARCH("TON",UPPER(J543))),I543,IF(ISNUMBER(SEARCH("GJ",UPPER(J543))),I543/Przelicznik_GJ_tona,AE543*Przelicznik_MP_tona)))</f>
        <v/>
      </c>
      <c r="AG543" s="20">
        <f>AF543*Przelicznik_GJ_tona</f>
        <v/>
      </c>
      <c r="AH543" s="20">
        <f>IF(UPPER(AD543)="SKORYGOWANY",0,IF(OR(UPPER(E543)="TRANSPORT",UPPER(E543)="MM"),0,IF(UPPER(G543)&lt;&gt;"TAK",0,IF(OR(UPPER(E543)="ZAKUP",UPPER(E543)="PRODUKCJA"),AE543,IF(OR(UPPER(E543)="SPRZEDAŻ",UPPER(E543)="ZUŻYCIE"),-AE543,0)))))</f>
        <v/>
      </c>
      <c r="AI543" s="20">
        <f>IF(UPPER(AD543)="SKORYGOWANY",0,IF(OR(UPPER(E543)="TRANSPORT",UPPER(E543)="MM"),0,IF(UPPER(G543)&lt;&gt;"TAK",0,IF(OR(UPPER(E543)="ZAKUP",UPPER(E543)="PRODUKCJA"),AF543,IF(OR(UPPER(E543)="SPRZEDAŻ",UPPER(E543)="ZUŻYCIE"),-AF543,0)))))</f>
        <v/>
      </c>
      <c r="AJ543" s="21">
        <f>IF(UPPER(AD543)="SKORYGOWANY",0,IF(UPPER(E543)="ZAKUP",IF(L543&lt;&gt;"",L543,I543*K543),0))</f>
        <v/>
      </c>
      <c r="AK543" s="21">
        <f>IF(UPPER(AD543)="SKORYGOWANY",0,IF(UPPER(E543)="SPRZEDAŻ",IF(L543&lt;&gt;"",L543,I543*M543),0))</f>
        <v/>
      </c>
      <c r="AL543" s="21">
        <f>AE543*Q543</f>
        <v/>
      </c>
      <c r="AM543">
        <f>IF(R543="","",IF(LOWER(R543)="brak","Brak",IF(OR(ISNUMBER(SEARCH("własn",LOWER(R543))),ISNUMBER(SEARCH("wlasn",LOWER(R543))),ISNUMBER(SEARCH("wojciechowski",LOWER(R543)))),"Własny","Zewnętrzny")))</f>
        <v/>
      </c>
      <c r="AN543" s="24">
        <f>IF(C543="","",YEAR(C543))</f>
        <v/>
      </c>
      <c r="AO543" s="24">
        <f>IF(C543="","",MONTH(C543))</f>
        <v/>
      </c>
      <c r="AP543">
        <f>IF(C543="","",UPPER(TEXT(C543,"mmmm")))</f>
        <v/>
      </c>
      <c r="AQ543">
        <f>IF(C543="","","Q"&amp;ROUNDUP(MONTH(C543)/3,0))</f>
        <v/>
      </c>
    </row>
    <row r="544">
      <c r="A544" s="19" t="n">
        <v>46262</v>
      </c>
      <c r="C544" s="19" t="n">
        <v>46262</v>
      </c>
      <c r="D544" t="inlineStr">
        <is>
          <t>Magazyn Zabrze</t>
        </is>
      </c>
      <c r="E544" t="inlineStr">
        <is>
          <t>ZUŻYCIE</t>
        </is>
      </c>
      <c r="F544" t="inlineStr">
        <is>
          <t>PZ/116</t>
        </is>
      </c>
      <c r="G544" t="inlineStr">
        <is>
          <t>TAK</t>
        </is>
      </c>
      <c r="H544" t="inlineStr">
        <is>
          <t>Deklaracja</t>
        </is>
      </c>
      <c r="I544" s="20" t="n">
        <v>73.2</v>
      </c>
      <c r="J544" t="inlineStr">
        <is>
          <t>MP</t>
        </is>
      </c>
      <c r="K544" s="21" t="n">
        <v>0</v>
      </c>
      <c r="L544" s="21" t="n">
        <v>0</v>
      </c>
      <c r="M544" s="21" t="n">
        <v>0</v>
      </c>
      <c r="N544" t="inlineStr">
        <is>
          <t>Zrębka Produkcyjna Leśna</t>
        </is>
      </c>
      <c r="O544" t="inlineStr">
        <is>
          <t>B</t>
        </is>
      </c>
      <c r="P544" t="inlineStr">
        <is>
          <t>własne</t>
        </is>
      </c>
      <c r="Q544" s="21" t="n">
        <v>10</v>
      </c>
      <c r="T544" s="22" t="n">
        <v>0</v>
      </c>
      <c r="U544" s="21" t="n">
        <v>0</v>
      </c>
      <c r="V544" s="21" t="n">
        <v>0</v>
      </c>
      <c r="W544" t="inlineStr">
        <is>
          <t>Magazyn Zabrze</t>
        </is>
      </c>
      <c r="Y544" t="inlineStr">
        <is>
          <t>Automatyczne zużycie surowca do produkcji</t>
        </is>
      </c>
      <c r="AA544" s="23" t="n">
        <v>46265.40336805556</v>
      </c>
      <c r="AB544" t="inlineStr">
        <is>
          <t>OP-MIGR-00543</t>
        </is>
      </c>
      <c r="AD544" t="inlineStr">
        <is>
          <t>AKTYWNY</t>
        </is>
      </c>
      <c r="AE544" s="20">
        <f>IF(I544="",0,IF(ISNUMBER(SEARCH("MP",UPPER(J544))),I544,IF(ISNUMBER(SEARCH("TON",UPPER(J544))),I544/Przelicznik_MP_tona,IF(ISNUMBER(SEARCH("M3",UPPER(J544))),I544*Przelicznik_M3_MP,IF(ISNUMBER(SEARCH("GJ",UPPER(J544))),I544/Przelicznik_GJ_tona/Przelicznik_MP_tona,I544)))))</f>
        <v/>
      </c>
      <c r="AF544" s="20">
        <f>IF(I544="",0,IF(ISNUMBER(SEARCH("TON",UPPER(J544))),I544,IF(ISNUMBER(SEARCH("GJ",UPPER(J544))),I544/Przelicznik_GJ_tona,AE544*Przelicznik_MP_tona)))</f>
        <v/>
      </c>
      <c r="AG544" s="20">
        <f>AF544*Przelicznik_GJ_tona</f>
        <v/>
      </c>
      <c r="AH544" s="20">
        <f>IF(UPPER(AD544)="SKORYGOWANY",0,IF(OR(UPPER(E544)="TRANSPORT",UPPER(E544)="MM"),0,IF(UPPER(G544)&lt;&gt;"TAK",0,IF(OR(UPPER(E544)="ZAKUP",UPPER(E544)="PRODUKCJA"),AE544,IF(OR(UPPER(E544)="SPRZEDAŻ",UPPER(E544)="ZUŻYCIE"),-AE544,0)))))</f>
        <v/>
      </c>
      <c r="AI544" s="20">
        <f>IF(UPPER(AD544)="SKORYGOWANY",0,IF(OR(UPPER(E544)="TRANSPORT",UPPER(E544)="MM"),0,IF(UPPER(G544)&lt;&gt;"TAK",0,IF(OR(UPPER(E544)="ZAKUP",UPPER(E544)="PRODUKCJA"),AF544,IF(OR(UPPER(E544)="SPRZEDAŻ",UPPER(E544)="ZUŻYCIE"),-AF544,0)))))</f>
        <v/>
      </c>
      <c r="AJ544" s="21">
        <f>IF(UPPER(AD544)="SKORYGOWANY",0,IF(UPPER(E544)="ZAKUP",IF(L544&lt;&gt;"",L544,I544*K544),0))</f>
        <v/>
      </c>
      <c r="AK544" s="21">
        <f>IF(UPPER(AD544)="SKORYGOWANY",0,IF(UPPER(E544)="SPRZEDAŻ",IF(L544&lt;&gt;"",L544,I544*M544),0))</f>
        <v/>
      </c>
      <c r="AL544" s="21">
        <f>AE544*Q544</f>
        <v/>
      </c>
      <c r="AM544">
        <f>IF(R544="","",IF(LOWER(R544)="brak","Brak",IF(OR(ISNUMBER(SEARCH("własn",LOWER(R544))),ISNUMBER(SEARCH("wlasn",LOWER(R544))),ISNUMBER(SEARCH("wojciechowski",LOWER(R544)))),"Własny","Zewnętrzny")))</f>
        <v/>
      </c>
      <c r="AN544" s="24">
        <f>IF(C544="","",YEAR(C544))</f>
        <v/>
      </c>
      <c r="AO544" s="24">
        <f>IF(C544="","",MONTH(C544))</f>
        <v/>
      </c>
      <c r="AP544">
        <f>IF(C544="","",UPPER(TEXT(C544,"mmmm")))</f>
        <v/>
      </c>
      <c r="AQ544">
        <f>IF(C544="","","Q"&amp;ROUNDUP(MONTH(C544)/3,0))</f>
        <v/>
      </c>
    </row>
    <row r="545">
      <c r="A545" s="19" t="n">
        <v>46262</v>
      </c>
      <c r="B545" t="inlineStr">
        <is>
          <t>Strzelce Opolskie</t>
        </is>
      </c>
      <c r="C545" s="19" t="n">
        <v>46262</v>
      </c>
      <c r="D545" t="inlineStr">
        <is>
          <t>Magazyn Zabrze</t>
        </is>
      </c>
      <c r="E545" t="inlineStr">
        <is>
          <t>ZAKUP</t>
        </is>
      </c>
      <c r="F545" t="inlineStr">
        <is>
          <t>PZ/116</t>
        </is>
      </c>
      <c r="G545" t="inlineStr">
        <is>
          <t>TAK</t>
        </is>
      </c>
      <c r="H545" t="inlineStr">
        <is>
          <t>Deklaracja</t>
        </is>
      </c>
      <c r="I545" s="20" t="n">
        <v>73.2</v>
      </c>
      <c r="J545" t="inlineStr">
        <is>
          <t>MP</t>
        </is>
      </c>
      <c r="K545" s="21" t="n">
        <v>0</v>
      </c>
      <c r="L545" s="21" t="n">
        <v>0</v>
      </c>
      <c r="M545" s="21" t="n">
        <v>0</v>
      </c>
      <c r="N545" t="inlineStr">
        <is>
          <t>Zrębka Produkcyjna Leśna</t>
        </is>
      </c>
      <c r="O545" t="inlineStr">
        <is>
          <t>B</t>
        </is>
      </c>
      <c r="Q545" s="21" t="n">
        <v>0</v>
      </c>
      <c r="R545" t="inlineStr">
        <is>
          <t>własny (Wilczak)</t>
        </is>
      </c>
      <c r="S545" t="inlineStr">
        <is>
          <t>SK 7J885</t>
        </is>
      </c>
      <c r="T545" s="22" t="n">
        <v>120</v>
      </c>
      <c r="U545" s="21" t="n">
        <v>5</v>
      </c>
      <c r="V545" s="21" t="n">
        <v>600</v>
      </c>
      <c r="W545" t="inlineStr">
        <is>
          <t>Magazyn Zabrze</t>
        </is>
      </c>
      <c r="Z545" t="inlineStr">
        <is>
          <t>Roesner Mateusz</t>
        </is>
      </c>
      <c r="AA545" s="23" t="n">
        <v>46265.40409722222</v>
      </c>
      <c r="AB545" t="inlineStr">
        <is>
          <t>OP-MIGR-00539</t>
        </is>
      </c>
      <c r="AD545" t="inlineStr">
        <is>
          <t>AKTYWNY</t>
        </is>
      </c>
      <c r="AE545" s="20">
        <f>IF(I545="",0,IF(ISNUMBER(SEARCH("MP",UPPER(J545))),I545,IF(ISNUMBER(SEARCH("TON",UPPER(J545))),I545/Przelicznik_MP_tona,IF(ISNUMBER(SEARCH("M3",UPPER(J545))),I545*Przelicznik_M3_MP,IF(ISNUMBER(SEARCH("GJ",UPPER(J545))),I545/Przelicznik_GJ_tona/Przelicznik_MP_tona,I545)))))</f>
        <v/>
      </c>
      <c r="AF545" s="20">
        <f>IF(I545="",0,IF(ISNUMBER(SEARCH("TON",UPPER(J545))),I545,IF(ISNUMBER(SEARCH("GJ",UPPER(J545))),I545/Przelicznik_GJ_tona,AE545*Przelicznik_MP_tona)))</f>
        <v/>
      </c>
      <c r="AG545" s="20">
        <f>AF545*Przelicznik_GJ_tona</f>
        <v/>
      </c>
      <c r="AH545" s="20">
        <f>IF(UPPER(AD545)="SKORYGOWANY",0,IF(OR(UPPER(E545)="TRANSPORT",UPPER(E545)="MM"),0,IF(UPPER(G545)&lt;&gt;"TAK",0,IF(OR(UPPER(E545)="ZAKUP",UPPER(E545)="PRODUKCJA"),AE545,IF(OR(UPPER(E545)="SPRZEDAŻ",UPPER(E545)="ZUŻYCIE"),-AE545,0)))))</f>
        <v/>
      </c>
      <c r="AI545" s="20">
        <f>IF(UPPER(AD545)="SKORYGOWANY",0,IF(OR(UPPER(E545)="TRANSPORT",UPPER(E545)="MM"),0,IF(UPPER(G545)&lt;&gt;"TAK",0,IF(OR(UPPER(E545)="ZAKUP",UPPER(E545)="PRODUKCJA"),AF545,IF(OR(UPPER(E545)="SPRZEDAŻ",UPPER(E545)="ZUŻYCIE"),-AF545,0)))))</f>
        <v/>
      </c>
      <c r="AJ545" s="21">
        <f>IF(UPPER(AD545)="SKORYGOWANY",0,IF(UPPER(E545)="ZAKUP",IF(L545&lt;&gt;"",L545,I545*K545),0))</f>
        <v/>
      </c>
      <c r="AK545" s="21">
        <f>IF(UPPER(AD545)="SKORYGOWANY",0,IF(UPPER(E545)="SPRZEDAŻ",IF(L545&lt;&gt;"",L545,I545*M545),0))</f>
        <v/>
      </c>
      <c r="AL545" s="21">
        <f>AE545*Q545</f>
        <v/>
      </c>
      <c r="AM545">
        <f>IF(R545="","",IF(LOWER(R545)="brak","Brak",IF(OR(ISNUMBER(SEARCH("własn",LOWER(R545))),ISNUMBER(SEARCH("wlasn",LOWER(R545))),ISNUMBER(SEARCH("wojciechowski",LOWER(R545)))),"Własny","Zewnętrzny")))</f>
        <v/>
      </c>
      <c r="AN545" s="24">
        <f>IF(C545="","",YEAR(C545))</f>
        <v/>
      </c>
      <c r="AO545" s="24">
        <f>IF(C545="","",MONTH(C545))</f>
        <v/>
      </c>
      <c r="AP545">
        <f>IF(C545="","",UPPER(TEXT(C545,"mmmm")))</f>
        <v/>
      </c>
      <c r="AQ545">
        <f>IF(C545="","","Q"&amp;ROUNDUP(MONTH(C545)/3,0))</f>
        <v/>
      </c>
    </row>
    <row r="546">
      <c r="A546" s="19" t="n">
        <v>46262</v>
      </c>
      <c r="C546" s="19" t="n">
        <v>46262</v>
      </c>
      <c r="D546" t="inlineStr">
        <is>
          <t>NDL Strzelce Op, Leśnictwo Spórok</t>
        </is>
      </c>
      <c r="E546" t="inlineStr">
        <is>
          <t>ZAKUP</t>
        </is>
      </c>
      <c r="F546" t="inlineStr">
        <is>
          <t>PZ/117  3/20268592/6108</t>
        </is>
      </c>
      <c r="G546" t="inlineStr">
        <is>
          <t>TAK</t>
        </is>
      </c>
      <c r="H546" t="inlineStr">
        <is>
          <t>Deklaracja</t>
        </is>
      </c>
      <c r="I546" s="20" t="n">
        <v>18</v>
      </c>
      <c r="J546" t="inlineStr">
        <is>
          <t>M3</t>
        </is>
      </c>
      <c r="K546" s="21" t="n">
        <v>0</v>
      </c>
      <c r="L546" s="21" t="n">
        <v>0</v>
      </c>
      <c r="M546" s="21" t="n">
        <v>0</v>
      </c>
      <c r="N546" t="inlineStr">
        <is>
          <t>Drewno opałowe z lasu</t>
        </is>
      </c>
      <c r="Q546" s="21" t="n">
        <v>0</v>
      </c>
      <c r="T546" s="22" t="n">
        <v>0</v>
      </c>
      <c r="U546" s="21" t="n">
        <v>0</v>
      </c>
      <c r="V546" s="21" t="n">
        <v>0</v>
      </c>
      <c r="W546" t="inlineStr">
        <is>
          <t>Magazyn Zabrze</t>
        </is>
      </c>
      <c r="Z546" t="inlineStr">
        <is>
          <t>Roesner Mateusz</t>
        </is>
      </c>
      <c r="AA546" s="23" t="n">
        <v>46265.40539351852</v>
      </c>
      <c r="AB546" t="inlineStr">
        <is>
          <t>OP-MIGR-00553</t>
        </is>
      </c>
      <c r="AD546" t="inlineStr">
        <is>
          <t>AKTYWNY</t>
        </is>
      </c>
      <c r="AE546" s="20">
        <f>IF(I546="",0,IF(ISNUMBER(SEARCH("MP",UPPER(J546))),I546,IF(ISNUMBER(SEARCH("TON",UPPER(J546))),I546/Przelicznik_MP_tona,IF(ISNUMBER(SEARCH("M3",UPPER(J546))),I546*Przelicznik_M3_MP,IF(ISNUMBER(SEARCH("GJ",UPPER(J546))),I546/Przelicznik_GJ_tona/Przelicznik_MP_tona,I546)))))</f>
        <v/>
      </c>
      <c r="AF546" s="20">
        <f>IF(I546="",0,IF(ISNUMBER(SEARCH("TON",UPPER(J546))),I546,IF(ISNUMBER(SEARCH("GJ",UPPER(J546))),I546/Przelicznik_GJ_tona,AE546*Przelicznik_MP_tona)))</f>
        <v/>
      </c>
      <c r="AG546" s="20">
        <f>AF546*Przelicznik_GJ_tona</f>
        <v/>
      </c>
      <c r="AH546" s="20">
        <f>IF(UPPER(AD546)="SKORYGOWANY",0,IF(OR(UPPER(E546)="TRANSPORT",UPPER(E546)="MM"),0,IF(UPPER(G546)&lt;&gt;"TAK",0,IF(OR(UPPER(E546)="ZAKUP",UPPER(E546)="PRODUKCJA"),AE546,IF(OR(UPPER(E546)="SPRZEDAŻ",UPPER(E546)="ZUŻYCIE"),-AE546,0)))))</f>
        <v/>
      </c>
      <c r="AI546" s="20">
        <f>IF(UPPER(AD546)="SKORYGOWANY",0,IF(OR(UPPER(E546)="TRANSPORT",UPPER(E546)="MM"),0,IF(UPPER(G546)&lt;&gt;"TAK",0,IF(OR(UPPER(E546)="ZAKUP",UPPER(E546)="PRODUKCJA"),AF546,IF(OR(UPPER(E546)="SPRZEDAŻ",UPPER(E546)="ZUŻYCIE"),-AF546,0)))))</f>
        <v/>
      </c>
      <c r="AJ546" s="21">
        <f>IF(UPPER(AD546)="SKORYGOWANY",0,IF(UPPER(E546)="ZAKUP",IF(L546&lt;&gt;"",L546,I546*K546),0))</f>
        <v/>
      </c>
      <c r="AK546" s="21">
        <f>IF(UPPER(AD546)="SKORYGOWANY",0,IF(UPPER(E546)="SPRZEDAŻ",IF(L546&lt;&gt;"",L546,I546*M546),0))</f>
        <v/>
      </c>
      <c r="AL546" s="21">
        <f>AE546*Q546</f>
        <v/>
      </c>
      <c r="AM546">
        <f>IF(R546="","",IF(LOWER(R546)="brak","Brak",IF(OR(ISNUMBER(SEARCH("własn",LOWER(R546))),ISNUMBER(SEARCH("wlasn",LOWER(R546))),ISNUMBER(SEARCH("wojciechowski",LOWER(R546)))),"Własny","Zewnętrzny")))</f>
        <v/>
      </c>
      <c r="AN546" s="24">
        <f>IF(C546="","",YEAR(C546))</f>
        <v/>
      </c>
      <c r="AO546" s="24">
        <f>IF(C546="","",MONTH(C546))</f>
        <v/>
      </c>
      <c r="AP546">
        <f>IF(C546="","",UPPER(TEXT(C546,"mmmm")))</f>
        <v/>
      </c>
      <c r="AQ546">
        <f>IF(C546="","","Q"&amp;ROUNDUP(MONTH(C546)/3,0))</f>
        <v/>
      </c>
    </row>
    <row r="547">
      <c r="A547" s="19" t="n">
        <v>46262</v>
      </c>
      <c r="C547" s="19" t="n">
        <v>46262</v>
      </c>
      <c r="D547" t="inlineStr">
        <is>
          <t>Magazyn Zabrze</t>
        </is>
      </c>
      <c r="E547" t="inlineStr">
        <is>
          <t>PRODUKCJA</t>
        </is>
      </c>
      <c r="F547" t="inlineStr">
        <is>
          <t>PZ/117</t>
        </is>
      </c>
      <c r="G547" t="inlineStr">
        <is>
          <t>TAK</t>
        </is>
      </c>
      <c r="H547" t="inlineStr">
        <is>
          <t>Deklaracja</t>
        </is>
      </c>
      <c r="I547" s="20" t="n">
        <v>72</v>
      </c>
      <c r="J547" t="inlineStr">
        <is>
          <t>MP</t>
        </is>
      </c>
      <c r="K547" s="21" t="n">
        <v>0</v>
      </c>
      <c r="L547" s="21" t="n">
        <v>0</v>
      </c>
      <c r="M547" s="21" t="n">
        <v>0</v>
      </c>
      <c r="N547" t="inlineStr">
        <is>
          <t>Zrębka Produkcyjna Leśna</t>
        </is>
      </c>
      <c r="O547" t="inlineStr">
        <is>
          <t>B</t>
        </is>
      </c>
      <c r="P547" t="inlineStr">
        <is>
          <t>własne</t>
        </is>
      </c>
      <c r="Q547" s="21" t="n">
        <v>10</v>
      </c>
      <c r="T547" s="22" t="n">
        <v>0</v>
      </c>
      <c r="U547" s="21" t="n">
        <v>0</v>
      </c>
      <c r="V547" s="21" t="n">
        <v>0</v>
      </c>
      <c r="W547" t="inlineStr">
        <is>
          <t>Magazyn Zabrze</t>
        </is>
      </c>
      <c r="Z547" t="inlineStr">
        <is>
          <t>Roesner Mateusz</t>
        </is>
      </c>
      <c r="AA547" s="23" t="n">
        <v>46265.40585648148</v>
      </c>
      <c r="AB547" t="inlineStr">
        <is>
          <t>OP-MIGR-00546</t>
        </is>
      </c>
      <c r="AD547" t="inlineStr">
        <is>
          <t>AKTYWNY</t>
        </is>
      </c>
      <c r="AE547" s="20">
        <f>IF(I547="",0,IF(ISNUMBER(SEARCH("MP",UPPER(J547))),I547,IF(ISNUMBER(SEARCH("TON",UPPER(J547))),I547/Przelicznik_MP_tona,IF(ISNUMBER(SEARCH("M3",UPPER(J547))),I547*Przelicznik_M3_MP,IF(ISNUMBER(SEARCH("GJ",UPPER(J547))),I547/Przelicznik_GJ_tona/Przelicznik_MP_tona,I547)))))</f>
        <v/>
      </c>
      <c r="AF547" s="20">
        <f>IF(I547="",0,IF(ISNUMBER(SEARCH("TON",UPPER(J547))),I547,IF(ISNUMBER(SEARCH("GJ",UPPER(J547))),I547/Przelicznik_GJ_tona,AE547*Przelicznik_MP_tona)))</f>
        <v/>
      </c>
      <c r="AG547" s="20">
        <f>AF547*Przelicznik_GJ_tona</f>
        <v/>
      </c>
      <c r="AH547" s="20">
        <f>IF(UPPER(AD547)="SKORYGOWANY",0,IF(OR(UPPER(E547)="TRANSPORT",UPPER(E547)="MM"),0,IF(UPPER(G547)&lt;&gt;"TAK",0,IF(OR(UPPER(E547)="ZAKUP",UPPER(E547)="PRODUKCJA"),AE547,IF(OR(UPPER(E547)="SPRZEDAŻ",UPPER(E547)="ZUŻYCIE"),-AE547,0)))))</f>
        <v/>
      </c>
      <c r="AI547" s="20">
        <f>IF(UPPER(AD547)="SKORYGOWANY",0,IF(OR(UPPER(E547)="TRANSPORT",UPPER(E547)="MM"),0,IF(UPPER(G547)&lt;&gt;"TAK",0,IF(OR(UPPER(E547)="ZAKUP",UPPER(E547)="PRODUKCJA"),AF547,IF(OR(UPPER(E547)="SPRZEDAŻ",UPPER(E547)="ZUŻYCIE"),-AF547,0)))))</f>
        <v/>
      </c>
      <c r="AJ547" s="21">
        <f>IF(UPPER(AD547)="SKORYGOWANY",0,IF(UPPER(E547)="ZAKUP",IF(L547&lt;&gt;"",L547,I547*K547),0))</f>
        <v/>
      </c>
      <c r="AK547" s="21">
        <f>IF(UPPER(AD547)="SKORYGOWANY",0,IF(UPPER(E547)="SPRZEDAŻ",IF(L547&lt;&gt;"",L547,I547*M547),0))</f>
        <v/>
      </c>
      <c r="AL547" s="21">
        <f>AE547*Q547</f>
        <v/>
      </c>
      <c r="AM547">
        <f>IF(R547="","",IF(LOWER(R547)="brak","Brak",IF(OR(ISNUMBER(SEARCH("własn",LOWER(R547))),ISNUMBER(SEARCH("wlasn",LOWER(R547))),ISNUMBER(SEARCH("wojciechowski",LOWER(R547)))),"Własny","Zewnętrzny")))</f>
        <v/>
      </c>
      <c r="AN547" s="24">
        <f>IF(C547="","",YEAR(C547))</f>
        <v/>
      </c>
      <c r="AO547" s="24">
        <f>IF(C547="","",MONTH(C547))</f>
        <v/>
      </c>
      <c r="AP547">
        <f>IF(C547="","",UPPER(TEXT(C547,"mmmm")))</f>
        <v/>
      </c>
      <c r="AQ547">
        <f>IF(C547="","","Q"&amp;ROUNDUP(MONTH(C547)/3,0))</f>
        <v/>
      </c>
    </row>
    <row r="548">
      <c r="A548" s="19" t="n">
        <v>46262</v>
      </c>
      <c r="C548" s="19" t="n">
        <v>46262</v>
      </c>
      <c r="D548" t="inlineStr">
        <is>
          <t>Magazyn Zabrze</t>
        </is>
      </c>
      <c r="E548" t="inlineStr">
        <is>
          <t>ZUŻYCIE</t>
        </is>
      </c>
      <c r="F548" t="inlineStr">
        <is>
          <t>PZ/117</t>
        </is>
      </c>
      <c r="G548" t="inlineStr">
        <is>
          <t>TAK</t>
        </is>
      </c>
      <c r="H548" t="inlineStr">
        <is>
          <t>Deklaracja</t>
        </is>
      </c>
      <c r="I548" s="20" t="n">
        <v>72</v>
      </c>
      <c r="J548" t="inlineStr">
        <is>
          <t>MP</t>
        </is>
      </c>
      <c r="K548" s="21" t="n">
        <v>0</v>
      </c>
      <c r="L548" s="21" t="n">
        <v>0</v>
      </c>
      <c r="M548" s="21" t="n">
        <v>0</v>
      </c>
      <c r="N548" t="inlineStr">
        <is>
          <t>Zrębka Produkcyjna Leśna</t>
        </is>
      </c>
      <c r="O548" t="inlineStr">
        <is>
          <t>B</t>
        </is>
      </c>
      <c r="P548" t="inlineStr">
        <is>
          <t>własne</t>
        </is>
      </c>
      <c r="Q548" s="21" t="n">
        <v>10</v>
      </c>
      <c r="T548" s="22" t="n">
        <v>0</v>
      </c>
      <c r="U548" s="21" t="n">
        <v>0</v>
      </c>
      <c r="V548" s="21" t="n">
        <v>0</v>
      </c>
      <c r="W548" t="inlineStr">
        <is>
          <t>Magazyn Zabrze</t>
        </is>
      </c>
      <c r="Y548" t="inlineStr">
        <is>
          <t>Automatyczne zużycie surowca do produkcji</t>
        </is>
      </c>
      <c r="AA548" s="23" t="n">
        <v>46265.40585648148</v>
      </c>
      <c r="AB548" t="inlineStr">
        <is>
          <t>OP-MIGR-00547</t>
        </is>
      </c>
      <c r="AD548" t="inlineStr">
        <is>
          <t>AKTYWNY</t>
        </is>
      </c>
      <c r="AE548" s="20">
        <f>IF(I548="",0,IF(ISNUMBER(SEARCH("MP",UPPER(J548))),I548,IF(ISNUMBER(SEARCH("TON",UPPER(J548))),I548/Przelicznik_MP_tona,IF(ISNUMBER(SEARCH("M3",UPPER(J548))),I548*Przelicznik_M3_MP,IF(ISNUMBER(SEARCH("GJ",UPPER(J548))),I548/Przelicznik_GJ_tona/Przelicznik_MP_tona,I548)))))</f>
        <v/>
      </c>
      <c r="AF548" s="20">
        <f>IF(I548="",0,IF(ISNUMBER(SEARCH("TON",UPPER(J548))),I548,IF(ISNUMBER(SEARCH("GJ",UPPER(J548))),I548/Przelicznik_GJ_tona,AE548*Przelicznik_MP_tona)))</f>
        <v/>
      </c>
      <c r="AG548" s="20">
        <f>AF548*Przelicznik_GJ_tona</f>
        <v/>
      </c>
      <c r="AH548" s="20">
        <f>IF(UPPER(AD548)="SKORYGOWANY",0,IF(OR(UPPER(E548)="TRANSPORT",UPPER(E548)="MM"),0,IF(UPPER(G548)&lt;&gt;"TAK",0,IF(OR(UPPER(E548)="ZAKUP",UPPER(E548)="PRODUKCJA"),AE548,IF(OR(UPPER(E548)="SPRZEDAŻ",UPPER(E548)="ZUŻYCIE"),-AE548,0)))))</f>
        <v/>
      </c>
      <c r="AI548" s="20">
        <f>IF(UPPER(AD548)="SKORYGOWANY",0,IF(OR(UPPER(E548)="TRANSPORT",UPPER(E548)="MM"),0,IF(UPPER(G548)&lt;&gt;"TAK",0,IF(OR(UPPER(E548)="ZAKUP",UPPER(E548)="PRODUKCJA"),AF548,IF(OR(UPPER(E548)="SPRZEDAŻ",UPPER(E548)="ZUŻYCIE"),-AF548,0)))))</f>
        <v/>
      </c>
      <c r="AJ548" s="21">
        <f>IF(UPPER(AD548)="SKORYGOWANY",0,IF(UPPER(E548)="ZAKUP",IF(L548&lt;&gt;"",L548,I548*K548),0))</f>
        <v/>
      </c>
      <c r="AK548" s="21">
        <f>IF(UPPER(AD548)="SKORYGOWANY",0,IF(UPPER(E548)="SPRZEDAŻ",IF(L548&lt;&gt;"",L548,I548*M548),0))</f>
        <v/>
      </c>
      <c r="AL548" s="21">
        <f>AE548*Q548</f>
        <v/>
      </c>
      <c r="AM548">
        <f>IF(R548="","",IF(LOWER(R548)="brak","Brak",IF(OR(ISNUMBER(SEARCH("własn",LOWER(R548))),ISNUMBER(SEARCH("wlasn",LOWER(R548))),ISNUMBER(SEARCH("wojciechowski",LOWER(R548)))),"Własny","Zewnętrzny")))</f>
        <v/>
      </c>
      <c r="AN548" s="24">
        <f>IF(C548="","",YEAR(C548))</f>
        <v/>
      </c>
      <c r="AO548" s="24">
        <f>IF(C548="","",MONTH(C548))</f>
        <v/>
      </c>
      <c r="AP548">
        <f>IF(C548="","",UPPER(TEXT(C548,"mmmm")))</f>
        <v/>
      </c>
      <c r="AQ548">
        <f>IF(C548="","","Q"&amp;ROUNDUP(MONTH(C548)/3,0))</f>
        <v/>
      </c>
    </row>
    <row r="549">
      <c r="A549" s="19" t="n">
        <v>46262</v>
      </c>
      <c r="B549" t="inlineStr">
        <is>
          <t>Strzelce Opolskie</t>
        </is>
      </c>
      <c r="C549" s="19" t="n">
        <v>46262</v>
      </c>
      <c r="D549" t="inlineStr">
        <is>
          <t>Magazyn Zabrze</t>
        </is>
      </c>
      <c r="E549" t="inlineStr">
        <is>
          <t>ZAKUP</t>
        </is>
      </c>
      <c r="F549" t="inlineStr">
        <is>
          <t>PZ/117</t>
        </is>
      </c>
      <c r="G549" t="inlineStr">
        <is>
          <t>TAK</t>
        </is>
      </c>
      <c r="H549" t="inlineStr">
        <is>
          <t>Deklaracja</t>
        </is>
      </c>
      <c r="I549" s="20" t="n">
        <v>72</v>
      </c>
      <c r="J549" t="inlineStr">
        <is>
          <t>MP</t>
        </is>
      </c>
      <c r="K549" s="21" t="n">
        <v>0</v>
      </c>
      <c r="L549" s="21" t="n">
        <v>0</v>
      </c>
      <c r="M549" s="21" t="n">
        <v>0</v>
      </c>
      <c r="N549" t="inlineStr">
        <is>
          <t>Zrębka Produkcyjna Leśna</t>
        </is>
      </c>
      <c r="O549" t="inlineStr">
        <is>
          <t>B</t>
        </is>
      </c>
      <c r="Q549" s="21" t="n">
        <v>0</v>
      </c>
      <c r="R549" t="inlineStr">
        <is>
          <t>własny (Chrzan)</t>
        </is>
      </c>
      <c r="S549" t="inlineStr">
        <is>
          <t>SK 5L809</t>
        </is>
      </c>
      <c r="T549" s="22" t="n">
        <v>120</v>
      </c>
      <c r="U549" s="21" t="n">
        <v>5</v>
      </c>
      <c r="V549" s="21" t="n">
        <v>600</v>
      </c>
      <c r="W549" t="inlineStr">
        <is>
          <t>Magazyn Zabrze</t>
        </is>
      </c>
      <c r="Z549" t="inlineStr">
        <is>
          <t>Roesner Mateusz</t>
        </is>
      </c>
      <c r="AA549" s="23" t="n">
        <v>46265.40645833333</v>
      </c>
      <c r="AB549" t="inlineStr">
        <is>
          <t>OP-MIGR-00540</t>
        </is>
      </c>
      <c r="AD549" t="inlineStr">
        <is>
          <t>AKTYWNY</t>
        </is>
      </c>
      <c r="AE549" s="20">
        <f>IF(I549="",0,IF(ISNUMBER(SEARCH("MP",UPPER(J549))),I549,IF(ISNUMBER(SEARCH("TON",UPPER(J549))),I549/Przelicznik_MP_tona,IF(ISNUMBER(SEARCH("M3",UPPER(J549))),I549*Przelicznik_M3_MP,IF(ISNUMBER(SEARCH("GJ",UPPER(J549))),I549/Przelicznik_GJ_tona/Przelicznik_MP_tona,I549)))))</f>
        <v/>
      </c>
      <c r="AF549" s="20">
        <f>IF(I549="",0,IF(ISNUMBER(SEARCH("TON",UPPER(J549))),I549,IF(ISNUMBER(SEARCH("GJ",UPPER(J549))),I549/Przelicznik_GJ_tona,AE549*Przelicznik_MP_tona)))</f>
        <v/>
      </c>
      <c r="AG549" s="20">
        <f>AF549*Przelicznik_GJ_tona</f>
        <v/>
      </c>
      <c r="AH549" s="20">
        <f>IF(UPPER(AD549)="SKORYGOWANY",0,IF(OR(UPPER(E549)="TRANSPORT",UPPER(E549)="MM"),0,IF(UPPER(G549)&lt;&gt;"TAK",0,IF(OR(UPPER(E549)="ZAKUP",UPPER(E549)="PRODUKCJA"),AE549,IF(OR(UPPER(E549)="SPRZEDAŻ",UPPER(E549)="ZUŻYCIE"),-AE549,0)))))</f>
        <v/>
      </c>
      <c r="AI549" s="20">
        <f>IF(UPPER(AD549)="SKORYGOWANY",0,IF(OR(UPPER(E549)="TRANSPORT",UPPER(E549)="MM"),0,IF(UPPER(G549)&lt;&gt;"TAK",0,IF(OR(UPPER(E549)="ZAKUP",UPPER(E549)="PRODUKCJA"),AF549,IF(OR(UPPER(E549)="SPRZEDAŻ",UPPER(E549)="ZUŻYCIE"),-AF549,0)))))</f>
        <v/>
      </c>
      <c r="AJ549" s="21">
        <f>IF(UPPER(AD549)="SKORYGOWANY",0,IF(UPPER(E549)="ZAKUP",IF(L549&lt;&gt;"",L549,I549*K549),0))</f>
        <v/>
      </c>
      <c r="AK549" s="21">
        <f>IF(UPPER(AD549)="SKORYGOWANY",0,IF(UPPER(E549)="SPRZEDAŻ",IF(L549&lt;&gt;"",L549,I549*M549),0))</f>
        <v/>
      </c>
      <c r="AL549" s="21">
        <f>AE549*Q549</f>
        <v/>
      </c>
      <c r="AM549">
        <f>IF(R549="","",IF(LOWER(R549)="brak","Brak",IF(OR(ISNUMBER(SEARCH("własn",LOWER(R549))),ISNUMBER(SEARCH("wlasn",LOWER(R549))),ISNUMBER(SEARCH("wojciechowski",LOWER(R549)))),"Własny","Zewnętrzny")))</f>
        <v/>
      </c>
      <c r="AN549" s="24">
        <f>IF(C549="","",YEAR(C549))</f>
        <v/>
      </c>
      <c r="AO549" s="24">
        <f>IF(C549="","",MONTH(C549))</f>
        <v/>
      </c>
      <c r="AP549">
        <f>IF(C549="","",UPPER(TEXT(C549,"mmmm")))</f>
        <v/>
      </c>
      <c r="AQ549">
        <f>IF(C549="","","Q"&amp;ROUNDUP(MONTH(C549)/3,0))</f>
        <v/>
      </c>
    </row>
    <row r="550">
      <c r="A550" s="19" t="n">
        <v>46262</v>
      </c>
      <c r="C550" s="19" t="n">
        <v>46262</v>
      </c>
      <c r="D550" t="inlineStr">
        <is>
          <t>NDL Strzelce Op, Leśnictwo Spórok</t>
        </is>
      </c>
      <c r="E550" t="inlineStr">
        <is>
          <t>ZAKUP</t>
        </is>
      </c>
      <c r="F550" t="inlineStr">
        <is>
          <t>PZ/118  3/202638592/1135</t>
        </is>
      </c>
      <c r="G550" t="inlineStr">
        <is>
          <t>TAK</t>
        </is>
      </c>
      <c r="H550" t="inlineStr">
        <is>
          <t>Deklaracja</t>
        </is>
      </c>
      <c r="I550" s="20" t="n">
        <v>3</v>
      </c>
      <c r="J550" t="inlineStr">
        <is>
          <t>M3</t>
        </is>
      </c>
      <c r="K550" s="21" t="n">
        <v>0</v>
      </c>
      <c r="L550" s="21" t="n">
        <v>0</v>
      </c>
      <c r="M550" s="21" t="n">
        <v>0</v>
      </c>
      <c r="N550" t="inlineStr">
        <is>
          <t>Drewno opałowe z lasu</t>
        </is>
      </c>
      <c r="Q550" s="21" t="n">
        <v>0</v>
      </c>
      <c r="T550" s="22" t="n">
        <v>0</v>
      </c>
      <c r="U550" s="21" t="n">
        <v>0</v>
      </c>
      <c r="V550" s="21" t="n">
        <v>0</v>
      </c>
      <c r="W550" t="inlineStr">
        <is>
          <t>Magazyn Zabrze</t>
        </is>
      </c>
      <c r="Z550" t="inlineStr">
        <is>
          <t>Roesner Mateusz</t>
        </is>
      </c>
      <c r="AA550" s="23" t="n">
        <v>46265.40759259259</v>
      </c>
      <c r="AB550" t="inlineStr">
        <is>
          <t>OP-MIGR-00554</t>
        </is>
      </c>
      <c r="AD550" t="inlineStr">
        <is>
          <t>AKTYWNY</t>
        </is>
      </c>
      <c r="AE550" s="20">
        <f>IF(I550="",0,IF(ISNUMBER(SEARCH("MP",UPPER(J550))),I550,IF(ISNUMBER(SEARCH("TON",UPPER(J550))),I550/Przelicznik_MP_tona,IF(ISNUMBER(SEARCH("M3",UPPER(J550))),I550*Przelicznik_M3_MP,IF(ISNUMBER(SEARCH("GJ",UPPER(J550))),I550/Przelicznik_GJ_tona/Przelicznik_MP_tona,I550)))))</f>
        <v/>
      </c>
      <c r="AF550" s="20">
        <f>IF(I550="",0,IF(ISNUMBER(SEARCH("TON",UPPER(J550))),I550,IF(ISNUMBER(SEARCH("GJ",UPPER(J550))),I550/Przelicznik_GJ_tona,AE550*Przelicznik_MP_tona)))</f>
        <v/>
      </c>
      <c r="AG550" s="20">
        <f>AF550*Przelicznik_GJ_tona</f>
        <v/>
      </c>
      <c r="AH550" s="20">
        <f>IF(UPPER(AD550)="SKORYGOWANY",0,IF(OR(UPPER(E550)="TRANSPORT",UPPER(E550)="MM"),0,IF(UPPER(G550)&lt;&gt;"TAK",0,IF(OR(UPPER(E550)="ZAKUP",UPPER(E550)="PRODUKCJA"),AE550,IF(OR(UPPER(E550)="SPRZEDAŻ",UPPER(E550)="ZUŻYCIE"),-AE550,0)))))</f>
        <v/>
      </c>
      <c r="AI550" s="20">
        <f>IF(UPPER(AD550)="SKORYGOWANY",0,IF(OR(UPPER(E550)="TRANSPORT",UPPER(E550)="MM"),0,IF(UPPER(G550)&lt;&gt;"TAK",0,IF(OR(UPPER(E550)="ZAKUP",UPPER(E550)="PRODUKCJA"),AF550,IF(OR(UPPER(E550)="SPRZEDAŻ",UPPER(E550)="ZUŻYCIE"),-AF550,0)))))</f>
        <v/>
      </c>
      <c r="AJ550" s="21">
        <f>IF(UPPER(AD550)="SKORYGOWANY",0,IF(UPPER(E550)="ZAKUP",IF(L550&lt;&gt;"",L550,I550*K550),0))</f>
        <v/>
      </c>
      <c r="AK550" s="21">
        <f>IF(UPPER(AD550)="SKORYGOWANY",0,IF(UPPER(E550)="SPRZEDAŻ",IF(L550&lt;&gt;"",L550,I550*M550),0))</f>
        <v/>
      </c>
      <c r="AL550" s="21">
        <f>AE550*Q550</f>
        <v/>
      </c>
      <c r="AM550">
        <f>IF(R550="","",IF(LOWER(R550)="brak","Brak",IF(OR(ISNUMBER(SEARCH("własn",LOWER(R550))),ISNUMBER(SEARCH("wlasn",LOWER(R550))),ISNUMBER(SEARCH("wojciechowski",LOWER(R550)))),"Własny","Zewnętrzny")))</f>
        <v/>
      </c>
      <c r="AN550" s="24">
        <f>IF(C550="","",YEAR(C550))</f>
        <v/>
      </c>
      <c r="AO550" s="24">
        <f>IF(C550="","",MONTH(C550))</f>
        <v/>
      </c>
      <c r="AP550">
        <f>IF(C550="","",UPPER(TEXT(C550,"mmmm")))</f>
        <v/>
      </c>
      <c r="AQ550">
        <f>IF(C550="","","Q"&amp;ROUNDUP(MONTH(C550)/3,0))</f>
        <v/>
      </c>
    </row>
    <row r="551">
      <c r="A551" s="19" t="n">
        <v>46262</v>
      </c>
      <c r="C551" s="19" t="n">
        <v>46262</v>
      </c>
      <c r="D551" t="inlineStr">
        <is>
          <t>Magazyn Zabrze</t>
        </is>
      </c>
      <c r="E551" t="inlineStr">
        <is>
          <t>PRODUKCJA</t>
        </is>
      </c>
      <c r="F551" t="inlineStr">
        <is>
          <t>PZ/118</t>
        </is>
      </c>
      <c r="G551" t="inlineStr">
        <is>
          <t>TAK</t>
        </is>
      </c>
      <c r="H551" t="inlineStr">
        <is>
          <t>Deklaracja</t>
        </is>
      </c>
      <c r="I551" s="20" t="n">
        <v>12</v>
      </c>
      <c r="J551" t="inlineStr">
        <is>
          <t>MP</t>
        </is>
      </c>
      <c r="K551" s="21" t="n">
        <v>0</v>
      </c>
      <c r="L551" s="21" t="n">
        <v>0</v>
      </c>
      <c r="M551" s="21" t="n">
        <v>0</v>
      </c>
      <c r="N551" t="inlineStr">
        <is>
          <t>Zrębka Produkcyjna Leśna</t>
        </is>
      </c>
      <c r="O551" t="inlineStr">
        <is>
          <t>B</t>
        </is>
      </c>
      <c r="P551" t="inlineStr">
        <is>
          <t>własne</t>
        </is>
      </c>
      <c r="Q551" s="21" t="n">
        <v>10</v>
      </c>
      <c r="T551" s="22" t="n">
        <v>0</v>
      </c>
      <c r="U551" s="21" t="n">
        <v>0</v>
      </c>
      <c r="V551" s="21" t="n">
        <v>0</v>
      </c>
      <c r="W551" t="inlineStr">
        <is>
          <t>Magazyn Zabrze</t>
        </is>
      </c>
      <c r="Z551" t="inlineStr">
        <is>
          <t>Roesner Mateusz</t>
        </is>
      </c>
      <c r="AA551" s="23" t="n">
        <v>46265.40806712963</v>
      </c>
      <c r="AB551" t="inlineStr">
        <is>
          <t>OP-MIGR-00548</t>
        </is>
      </c>
      <c r="AD551" t="inlineStr">
        <is>
          <t>AKTYWNY</t>
        </is>
      </c>
      <c r="AE551" s="20">
        <f>IF(I551="",0,IF(ISNUMBER(SEARCH("MP",UPPER(J551))),I551,IF(ISNUMBER(SEARCH("TON",UPPER(J551))),I551/Przelicznik_MP_tona,IF(ISNUMBER(SEARCH("M3",UPPER(J551))),I551*Przelicznik_M3_MP,IF(ISNUMBER(SEARCH("GJ",UPPER(J551))),I551/Przelicznik_GJ_tona/Przelicznik_MP_tona,I551)))))</f>
        <v/>
      </c>
      <c r="AF551" s="20">
        <f>IF(I551="",0,IF(ISNUMBER(SEARCH("TON",UPPER(J551))),I551,IF(ISNUMBER(SEARCH("GJ",UPPER(J551))),I551/Przelicznik_GJ_tona,AE551*Przelicznik_MP_tona)))</f>
        <v/>
      </c>
      <c r="AG551" s="20">
        <f>AF551*Przelicznik_GJ_tona</f>
        <v/>
      </c>
      <c r="AH551" s="20">
        <f>IF(UPPER(AD551)="SKORYGOWANY",0,IF(OR(UPPER(E551)="TRANSPORT",UPPER(E551)="MM"),0,IF(UPPER(G551)&lt;&gt;"TAK",0,IF(OR(UPPER(E551)="ZAKUP",UPPER(E551)="PRODUKCJA"),AE551,IF(OR(UPPER(E551)="SPRZEDAŻ",UPPER(E551)="ZUŻYCIE"),-AE551,0)))))</f>
        <v/>
      </c>
      <c r="AI551" s="20">
        <f>IF(UPPER(AD551)="SKORYGOWANY",0,IF(OR(UPPER(E551)="TRANSPORT",UPPER(E551)="MM"),0,IF(UPPER(G551)&lt;&gt;"TAK",0,IF(OR(UPPER(E551)="ZAKUP",UPPER(E551)="PRODUKCJA"),AF551,IF(OR(UPPER(E551)="SPRZEDAŻ",UPPER(E551)="ZUŻYCIE"),-AF551,0)))))</f>
        <v/>
      </c>
      <c r="AJ551" s="21">
        <f>IF(UPPER(AD551)="SKORYGOWANY",0,IF(UPPER(E551)="ZAKUP",IF(L551&lt;&gt;"",L551,I551*K551),0))</f>
        <v/>
      </c>
      <c r="AK551" s="21">
        <f>IF(UPPER(AD551)="SKORYGOWANY",0,IF(UPPER(E551)="SPRZEDAŻ",IF(L551&lt;&gt;"",L551,I551*M551),0))</f>
        <v/>
      </c>
      <c r="AL551" s="21">
        <f>AE551*Q551</f>
        <v/>
      </c>
      <c r="AM551">
        <f>IF(R551="","",IF(LOWER(R551)="brak","Brak",IF(OR(ISNUMBER(SEARCH("własn",LOWER(R551))),ISNUMBER(SEARCH("wlasn",LOWER(R551))),ISNUMBER(SEARCH("wojciechowski",LOWER(R551)))),"Własny","Zewnętrzny")))</f>
        <v/>
      </c>
      <c r="AN551" s="24">
        <f>IF(C551="","",YEAR(C551))</f>
        <v/>
      </c>
      <c r="AO551" s="24">
        <f>IF(C551="","",MONTH(C551))</f>
        <v/>
      </c>
      <c r="AP551">
        <f>IF(C551="","",UPPER(TEXT(C551,"mmmm")))</f>
        <v/>
      </c>
      <c r="AQ551">
        <f>IF(C551="","","Q"&amp;ROUNDUP(MONTH(C551)/3,0))</f>
        <v/>
      </c>
    </row>
    <row r="552">
      <c r="A552" s="19" t="n">
        <v>46262</v>
      </c>
      <c r="C552" s="19" t="n">
        <v>46262</v>
      </c>
      <c r="D552" t="inlineStr">
        <is>
          <t>Magazyn Zabrze</t>
        </is>
      </c>
      <c r="E552" t="inlineStr">
        <is>
          <t>ZUŻYCIE</t>
        </is>
      </c>
      <c r="F552" t="inlineStr">
        <is>
          <t>PZ/118</t>
        </is>
      </c>
      <c r="G552" t="inlineStr">
        <is>
          <t>TAK</t>
        </is>
      </c>
      <c r="H552" t="inlineStr">
        <is>
          <t>Deklaracja</t>
        </is>
      </c>
      <c r="I552" s="20" t="n">
        <v>12</v>
      </c>
      <c r="J552" t="inlineStr">
        <is>
          <t>MP</t>
        </is>
      </c>
      <c r="K552" s="21" t="n">
        <v>0</v>
      </c>
      <c r="L552" s="21" t="n">
        <v>0</v>
      </c>
      <c r="M552" s="21" t="n">
        <v>0</v>
      </c>
      <c r="N552" t="inlineStr">
        <is>
          <t>Zrębka Produkcyjna Leśna</t>
        </is>
      </c>
      <c r="O552" t="inlineStr">
        <is>
          <t>B</t>
        </is>
      </c>
      <c r="P552" t="inlineStr">
        <is>
          <t>własne</t>
        </is>
      </c>
      <c r="Q552" s="21" t="n">
        <v>10</v>
      </c>
      <c r="T552" s="22" t="n">
        <v>0</v>
      </c>
      <c r="U552" s="21" t="n">
        <v>0</v>
      </c>
      <c r="V552" s="21" t="n">
        <v>0</v>
      </c>
      <c r="W552" t="inlineStr">
        <is>
          <t>Magazyn Zabrze</t>
        </is>
      </c>
      <c r="Y552" t="inlineStr">
        <is>
          <t>Automatyczne zużycie surowca do produkcji</t>
        </is>
      </c>
      <c r="AA552" s="23" t="n">
        <v>46265.40806712963</v>
      </c>
      <c r="AB552" t="inlineStr">
        <is>
          <t>OP-MIGR-00549</t>
        </is>
      </c>
      <c r="AD552" t="inlineStr">
        <is>
          <t>AKTYWNY</t>
        </is>
      </c>
      <c r="AE552" s="20">
        <f>IF(I552="",0,IF(ISNUMBER(SEARCH("MP",UPPER(J552))),I552,IF(ISNUMBER(SEARCH("TON",UPPER(J552))),I552/Przelicznik_MP_tona,IF(ISNUMBER(SEARCH("M3",UPPER(J552))),I552*Przelicznik_M3_MP,IF(ISNUMBER(SEARCH("GJ",UPPER(J552))),I552/Przelicznik_GJ_tona/Przelicznik_MP_tona,I552)))))</f>
        <v/>
      </c>
      <c r="AF552" s="20">
        <f>IF(I552="",0,IF(ISNUMBER(SEARCH("TON",UPPER(J552))),I552,IF(ISNUMBER(SEARCH("GJ",UPPER(J552))),I552/Przelicznik_GJ_tona,AE552*Przelicznik_MP_tona)))</f>
        <v/>
      </c>
      <c r="AG552" s="20">
        <f>AF552*Przelicznik_GJ_tona</f>
        <v/>
      </c>
      <c r="AH552" s="20">
        <f>IF(UPPER(AD552)="SKORYGOWANY",0,IF(OR(UPPER(E552)="TRANSPORT",UPPER(E552)="MM"),0,IF(UPPER(G552)&lt;&gt;"TAK",0,IF(OR(UPPER(E552)="ZAKUP",UPPER(E552)="PRODUKCJA"),AE552,IF(OR(UPPER(E552)="SPRZEDAŻ",UPPER(E552)="ZUŻYCIE"),-AE552,0)))))</f>
        <v/>
      </c>
      <c r="AI552" s="20">
        <f>IF(UPPER(AD552)="SKORYGOWANY",0,IF(OR(UPPER(E552)="TRANSPORT",UPPER(E552)="MM"),0,IF(UPPER(G552)&lt;&gt;"TAK",0,IF(OR(UPPER(E552)="ZAKUP",UPPER(E552)="PRODUKCJA"),AF552,IF(OR(UPPER(E552)="SPRZEDAŻ",UPPER(E552)="ZUŻYCIE"),-AF552,0)))))</f>
        <v/>
      </c>
      <c r="AJ552" s="21">
        <f>IF(UPPER(AD552)="SKORYGOWANY",0,IF(UPPER(E552)="ZAKUP",IF(L552&lt;&gt;"",L552,I552*K552),0))</f>
        <v/>
      </c>
      <c r="AK552" s="21">
        <f>IF(UPPER(AD552)="SKORYGOWANY",0,IF(UPPER(E552)="SPRZEDAŻ",IF(L552&lt;&gt;"",L552,I552*M552),0))</f>
        <v/>
      </c>
      <c r="AL552" s="21">
        <f>AE552*Q552</f>
        <v/>
      </c>
      <c r="AM552">
        <f>IF(R552="","",IF(LOWER(R552)="brak","Brak",IF(OR(ISNUMBER(SEARCH("własn",LOWER(R552))),ISNUMBER(SEARCH("wlasn",LOWER(R552))),ISNUMBER(SEARCH("wojciechowski",LOWER(R552)))),"Własny","Zewnętrzny")))</f>
        <v/>
      </c>
      <c r="AN552" s="24">
        <f>IF(C552="","",YEAR(C552))</f>
        <v/>
      </c>
      <c r="AO552" s="24">
        <f>IF(C552="","",MONTH(C552))</f>
        <v/>
      </c>
      <c r="AP552">
        <f>IF(C552="","",UPPER(TEXT(C552,"mmmm")))</f>
        <v/>
      </c>
      <c r="AQ552">
        <f>IF(C552="","","Q"&amp;ROUNDUP(MONTH(C552)/3,0))</f>
        <v/>
      </c>
    </row>
    <row r="553">
      <c r="A553" s="19" t="n">
        <v>46262</v>
      </c>
      <c r="B553" t="inlineStr">
        <is>
          <t>Strzelce Opolskie</t>
        </is>
      </c>
      <c r="C553" s="19" t="n">
        <v>46262</v>
      </c>
      <c r="D553" t="inlineStr">
        <is>
          <t>Magazyn Zabrze</t>
        </is>
      </c>
      <c r="E553" t="inlineStr">
        <is>
          <t>ZAKUP</t>
        </is>
      </c>
      <c r="F553" t="inlineStr">
        <is>
          <t>PZ/118</t>
        </is>
      </c>
      <c r="G553" t="inlineStr">
        <is>
          <t>TAK</t>
        </is>
      </c>
      <c r="H553" t="inlineStr">
        <is>
          <t>Deklaracja</t>
        </is>
      </c>
      <c r="I553" s="20" t="n">
        <v>12</v>
      </c>
      <c r="J553" t="inlineStr">
        <is>
          <t>MP</t>
        </is>
      </c>
      <c r="K553" s="21" t="n">
        <v>0</v>
      </c>
      <c r="L553" s="21" t="n">
        <v>0</v>
      </c>
      <c r="M553" s="21" t="n">
        <v>0</v>
      </c>
      <c r="N553" t="inlineStr">
        <is>
          <t>Zrębka Produkcyjna Leśna</t>
        </is>
      </c>
      <c r="O553" t="inlineStr">
        <is>
          <t>B</t>
        </is>
      </c>
      <c r="Q553" s="21" t="n">
        <v>0</v>
      </c>
      <c r="R553" t="inlineStr">
        <is>
          <t>własny (Wilczak)</t>
        </is>
      </c>
      <c r="S553" t="inlineStr">
        <is>
          <t>SK 7J885</t>
        </is>
      </c>
      <c r="T553" s="22" t="n">
        <v>120</v>
      </c>
      <c r="U553" s="21" t="n">
        <v>5</v>
      </c>
      <c r="V553" s="21" t="n">
        <v>600</v>
      </c>
      <c r="W553" t="inlineStr">
        <is>
          <t>Magazyn Zabrze</t>
        </is>
      </c>
      <c r="Z553" t="inlineStr">
        <is>
          <t>Roesner Mateusz</t>
        </is>
      </c>
      <c r="AA553" s="23" t="n">
        <v>46265.40869212963</v>
      </c>
      <c r="AB553" t="inlineStr">
        <is>
          <t>OP-MIGR-00541</t>
        </is>
      </c>
      <c r="AD553" t="inlineStr">
        <is>
          <t>AKTYWNY</t>
        </is>
      </c>
      <c r="AE553" s="20">
        <f>IF(I553="",0,IF(ISNUMBER(SEARCH("MP",UPPER(J553))),I553,IF(ISNUMBER(SEARCH("TON",UPPER(J553))),I553/Przelicznik_MP_tona,IF(ISNUMBER(SEARCH("M3",UPPER(J553))),I553*Przelicznik_M3_MP,IF(ISNUMBER(SEARCH("GJ",UPPER(J553))),I553/Przelicznik_GJ_tona/Przelicznik_MP_tona,I553)))))</f>
        <v/>
      </c>
      <c r="AF553" s="20">
        <f>IF(I553="",0,IF(ISNUMBER(SEARCH("TON",UPPER(J553))),I553,IF(ISNUMBER(SEARCH("GJ",UPPER(J553))),I553/Przelicznik_GJ_tona,AE553*Przelicznik_MP_tona)))</f>
        <v/>
      </c>
      <c r="AG553" s="20">
        <f>AF553*Przelicznik_GJ_tona</f>
        <v/>
      </c>
      <c r="AH553" s="20">
        <f>IF(UPPER(AD553)="SKORYGOWANY",0,IF(OR(UPPER(E553)="TRANSPORT",UPPER(E553)="MM"),0,IF(UPPER(G553)&lt;&gt;"TAK",0,IF(OR(UPPER(E553)="ZAKUP",UPPER(E553)="PRODUKCJA"),AE553,IF(OR(UPPER(E553)="SPRZEDAŻ",UPPER(E553)="ZUŻYCIE"),-AE553,0)))))</f>
        <v/>
      </c>
      <c r="AI553" s="20">
        <f>IF(UPPER(AD553)="SKORYGOWANY",0,IF(OR(UPPER(E553)="TRANSPORT",UPPER(E553)="MM"),0,IF(UPPER(G553)&lt;&gt;"TAK",0,IF(OR(UPPER(E553)="ZAKUP",UPPER(E553)="PRODUKCJA"),AF553,IF(OR(UPPER(E553)="SPRZEDAŻ",UPPER(E553)="ZUŻYCIE"),-AF553,0)))))</f>
        <v/>
      </c>
      <c r="AJ553" s="21">
        <f>IF(UPPER(AD553)="SKORYGOWANY",0,IF(UPPER(E553)="ZAKUP",IF(L553&lt;&gt;"",L553,I553*K553),0))</f>
        <v/>
      </c>
      <c r="AK553" s="21">
        <f>IF(UPPER(AD553)="SKORYGOWANY",0,IF(UPPER(E553)="SPRZEDAŻ",IF(L553&lt;&gt;"",L553,I553*M553),0))</f>
        <v/>
      </c>
      <c r="AL553" s="21">
        <f>AE553*Q553</f>
        <v/>
      </c>
      <c r="AM553">
        <f>IF(R553="","",IF(LOWER(R553)="brak","Brak",IF(OR(ISNUMBER(SEARCH("własn",LOWER(R553))),ISNUMBER(SEARCH("wlasn",LOWER(R553))),ISNUMBER(SEARCH("wojciechowski",LOWER(R553)))),"Własny","Zewnętrzny")))</f>
        <v/>
      </c>
      <c r="AN553" s="24">
        <f>IF(C553="","",YEAR(C553))</f>
        <v/>
      </c>
      <c r="AO553" s="24">
        <f>IF(C553="","",MONTH(C553))</f>
        <v/>
      </c>
      <c r="AP553">
        <f>IF(C553="","",UPPER(TEXT(C553,"mmmm")))</f>
        <v/>
      </c>
      <c r="AQ553">
        <f>IF(C553="","","Q"&amp;ROUNDUP(MONTH(C553)/3,0))</f>
        <v/>
      </c>
    </row>
    <row r="554">
      <c r="A554" s="19" t="n">
        <v>46262</v>
      </c>
      <c r="C554" s="19" t="n">
        <v>46262</v>
      </c>
      <c r="D554" t="inlineStr">
        <is>
          <t>Lander Agro</t>
        </is>
      </c>
      <c r="E554" t="inlineStr">
        <is>
          <t>ZAKUP</t>
        </is>
      </c>
      <c r="F554" t="inlineStr">
        <is>
          <t>PZ/44/D</t>
        </is>
      </c>
      <c r="G554" t="inlineStr">
        <is>
          <t>TAK</t>
        </is>
      </c>
      <c r="H554" t="inlineStr">
        <is>
          <t>KZR</t>
        </is>
      </c>
      <c r="I554" s="20" t="n">
        <v>28.46</v>
      </c>
      <c r="J554" t="inlineStr">
        <is>
          <t>M3</t>
        </is>
      </c>
      <c r="K554" s="21" t="n">
        <v>230</v>
      </c>
      <c r="L554" s="21" t="n">
        <v>6545.8</v>
      </c>
      <c r="M554" s="21" t="n">
        <v>0</v>
      </c>
      <c r="N554" t="inlineStr">
        <is>
          <t>Drewno opałowe z lasu</t>
        </is>
      </c>
      <c r="Q554" s="21" t="n">
        <v>0</v>
      </c>
      <c r="T554" s="22" t="n">
        <v>0</v>
      </c>
      <c r="U554" s="21" t="n">
        <v>0</v>
      </c>
      <c r="V554" s="21" t="n">
        <v>0</v>
      </c>
      <c r="W554" t="inlineStr">
        <is>
          <t>Magazyn Zabrze</t>
        </is>
      </c>
      <c r="Z554" t="inlineStr">
        <is>
          <t>Roesner Mateusz</t>
        </is>
      </c>
      <c r="AA554" s="23" t="n">
        <v>46265.41078703704</v>
      </c>
      <c r="AB554" t="inlineStr">
        <is>
          <t>OP-MIGR-00544</t>
        </is>
      </c>
      <c r="AD554" t="inlineStr">
        <is>
          <t>AKTYWNY</t>
        </is>
      </c>
      <c r="AE554" s="20">
        <f>IF(I554="",0,IF(ISNUMBER(SEARCH("MP",UPPER(J554))),I554,IF(ISNUMBER(SEARCH("TON",UPPER(J554))),I554/Przelicznik_MP_tona,IF(ISNUMBER(SEARCH("M3",UPPER(J554))),I554*Przelicznik_M3_MP,IF(ISNUMBER(SEARCH("GJ",UPPER(J554))),I554/Przelicznik_GJ_tona/Przelicznik_MP_tona,I554)))))</f>
        <v/>
      </c>
      <c r="AF554" s="20">
        <f>IF(I554="",0,IF(ISNUMBER(SEARCH("TON",UPPER(J554))),I554,IF(ISNUMBER(SEARCH("GJ",UPPER(J554))),I554/Przelicznik_GJ_tona,AE554*Przelicznik_MP_tona)))</f>
        <v/>
      </c>
      <c r="AG554" s="20">
        <f>AF554*Przelicznik_GJ_tona</f>
        <v/>
      </c>
      <c r="AH554" s="20">
        <f>IF(UPPER(AD554)="SKORYGOWANY",0,IF(OR(UPPER(E554)="TRANSPORT",UPPER(E554)="MM"),0,IF(UPPER(G554)&lt;&gt;"TAK",0,IF(OR(UPPER(E554)="ZAKUP",UPPER(E554)="PRODUKCJA"),AE554,IF(OR(UPPER(E554)="SPRZEDAŻ",UPPER(E554)="ZUŻYCIE"),-AE554,0)))))</f>
        <v/>
      </c>
      <c r="AI554" s="20">
        <f>IF(UPPER(AD554)="SKORYGOWANY",0,IF(OR(UPPER(E554)="TRANSPORT",UPPER(E554)="MM"),0,IF(UPPER(G554)&lt;&gt;"TAK",0,IF(OR(UPPER(E554)="ZAKUP",UPPER(E554)="PRODUKCJA"),AF554,IF(OR(UPPER(E554)="SPRZEDAŻ",UPPER(E554)="ZUŻYCIE"),-AF554,0)))))</f>
        <v/>
      </c>
      <c r="AJ554" s="21">
        <f>IF(UPPER(AD554)="SKORYGOWANY",0,IF(UPPER(E554)="ZAKUP",IF(L554&lt;&gt;"",L554,I554*K554),0))</f>
        <v/>
      </c>
      <c r="AK554" s="21">
        <f>IF(UPPER(AD554)="SKORYGOWANY",0,IF(UPPER(E554)="SPRZEDAŻ",IF(L554&lt;&gt;"",L554,I554*M554),0))</f>
        <v/>
      </c>
      <c r="AL554" s="21">
        <f>AE554*Q554</f>
        <v/>
      </c>
      <c r="AM554">
        <f>IF(R554="","",IF(LOWER(R554)="brak","Brak",IF(OR(ISNUMBER(SEARCH("własn",LOWER(R554))),ISNUMBER(SEARCH("wlasn",LOWER(R554))),ISNUMBER(SEARCH("wojciechowski",LOWER(R554)))),"Własny","Zewnętrzny")))</f>
        <v/>
      </c>
      <c r="AN554" s="24">
        <f>IF(C554="","",YEAR(C554))</f>
        <v/>
      </c>
      <c r="AO554" s="24">
        <f>IF(C554="","",MONTH(C554))</f>
        <v/>
      </c>
      <c r="AP554">
        <f>IF(C554="","",UPPER(TEXT(C554,"mmmm")))</f>
        <v/>
      </c>
      <c r="AQ554">
        <f>IF(C554="","","Q"&amp;ROUNDUP(MONTH(C554)/3,0))</f>
        <v/>
      </c>
    </row>
    <row r="555">
      <c r="A555" s="19" t="n">
        <v>46262</v>
      </c>
      <c r="C555" s="19" t="n">
        <v>46262</v>
      </c>
      <c r="D555" t="inlineStr">
        <is>
          <t>Drew-Lech</t>
        </is>
      </c>
      <c r="E555" t="inlineStr">
        <is>
          <t>ZAKUP</t>
        </is>
      </c>
      <c r="F555" t="inlineStr">
        <is>
          <t>PZ/119</t>
        </is>
      </c>
      <c r="G555" t="inlineStr">
        <is>
          <t>TAK</t>
        </is>
      </c>
      <c r="H555" t="inlineStr">
        <is>
          <t>KZR</t>
        </is>
      </c>
      <c r="I555" s="20" t="n">
        <v>27.4</v>
      </c>
      <c r="J555" t="inlineStr">
        <is>
          <t>TON</t>
        </is>
      </c>
      <c r="K555" s="21" t="n">
        <v>0</v>
      </c>
      <c r="L555" s="21" t="n">
        <v>0</v>
      </c>
      <c r="M555" s="21" t="n">
        <v>0</v>
      </c>
      <c r="N555" t="inlineStr">
        <is>
          <t>Zrębka towar</t>
        </is>
      </c>
      <c r="Q555" s="21" t="n">
        <v>0</v>
      </c>
      <c r="T555" s="22" t="n">
        <v>0</v>
      </c>
      <c r="U555" s="21" t="n">
        <v>0</v>
      </c>
      <c r="V555" s="21" t="n">
        <v>0</v>
      </c>
      <c r="W555" t="inlineStr">
        <is>
          <t>Magazyn Zabrze</t>
        </is>
      </c>
      <c r="Y555" t="inlineStr">
        <is>
          <t>92 MP</t>
        </is>
      </c>
      <c r="Z555" t="inlineStr">
        <is>
          <t>Roesner Mateusz</t>
        </is>
      </c>
      <c r="AA555" s="23" t="n">
        <v>46265.51339120371</v>
      </c>
      <c r="AB555" t="inlineStr">
        <is>
          <t>OP-MIGR-00545</t>
        </is>
      </c>
      <c r="AD555" t="inlineStr">
        <is>
          <t>AKTYWNY</t>
        </is>
      </c>
      <c r="AE555" s="20">
        <f>IF(I555="",0,IF(ISNUMBER(SEARCH("MP",UPPER(J555))),I555,IF(ISNUMBER(SEARCH("TON",UPPER(J555))),I555/Przelicznik_MP_tona,IF(ISNUMBER(SEARCH("M3",UPPER(J555))),I555*Przelicznik_M3_MP,IF(ISNUMBER(SEARCH("GJ",UPPER(J555))),I555/Przelicznik_GJ_tona/Przelicznik_MP_tona,I555)))))</f>
        <v/>
      </c>
      <c r="AF555" s="20">
        <f>IF(I555="",0,IF(ISNUMBER(SEARCH("TON",UPPER(J555))),I555,IF(ISNUMBER(SEARCH("GJ",UPPER(J555))),I555/Przelicznik_GJ_tona,AE555*Przelicznik_MP_tona)))</f>
        <v/>
      </c>
      <c r="AG555" s="20">
        <f>AF555*Przelicznik_GJ_tona</f>
        <v/>
      </c>
      <c r="AH555" s="20">
        <f>IF(UPPER(AD555)="SKORYGOWANY",0,IF(OR(UPPER(E555)="TRANSPORT",UPPER(E555)="MM"),0,IF(UPPER(G555)&lt;&gt;"TAK",0,IF(OR(UPPER(E555)="ZAKUP",UPPER(E555)="PRODUKCJA"),AE555,IF(OR(UPPER(E555)="SPRZEDAŻ",UPPER(E555)="ZUŻYCIE"),-AE555,0)))))</f>
        <v/>
      </c>
      <c r="AI555" s="20">
        <f>IF(UPPER(AD555)="SKORYGOWANY",0,IF(OR(UPPER(E555)="TRANSPORT",UPPER(E555)="MM"),0,IF(UPPER(G555)&lt;&gt;"TAK",0,IF(OR(UPPER(E555)="ZAKUP",UPPER(E555)="PRODUKCJA"),AF555,IF(OR(UPPER(E555)="SPRZEDAŻ",UPPER(E555)="ZUŻYCIE"),-AF555,0)))))</f>
        <v/>
      </c>
      <c r="AJ555" s="21">
        <f>IF(UPPER(AD555)="SKORYGOWANY",0,IF(UPPER(E555)="ZAKUP",IF(L555&lt;&gt;"",L555,I555*K555),0))</f>
        <v/>
      </c>
      <c r="AK555" s="21">
        <f>IF(UPPER(AD555)="SKORYGOWANY",0,IF(UPPER(E555)="SPRZEDAŻ",IF(L555&lt;&gt;"",L555,I555*M555),0))</f>
        <v/>
      </c>
      <c r="AL555" s="21">
        <f>AE555*Q555</f>
        <v/>
      </c>
      <c r="AM555">
        <f>IF(R555="","",IF(LOWER(R555)="brak","Brak",IF(OR(ISNUMBER(SEARCH("własn",LOWER(R555))),ISNUMBER(SEARCH("wlasn",LOWER(R555))),ISNUMBER(SEARCH("wojciechowski",LOWER(R555)))),"Własny","Zewnętrzny")))</f>
        <v/>
      </c>
      <c r="AN555" s="24">
        <f>IF(C555="","",YEAR(C555))</f>
        <v/>
      </c>
      <c r="AO555" s="24">
        <f>IF(C555="","",MONTH(C555))</f>
        <v/>
      </c>
      <c r="AP555">
        <f>IF(C555="","",UPPER(TEXT(C555,"mmmm")))</f>
        <v/>
      </c>
      <c r="AQ555">
        <f>IF(C555="","","Q"&amp;ROUNDUP(MONTH(C555)/3,0))</f>
        <v/>
      </c>
    </row>
    <row r="556">
      <c r="A556" s="19" t="n">
        <v>46262</v>
      </c>
      <c r="B556" t="inlineStr">
        <is>
          <t>Magazyn Zabrze</t>
        </is>
      </c>
      <c r="C556" s="19" t="n">
        <v>46262</v>
      </c>
      <c r="D556" t="inlineStr">
        <is>
          <t>Magazyn Zabrze</t>
        </is>
      </c>
      <c r="E556" t="inlineStr">
        <is>
          <t>SPRZEDAŻ</t>
        </is>
      </c>
      <c r="F556" t="inlineStr">
        <is>
          <t>WZ/1/PKS</t>
        </is>
      </c>
      <c r="G556" t="inlineStr">
        <is>
          <t>TAK</t>
        </is>
      </c>
      <c r="H556" t="inlineStr">
        <is>
          <t>KZR</t>
        </is>
      </c>
      <c r="I556" s="20" t="n">
        <v>18.4</v>
      </c>
      <c r="J556" t="inlineStr">
        <is>
          <t>TON</t>
        </is>
      </c>
      <c r="K556" s="21" t="n">
        <v>0</v>
      </c>
      <c r="L556" s="21" t="n">
        <v>0</v>
      </c>
      <c r="M556" s="21" t="n">
        <v>0</v>
      </c>
      <c r="N556" t="inlineStr">
        <is>
          <t>PKS</t>
        </is>
      </c>
      <c r="Q556" s="21" t="n">
        <v>0</v>
      </c>
      <c r="T556" s="22" t="n">
        <v>0</v>
      </c>
      <c r="U556" s="21" t="n">
        <v>0</v>
      </c>
      <c r="V556" s="21" t="n">
        <v>0</v>
      </c>
      <c r="W556" t="inlineStr">
        <is>
          <t>Re Chorzów</t>
        </is>
      </c>
      <c r="Y556" t="inlineStr">
        <is>
          <t>nr. zamówienia: Z2/26/001120</t>
        </is>
      </c>
      <c r="Z556" t="inlineStr">
        <is>
          <t>Roesner Mateusz</t>
        </is>
      </c>
      <c r="AA556" s="23" t="n">
        <v>46267.45376157408</v>
      </c>
      <c r="AB556" t="inlineStr">
        <is>
          <t>OP-MIGR-00555</t>
        </is>
      </c>
      <c r="AD556" t="inlineStr">
        <is>
          <t>AKTYWNY</t>
        </is>
      </c>
      <c r="AE556" s="20">
        <f>IF(I556="",0,IF(ISNUMBER(SEARCH("MP",UPPER(J556))),I556,IF(ISNUMBER(SEARCH("TON",UPPER(J556))),I556/Przelicznik_MP_tona,IF(ISNUMBER(SEARCH("M3",UPPER(J556))),I556*Przelicznik_M3_MP,IF(ISNUMBER(SEARCH("GJ",UPPER(J556))),I556/Przelicznik_GJ_tona/Przelicznik_MP_tona,I556)))))</f>
        <v/>
      </c>
      <c r="AF556" s="20">
        <f>IF(I556="",0,IF(ISNUMBER(SEARCH("TON",UPPER(J556))),I556,IF(ISNUMBER(SEARCH("GJ",UPPER(J556))),I556/Przelicznik_GJ_tona,AE556*Przelicznik_MP_tona)))</f>
        <v/>
      </c>
      <c r="AG556" s="20">
        <f>AF556*Przelicznik_GJ_tona</f>
        <v/>
      </c>
      <c r="AH556" s="20">
        <f>IF(UPPER(AD556)="SKORYGOWANY",0,IF(OR(UPPER(E556)="TRANSPORT",UPPER(E556)="MM"),0,IF(UPPER(G556)&lt;&gt;"TAK",0,IF(OR(UPPER(E556)="ZAKUP",UPPER(E556)="PRODUKCJA"),AE556,IF(OR(UPPER(E556)="SPRZEDAŻ",UPPER(E556)="ZUŻYCIE"),-AE556,0)))))</f>
        <v/>
      </c>
      <c r="AI556" s="20">
        <f>IF(UPPER(AD556)="SKORYGOWANY",0,IF(OR(UPPER(E556)="TRANSPORT",UPPER(E556)="MM"),0,IF(UPPER(G556)&lt;&gt;"TAK",0,IF(OR(UPPER(E556)="ZAKUP",UPPER(E556)="PRODUKCJA"),AF556,IF(OR(UPPER(E556)="SPRZEDAŻ",UPPER(E556)="ZUŻYCIE"),-AF556,0)))))</f>
        <v/>
      </c>
      <c r="AJ556" s="21">
        <f>IF(UPPER(AD556)="SKORYGOWANY",0,IF(UPPER(E556)="ZAKUP",IF(L556&lt;&gt;"",L556,I556*K556),0))</f>
        <v/>
      </c>
      <c r="AK556" s="21">
        <f>IF(UPPER(AD556)="SKORYGOWANY",0,IF(UPPER(E556)="SPRZEDAŻ",IF(L556&lt;&gt;"",L556,I556*M556),0))</f>
        <v/>
      </c>
      <c r="AL556" s="21">
        <f>AE556*Q556</f>
        <v/>
      </c>
      <c r="AM556">
        <f>IF(R556="","",IF(LOWER(R556)="brak","Brak",IF(OR(ISNUMBER(SEARCH("własn",LOWER(R556))),ISNUMBER(SEARCH("wlasn",LOWER(R556))),ISNUMBER(SEARCH("wojciechowski",LOWER(R556)))),"Własny","Zewnętrzny")))</f>
        <v/>
      </c>
      <c r="AN556" s="24">
        <f>IF(C556="","",YEAR(C556))</f>
        <v/>
      </c>
      <c r="AO556" s="24">
        <f>IF(C556="","",MONTH(C556))</f>
        <v/>
      </c>
      <c r="AP556">
        <f>IF(C556="","",UPPER(TEXT(C556,"mmmm")))</f>
        <v/>
      </c>
      <c r="AQ556">
        <f>IF(C556="","","Q"&amp;ROUNDUP(MONTH(C556)/3,0))</f>
        <v/>
      </c>
    </row>
    <row r="557">
      <c r="A557" s="19" t="n">
        <v>46262</v>
      </c>
      <c r="B557" t="inlineStr">
        <is>
          <t>Magazyn Zabrze</t>
        </is>
      </c>
      <c r="C557" s="19" t="n">
        <v>46262</v>
      </c>
      <c r="D557" t="inlineStr">
        <is>
          <t>Magazyn Zabrze</t>
        </is>
      </c>
      <c r="E557" t="inlineStr">
        <is>
          <t>SPRZEDAŻ</t>
        </is>
      </c>
      <c r="F557" t="inlineStr">
        <is>
          <t>WZ/2/PKS</t>
        </is>
      </c>
      <c r="G557" t="inlineStr">
        <is>
          <t>TAK</t>
        </is>
      </c>
      <c r="H557" t="inlineStr">
        <is>
          <t>KZR</t>
        </is>
      </c>
      <c r="I557" s="20" t="n">
        <v>20</v>
      </c>
      <c r="J557" t="inlineStr">
        <is>
          <t>TON</t>
        </is>
      </c>
      <c r="K557" s="21" t="n">
        <v>0</v>
      </c>
      <c r="L557" s="21" t="n">
        <v>0</v>
      </c>
      <c r="M557" s="21" t="n">
        <v>0</v>
      </c>
      <c r="N557" t="inlineStr">
        <is>
          <t>PKS</t>
        </is>
      </c>
      <c r="Q557" s="21" t="n">
        <v>0</v>
      </c>
      <c r="T557" s="22" t="n">
        <v>0</v>
      </c>
      <c r="U557" s="21" t="n">
        <v>0</v>
      </c>
      <c r="V557" s="21" t="n">
        <v>0</v>
      </c>
      <c r="W557" t="inlineStr">
        <is>
          <t>Re Chorzów</t>
        </is>
      </c>
      <c r="Y557" t="inlineStr">
        <is>
          <t>nr. zamówienia: Z2/26/001120</t>
        </is>
      </c>
      <c r="Z557" t="inlineStr">
        <is>
          <t>Roesner Mateusz</t>
        </is>
      </c>
      <c r="AA557" s="23" t="n">
        <v>46267.45579861111</v>
      </c>
      <c r="AB557" t="inlineStr">
        <is>
          <t>OP-MIGR-00556</t>
        </is>
      </c>
      <c r="AD557" t="inlineStr">
        <is>
          <t>AKTYWNY</t>
        </is>
      </c>
      <c r="AE557" s="20">
        <f>IF(I557="",0,IF(ISNUMBER(SEARCH("MP",UPPER(J557))),I557,IF(ISNUMBER(SEARCH("TON",UPPER(J557))),I557/Przelicznik_MP_tona,IF(ISNUMBER(SEARCH("M3",UPPER(J557))),I557*Przelicznik_M3_MP,IF(ISNUMBER(SEARCH("GJ",UPPER(J557))),I557/Przelicznik_GJ_tona/Przelicznik_MP_tona,I557)))))</f>
        <v/>
      </c>
      <c r="AF557" s="20">
        <f>IF(I557="",0,IF(ISNUMBER(SEARCH("TON",UPPER(J557))),I557,IF(ISNUMBER(SEARCH("GJ",UPPER(J557))),I557/Przelicznik_GJ_tona,AE557*Przelicznik_MP_tona)))</f>
        <v/>
      </c>
      <c r="AG557" s="20">
        <f>AF557*Przelicznik_GJ_tona</f>
        <v/>
      </c>
      <c r="AH557" s="20">
        <f>IF(UPPER(AD557)="SKORYGOWANY",0,IF(OR(UPPER(E557)="TRANSPORT",UPPER(E557)="MM"),0,IF(UPPER(G557)&lt;&gt;"TAK",0,IF(OR(UPPER(E557)="ZAKUP",UPPER(E557)="PRODUKCJA"),AE557,IF(OR(UPPER(E557)="SPRZEDAŻ",UPPER(E557)="ZUŻYCIE"),-AE557,0)))))</f>
        <v/>
      </c>
      <c r="AI557" s="20">
        <f>IF(UPPER(AD557)="SKORYGOWANY",0,IF(OR(UPPER(E557)="TRANSPORT",UPPER(E557)="MM"),0,IF(UPPER(G557)&lt;&gt;"TAK",0,IF(OR(UPPER(E557)="ZAKUP",UPPER(E557)="PRODUKCJA"),AF557,IF(OR(UPPER(E557)="SPRZEDAŻ",UPPER(E557)="ZUŻYCIE"),-AF557,0)))))</f>
        <v/>
      </c>
      <c r="AJ557" s="21">
        <f>IF(UPPER(AD557)="SKORYGOWANY",0,IF(UPPER(E557)="ZAKUP",IF(L557&lt;&gt;"",L557,I557*K557),0))</f>
        <v/>
      </c>
      <c r="AK557" s="21">
        <f>IF(UPPER(AD557)="SKORYGOWANY",0,IF(UPPER(E557)="SPRZEDAŻ",IF(L557&lt;&gt;"",L557,I557*M557),0))</f>
        <v/>
      </c>
      <c r="AL557" s="21">
        <f>AE557*Q557</f>
        <v/>
      </c>
      <c r="AM557">
        <f>IF(R557="","",IF(LOWER(R557)="brak","Brak",IF(OR(ISNUMBER(SEARCH("własn",LOWER(R557))),ISNUMBER(SEARCH("wlasn",LOWER(R557))),ISNUMBER(SEARCH("wojciechowski",LOWER(R557)))),"Własny","Zewnętrzny")))</f>
        <v/>
      </c>
      <c r="AN557" s="24">
        <f>IF(C557="","",YEAR(C557))</f>
        <v/>
      </c>
      <c r="AO557" s="24">
        <f>IF(C557="","",MONTH(C557))</f>
        <v/>
      </c>
      <c r="AP557">
        <f>IF(C557="","",UPPER(TEXT(C557,"mmmm")))</f>
        <v/>
      </c>
      <c r="AQ557">
        <f>IF(C557="","","Q"&amp;ROUNDUP(MONTH(C557)/3,0))</f>
        <v/>
      </c>
    </row>
    <row r="558">
      <c r="A558" s="19" t="n">
        <v>46265</v>
      </c>
      <c r="C558" s="19" t="n">
        <v>46265</v>
      </c>
      <c r="D558" t="inlineStr">
        <is>
          <t>Lander Agro</t>
        </is>
      </c>
      <c r="E558" t="inlineStr">
        <is>
          <t>ZAKUP</t>
        </is>
      </c>
      <c r="F558" t="inlineStr">
        <is>
          <t>PZ/45/D</t>
        </is>
      </c>
      <c r="G558" t="inlineStr">
        <is>
          <t>TAK</t>
        </is>
      </c>
      <c r="H558" t="inlineStr">
        <is>
          <t>KZR</t>
        </is>
      </c>
      <c r="I558" s="20" t="n">
        <v>28.57</v>
      </c>
      <c r="J558" t="inlineStr">
        <is>
          <t>M3</t>
        </is>
      </c>
      <c r="K558" s="21" t="n">
        <v>230</v>
      </c>
      <c r="L558" s="21" t="n">
        <v>6571.1</v>
      </c>
      <c r="M558" s="21" t="n">
        <v>0</v>
      </c>
      <c r="N558" t="inlineStr">
        <is>
          <t>Drewno opałowe z lasu</t>
        </is>
      </c>
      <c r="Q558" s="21" t="n">
        <v>0</v>
      </c>
      <c r="T558" s="22" t="n">
        <v>0</v>
      </c>
      <c r="U558" s="21" t="n">
        <v>0</v>
      </c>
      <c r="V558" s="21" t="n">
        <v>0</v>
      </c>
      <c r="W558" t="inlineStr">
        <is>
          <t>Magazyn Zabrze</t>
        </is>
      </c>
      <c r="Z558" t="inlineStr">
        <is>
          <t>Roesner Mateusz</t>
        </is>
      </c>
      <c r="AA558" s="23" t="n">
        <v>46265.41826388889</v>
      </c>
      <c r="AB558" t="inlineStr">
        <is>
          <t>OP-MIGR-00557</t>
        </is>
      </c>
      <c r="AD558" t="inlineStr">
        <is>
          <t>AKTYWNY</t>
        </is>
      </c>
      <c r="AE558" s="20">
        <f>IF(I558="",0,IF(ISNUMBER(SEARCH("MP",UPPER(J558))),I558,IF(ISNUMBER(SEARCH("TON",UPPER(J558))),I558/Przelicznik_MP_tona,IF(ISNUMBER(SEARCH("M3",UPPER(J558))),I558*Przelicznik_M3_MP,IF(ISNUMBER(SEARCH("GJ",UPPER(J558))),I558/Przelicznik_GJ_tona/Przelicznik_MP_tona,I558)))))</f>
        <v/>
      </c>
      <c r="AF558" s="20">
        <f>IF(I558="",0,IF(ISNUMBER(SEARCH("TON",UPPER(J558))),I558,IF(ISNUMBER(SEARCH("GJ",UPPER(J558))),I558/Przelicznik_GJ_tona,AE558*Przelicznik_MP_tona)))</f>
        <v/>
      </c>
      <c r="AG558" s="20">
        <f>AF558*Przelicznik_GJ_tona</f>
        <v/>
      </c>
      <c r="AH558" s="20">
        <f>IF(UPPER(AD558)="SKORYGOWANY",0,IF(OR(UPPER(E558)="TRANSPORT",UPPER(E558)="MM"),0,IF(UPPER(G558)&lt;&gt;"TAK",0,IF(OR(UPPER(E558)="ZAKUP",UPPER(E558)="PRODUKCJA"),AE558,IF(OR(UPPER(E558)="SPRZEDAŻ",UPPER(E558)="ZUŻYCIE"),-AE558,0)))))</f>
        <v/>
      </c>
      <c r="AI558" s="20">
        <f>IF(UPPER(AD558)="SKORYGOWANY",0,IF(OR(UPPER(E558)="TRANSPORT",UPPER(E558)="MM"),0,IF(UPPER(G558)&lt;&gt;"TAK",0,IF(OR(UPPER(E558)="ZAKUP",UPPER(E558)="PRODUKCJA"),AF558,IF(OR(UPPER(E558)="SPRZEDAŻ",UPPER(E558)="ZUŻYCIE"),-AF558,0)))))</f>
        <v/>
      </c>
      <c r="AJ558" s="21">
        <f>IF(UPPER(AD558)="SKORYGOWANY",0,IF(UPPER(E558)="ZAKUP",IF(L558&lt;&gt;"",L558,I558*K558),0))</f>
        <v/>
      </c>
      <c r="AK558" s="21">
        <f>IF(UPPER(AD558)="SKORYGOWANY",0,IF(UPPER(E558)="SPRZEDAŻ",IF(L558&lt;&gt;"",L558,I558*M558),0))</f>
        <v/>
      </c>
      <c r="AL558" s="21">
        <f>AE558*Q558</f>
        <v/>
      </c>
      <c r="AM558">
        <f>IF(R558="","",IF(LOWER(R558)="brak","Brak",IF(OR(ISNUMBER(SEARCH("własn",LOWER(R558))),ISNUMBER(SEARCH("wlasn",LOWER(R558))),ISNUMBER(SEARCH("wojciechowski",LOWER(R558)))),"Własny","Zewnętrzny")))</f>
        <v/>
      </c>
      <c r="AN558" s="24">
        <f>IF(C558="","",YEAR(C558))</f>
        <v/>
      </c>
      <c r="AO558" s="24">
        <f>IF(C558="","",MONTH(C558))</f>
        <v/>
      </c>
      <c r="AP558">
        <f>IF(C558="","",UPPER(TEXT(C558,"mmmm")))</f>
        <v/>
      </c>
      <c r="AQ558">
        <f>IF(C558="","","Q"&amp;ROUNDUP(MONTH(C558)/3,0))</f>
        <v/>
      </c>
    </row>
    <row r="559">
      <c r="A559" s="19" t="n">
        <v>46265</v>
      </c>
      <c r="C559" s="19" t="n">
        <v>46265</v>
      </c>
      <c r="D559" t="inlineStr">
        <is>
          <t>Lander Agro</t>
        </is>
      </c>
      <c r="E559" t="inlineStr">
        <is>
          <t>ZAKUP</t>
        </is>
      </c>
      <c r="F559" t="inlineStr">
        <is>
          <t>PZ/46/D</t>
        </is>
      </c>
      <c r="G559" t="inlineStr">
        <is>
          <t>TAK</t>
        </is>
      </c>
      <c r="H559" t="inlineStr">
        <is>
          <t>KZR</t>
        </is>
      </c>
      <c r="I559" s="20" t="n">
        <v>30.46</v>
      </c>
      <c r="J559" t="inlineStr">
        <is>
          <t>M3</t>
        </is>
      </c>
      <c r="K559" s="21" t="n">
        <v>230</v>
      </c>
      <c r="L559" s="21" t="n">
        <v>7005.8</v>
      </c>
      <c r="M559" s="21" t="n">
        <v>0</v>
      </c>
      <c r="N559" t="inlineStr">
        <is>
          <t>Drewno opałowe z lasu</t>
        </is>
      </c>
      <c r="Q559" s="21" t="n">
        <v>0</v>
      </c>
      <c r="T559" s="22" t="n">
        <v>0</v>
      </c>
      <c r="U559" s="21" t="n">
        <v>0</v>
      </c>
      <c r="V559" s="21" t="n">
        <v>0</v>
      </c>
      <c r="W559" t="inlineStr">
        <is>
          <t>Magazyn Zabrze</t>
        </is>
      </c>
      <c r="Z559" t="inlineStr">
        <is>
          <t>Roesner Mateusz</t>
        </is>
      </c>
      <c r="AA559" s="23" t="n">
        <v>46265.41961805556</v>
      </c>
      <c r="AB559" t="inlineStr">
        <is>
          <t>OP-MIGR-00558</t>
        </is>
      </c>
      <c r="AD559" t="inlineStr">
        <is>
          <t>AKTYWNY</t>
        </is>
      </c>
      <c r="AE559" s="20">
        <f>IF(I559="",0,IF(ISNUMBER(SEARCH("MP",UPPER(J559))),I559,IF(ISNUMBER(SEARCH("TON",UPPER(J559))),I559/Przelicznik_MP_tona,IF(ISNUMBER(SEARCH("M3",UPPER(J559))),I559*Przelicznik_M3_MP,IF(ISNUMBER(SEARCH("GJ",UPPER(J559))),I559/Przelicznik_GJ_tona/Przelicznik_MP_tona,I559)))))</f>
        <v/>
      </c>
      <c r="AF559" s="20">
        <f>IF(I559="",0,IF(ISNUMBER(SEARCH("TON",UPPER(J559))),I559,IF(ISNUMBER(SEARCH("GJ",UPPER(J559))),I559/Przelicznik_GJ_tona,AE559*Przelicznik_MP_tona)))</f>
        <v/>
      </c>
      <c r="AG559" s="20">
        <f>AF559*Przelicznik_GJ_tona</f>
        <v/>
      </c>
      <c r="AH559" s="20">
        <f>IF(UPPER(AD559)="SKORYGOWANY",0,IF(OR(UPPER(E559)="TRANSPORT",UPPER(E559)="MM"),0,IF(UPPER(G559)&lt;&gt;"TAK",0,IF(OR(UPPER(E559)="ZAKUP",UPPER(E559)="PRODUKCJA"),AE559,IF(OR(UPPER(E559)="SPRZEDAŻ",UPPER(E559)="ZUŻYCIE"),-AE559,0)))))</f>
        <v/>
      </c>
      <c r="AI559" s="20">
        <f>IF(UPPER(AD559)="SKORYGOWANY",0,IF(OR(UPPER(E559)="TRANSPORT",UPPER(E559)="MM"),0,IF(UPPER(G559)&lt;&gt;"TAK",0,IF(OR(UPPER(E559)="ZAKUP",UPPER(E559)="PRODUKCJA"),AF559,IF(OR(UPPER(E559)="SPRZEDAŻ",UPPER(E559)="ZUŻYCIE"),-AF559,0)))))</f>
        <v/>
      </c>
      <c r="AJ559" s="21">
        <f>IF(UPPER(AD559)="SKORYGOWANY",0,IF(UPPER(E559)="ZAKUP",IF(L559&lt;&gt;"",L559,I559*K559),0))</f>
        <v/>
      </c>
      <c r="AK559" s="21">
        <f>IF(UPPER(AD559)="SKORYGOWANY",0,IF(UPPER(E559)="SPRZEDAŻ",IF(L559&lt;&gt;"",L559,I559*M559),0))</f>
        <v/>
      </c>
      <c r="AL559" s="21">
        <f>AE559*Q559</f>
        <v/>
      </c>
      <c r="AM559">
        <f>IF(R559="","",IF(LOWER(R559)="brak","Brak",IF(OR(ISNUMBER(SEARCH("własn",LOWER(R559))),ISNUMBER(SEARCH("wlasn",LOWER(R559))),ISNUMBER(SEARCH("wojciechowski",LOWER(R559)))),"Własny","Zewnętrzny")))</f>
        <v/>
      </c>
      <c r="AN559" s="24">
        <f>IF(C559="","",YEAR(C559))</f>
        <v/>
      </c>
      <c r="AO559" s="24">
        <f>IF(C559="","",MONTH(C559))</f>
        <v/>
      </c>
      <c r="AP559">
        <f>IF(C559="","",UPPER(TEXT(C559,"mmmm")))</f>
        <v/>
      </c>
      <c r="AQ559">
        <f>IF(C559="","","Q"&amp;ROUNDUP(MONTH(C559)/3,0))</f>
        <v/>
      </c>
    </row>
    <row r="560">
      <c r="A560" s="19" t="n">
        <v>46265</v>
      </c>
      <c r="C560" s="19" t="n">
        <v>46265</v>
      </c>
      <c r="D560" t="inlineStr">
        <is>
          <t>Lander Agro</t>
        </is>
      </c>
      <c r="E560" t="inlineStr">
        <is>
          <t>ZAKUP</t>
        </is>
      </c>
      <c r="F560" t="inlineStr">
        <is>
          <t>PZ/47/D</t>
        </is>
      </c>
      <c r="G560" t="inlineStr">
        <is>
          <t>TAK</t>
        </is>
      </c>
      <c r="H560" t="inlineStr">
        <is>
          <t>KZR</t>
        </is>
      </c>
      <c r="I560" s="20" t="n">
        <v>22.57</v>
      </c>
      <c r="J560" t="inlineStr">
        <is>
          <t>M3</t>
        </is>
      </c>
      <c r="K560" s="21" t="n">
        <v>230</v>
      </c>
      <c r="L560" s="21" t="n">
        <v>5191.1</v>
      </c>
      <c r="M560" s="21" t="n">
        <v>0</v>
      </c>
      <c r="N560" t="inlineStr">
        <is>
          <t>Drewno opałowe z lasu</t>
        </is>
      </c>
      <c r="Q560" s="21" t="n">
        <v>0</v>
      </c>
      <c r="T560" s="22" t="n">
        <v>0</v>
      </c>
      <c r="U560" s="21" t="n">
        <v>0</v>
      </c>
      <c r="V560" s="21" t="n">
        <v>0</v>
      </c>
      <c r="W560" t="inlineStr">
        <is>
          <t>Magazyn Zabrze</t>
        </is>
      </c>
      <c r="Z560" t="inlineStr">
        <is>
          <t>Roesner Mateusz</t>
        </is>
      </c>
      <c r="AA560" s="23" t="n">
        <v>46265.44724537037</v>
      </c>
      <c r="AB560" t="inlineStr">
        <is>
          <t>OP-MIGR-00559</t>
        </is>
      </c>
      <c r="AD560" t="inlineStr">
        <is>
          <t>AKTYWNY</t>
        </is>
      </c>
      <c r="AE560" s="20">
        <f>IF(I560="",0,IF(ISNUMBER(SEARCH("MP",UPPER(J560))),I560,IF(ISNUMBER(SEARCH("TON",UPPER(J560))),I560/Przelicznik_MP_tona,IF(ISNUMBER(SEARCH("M3",UPPER(J560))),I560*Przelicznik_M3_MP,IF(ISNUMBER(SEARCH("GJ",UPPER(J560))),I560/Przelicznik_GJ_tona/Przelicznik_MP_tona,I560)))))</f>
        <v/>
      </c>
      <c r="AF560" s="20">
        <f>IF(I560="",0,IF(ISNUMBER(SEARCH("TON",UPPER(J560))),I560,IF(ISNUMBER(SEARCH("GJ",UPPER(J560))),I560/Przelicznik_GJ_tona,AE560*Przelicznik_MP_tona)))</f>
        <v/>
      </c>
      <c r="AG560" s="20">
        <f>AF560*Przelicznik_GJ_tona</f>
        <v/>
      </c>
      <c r="AH560" s="20">
        <f>IF(UPPER(AD560)="SKORYGOWANY",0,IF(OR(UPPER(E560)="TRANSPORT",UPPER(E560)="MM"),0,IF(UPPER(G560)&lt;&gt;"TAK",0,IF(OR(UPPER(E560)="ZAKUP",UPPER(E560)="PRODUKCJA"),AE560,IF(OR(UPPER(E560)="SPRZEDAŻ",UPPER(E560)="ZUŻYCIE"),-AE560,0)))))</f>
        <v/>
      </c>
      <c r="AI560" s="20">
        <f>IF(UPPER(AD560)="SKORYGOWANY",0,IF(OR(UPPER(E560)="TRANSPORT",UPPER(E560)="MM"),0,IF(UPPER(G560)&lt;&gt;"TAK",0,IF(OR(UPPER(E560)="ZAKUP",UPPER(E560)="PRODUKCJA"),AF560,IF(OR(UPPER(E560)="SPRZEDAŻ",UPPER(E560)="ZUŻYCIE"),-AF560,0)))))</f>
        <v/>
      </c>
      <c r="AJ560" s="21">
        <f>IF(UPPER(AD560)="SKORYGOWANY",0,IF(UPPER(E560)="ZAKUP",IF(L560&lt;&gt;"",L560,I560*K560),0))</f>
        <v/>
      </c>
      <c r="AK560" s="21">
        <f>IF(UPPER(AD560)="SKORYGOWANY",0,IF(UPPER(E560)="SPRZEDAŻ",IF(L560&lt;&gt;"",L560,I560*M560),0))</f>
        <v/>
      </c>
      <c r="AL560" s="21">
        <f>AE560*Q560</f>
        <v/>
      </c>
      <c r="AM560">
        <f>IF(R560="","",IF(LOWER(R560)="brak","Brak",IF(OR(ISNUMBER(SEARCH("własn",LOWER(R560))),ISNUMBER(SEARCH("wlasn",LOWER(R560))),ISNUMBER(SEARCH("wojciechowski",LOWER(R560)))),"Własny","Zewnętrzny")))</f>
        <v/>
      </c>
      <c r="AN560" s="24">
        <f>IF(C560="","",YEAR(C560))</f>
        <v/>
      </c>
      <c r="AO560" s="24">
        <f>IF(C560="","",MONTH(C560))</f>
        <v/>
      </c>
      <c r="AP560">
        <f>IF(C560="","",UPPER(TEXT(C560,"mmmm")))</f>
        <v/>
      </c>
      <c r="AQ560">
        <f>IF(C560="","","Q"&amp;ROUNDUP(MONTH(C560)/3,0))</f>
        <v/>
      </c>
    </row>
    <row r="561">
      <c r="A561" s="19" t="n">
        <v>46265</v>
      </c>
      <c r="C561" s="19" t="n">
        <v>46265</v>
      </c>
      <c r="D561" t="inlineStr">
        <is>
          <t>NDL Rudziniec, Leśnictwo Nogowczyce</t>
        </is>
      </c>
      <c r="E561" t="inlineStr">
        <is>
          <t>ZAKUP</t>
        </is>
      </c>
      <c r="F561" t="inlineStr">
        <is>
          <t>PZ/120  7/202640547/6118</t>
        </is>
      </c>
      <c r="G561" t="inlineStr">
        <is>
          <t>TAK</t>
        </is>
      </c>
      <c r="H561" t="inlineStr">
        <is>
          <t>Deklaracja</t>
        </is>
      </c>
      <c r="I561" s="20" t="n">
        <v>20</v>
      </c>
      <c r="J561" t="inlineStr">
        <is>
          <t>M3</t>
        </is>
      </c>
      <c r="K561" s="21" t="n">
        <v>0</v>
      </c>
      <c r="L561" s="21" t="n">
        <v>0</v>
      </c>
      <c r="M561" s="21" t="n">
        <v>0</v>
      </c>
      <c r="N561" t="inlineStr">
        <is>
          <t>Drewno opałowe z lasu</t>
        </is>
      </c>
      <c r="Q561" s="21" t="n">
        <v>0</v>
      </c>
      <c r="T561" s="22" t="n">
        <v>0</v>
      </c>
      <c r="U561" s="21" t="n">
        <v>0</v>
      </c>
      <c r="V561" s="21" t="n">
        <v>0</v>
      </c>
      <c r="W561" t="inlineStr">
        <is>
          <t>Magazyn Zabrze</t>
        </is>
      </c>
      <c r="Z561" t="inlineStr">
        <is>
          <t>Roesner Mateusz</t>
        </is>
      </c>
      <c r="AA561" s="23" t="n">
        <v>46265.52898148148</v>
      </c>
      <c r="AB561" t="inlineStr">
        <is>
          <t>OP-MIGR-00565</t>
        </is>
      </c>
      <c r="AD561" t="inlineStr">
        <is>
          <t>AKTYWNY</t>
        </is>
      </c>
      <c r="AE561" s="20">
        <f>IF(I561="",0,IF(ISNUMBER(SEARCH("MP",UPPER(J561))),I561,IF(ISNUMBER(SEARCH("TON",UPPER(J561))),I561/Przelicznik_MP_tona,IF(ISNUMBER(SEARCH("M3",UPPER(J561))),I561*Przelicznik_M3_MP,IF(ISNUMBER(SEARCH("GJ",UPPER(J561))),I561/Przelicznik_GJ_tona/Przelicznik_MP_tona,I561)))))</f>
        <v/>
      </c>
      <c r="AF561" s="20">
        <f>IF(I561="",0,IF(ISNUMBER(SEARCH("TON",UPPER(J561))),I561,IF(ISNUMBER(SEARCH("GJ",UPPER(J561))),I561/Przelicznik_GJ_tona,AE561*Przelicznik_MP_tona)))</f>
        <v/>
      </c>
      <c r="AG561" s="20">
        <f>AF561*Przelicznik_GJ_tona</f>
        <v/>
      </c>
      <c r="AH561" s="20">
        <f>IF(UPPER(AD561)="SKORYGOWANY",0,IF(OR(UPPER(E561)="TRANSPORT",UPPER(E561)="MM"),0,IF(UPPER(G561)&lt;&gt;"TAK",0,IF(OR(UPPER(E561)="ZAKUP",UPPER(E561)="PRODUKCJA"),AE561,IF(OR(UPPER(E561)="SPRZEDAŻ",UPPER(E561)="ZUŻYCIE"),-AE561,0)))))</f>
        <v/>
      </c>
      <c r="AI561" s="20">
        <f>IF(UPPER(AD561)="SKORYGOWANY",0,IF(OR(UPPER(E561)="TRANSPORT",UPPER(E561)="MM"),0,IF(UPPER(G561)&lt;&gt;"TAK",0,IF(OR(UPPER(E561)="ZAKUP",UPPER(E561)="PRODUKCJA"),AF561,IF(OR(UPPER(E561)="SPRZEDAŻ",UPPER(E561)="ZUŻYCIE"),-AF561,0)))))</f>
        <v/>
      </c>
      <c r="AJ561" s="21">
        <f>IF(UPPER(AD561)="SKORYGOWANY",0,IF(UPPER(E561)="ZAKUP",IF(L561&lt;&gt;"",L561,I561*K561),0))</f>
        <v/>
      </c>
      <c r="AK561" s="21">
        <f>IF(UPPER(AD561)="SKORYGOWANY",0,IF(UPPER(E561)="SPRZEDAŻ",IF(L561&lt;&gt;"",L561,I561*M561),0))</f>
        <v/>
      </c>
      <c r="AL561" s="21">
        <f>AE561*Q561</f>
        <v/>
      </c>
      <c r="AM561">
        <f>IF(R561="","",IF(LOWER(R561)="brak","Brak",IF(OR(ISNUMBER(SEARCH("własn",LOWER(R561))),ISNUMBER(SEARCH("wlasn",LOWER(R561))),ISNUMBER(SEARCH("wojciechowski",LOWER(R561)))),"Własny","Zewnętrzny")))</f>
        <v/>
      </c>
      <c r="AN561" s="24">
        <f>IF(C561="","",YEAR(C561))</f>
        <v/>
      </c>
      <c r="AO561" s="24">
        <f>IF(C561="","",MONTH(C561))</f>
        <v/>
      </c>
      <c r="AP561">
        <f>IF(C561="","",UPPER(TEXT(C561,"mmmm")))</f>
        <v/>
      </c>
      <c r="AQ561">
        <f>IF(C561="","","Q"&amp;ROUNDUP(MONTH(C561)/3,0))</f>
        <v/>
      </c>
    </row>
    <row r="562">
      <c r="A562" s="19" t="n">
        <v>46265</v>
      </c>
      <c r="C562" s="19" t="n">
        <v>46265</v>
      </c>
      <c r="D562" t="inlineStr">
        <is>
          <t>Magazyn Zabrze</t>
        </is>
      </c>
      <c r="E562" t="inlineStr">
        <is>
          <t>PRODUKCJA</t>
        </is>
      </c>
      <c r="F562" t="inlineStr">
        <is>
          <t>PZ/120</t>
        </is>
      </c>
      <c r="G562" t="inlineStr">
        <is>
          <t>TAK</t>
        </is>
      </c>
      <c r="H562" t="inlineStr">
        <is>
          <t>Deklaracja</t>
        </is>
      </c>
      <c r="I562" s="20" t="n">
        <v>80</v>
      </c>
      <c r="J562" t="inlineStr">
        <is>
          <t>MP</t>
        </is>
      </c>
      <c r="K562" s="21" t="n">
        <v>0</v>
      </c>
      <c r="L562" s="21" t="n">
        <v>0</v>
      </c>
      <c r="M562" s="21" t="n">
        <v>0</v>
      </c>
      <c r="N562" t="inlineStr">
        <is>
          <t>Zrębka Produkcyjna Leśna</t>
        </is>
      </c>
      <c r="O562" t="inlineStr">
        <is>
          <t>B</t>
        </is>
      </c>
      <c r="P562" t="inlineStr">
        <is>
          <t>własne</t>
        </is>
      </c>
      <c r="Q562" s="21" t="n">
        <v>10</v>
      </c>
      <c r="T562" s="22" t="n">
        <v>0</v>
      </c>
      <c r="U562" s="21" t="n">
        <v>0</v>
      </c>
      <c r="V562" s="21" t="n">
        <v>0</v>
      </c>
      <c r="W562" t="inlineStr">
        <is>
          <t>Magazyn Zabrze</t>
        </is>
      </c>
      <c r="Z562" t="inlineStr">
        <is>
          <t>Roesner Mateusz</t>
        </is>
      </c>
      <c r="AA562" s="23" t="n">
        <v>46265.52956018518</v>
      </c>
      <c r="AB562" t="inlineStr">
        <is>
          <t>OP-MIGR-00563</t>
        </is>
      </c>
      <c r="AD562" t="inlineStr">
        <is>
          <t>AKTYWNY</t>
        </is>
      </c>
      <c r="AE562" s="20">
        <f>IF(I562="",0,IF(ISNUMBER(SEARCH("MP",UPPER(J562))),I562,IF(ISNUMBER(SEARCH("TON",UPPER(J562))),I562/Przelicznik_MP_tona,IF(ISNUMBER(SEARCH("M3",UPPER(J562))),I562*Przelicznik_M3_MP,IF(ISNUMBER(SEARCH("GJ",UPPER(J562))),I562/Przelicznik_GJ_tona/Przelicznik_MP_tona,I562)))))</f>
        <v/>
      </c>
      <c r="AF562" s="20">
        <f>IF(I562="",0,IF(ISNUMBER(SEARCH("TON",UPPER(J562))),I562,IF(ISNUMBER(SEARCH("GJ",UPPER(J562))),I562/Przelicznik_GJ_tona,AE562*Przelicznik_MP_tona)))</f>
        <v/>
      </c>
      <c r="AG562" s="20">
        <f>AF562*Przelicznik_GJ_tona</f>
        <v/>
      </c>
      <c r="AH562" s="20">
        <f>IF(UPPER(AD562)="SKORYGOWANY",0,IF(OR(UPPER(E562)="TRANSPORT",UPPER(E562)="MM"),0,IF(UPPER(G562)&lt;&gt;"TAK",0,IF(OR(UPPER(E562)="ZAKUP",UPPER(E562)="PRODUKCJA"),AE562,IF(OR(UPPER(E562)="SPRZEDAŻ",UPPER(E562)="ZUŻYCIE"),-AE562,0)))))</f>
        <v/>
      </c>
      <c r="AI562" s="20">
        <f>IF(UPPER(AD562)="SKORYGOWANY",0,IF(OR(UPPER(E562)="TRANSPORT",UPPER(E562)="MM"),0,IF(UPPER(G562)&lt;&gt;"TAK",0,IF(OR(UPPER(E562)="ZAKUP",UPPER(E562)="PRODUKCJA"),AF562,IF(OR(UPPER(E562)="SPRZEDAŻ",UPPER(E562)="ZUŻYCIE"),-AF562,0)))))</f>
        <v/>
      </c>
      <c r="AJ562" s="21">
        <f>IF(UPPER(AD562)="SKORYGOWANY",0,IF(UPPER(E562)="ZAKUP",IF(L562&lt;&gt;"",L562,I562*K562),0))</f>
        <v/>
      </c>
      <c r="AK562" s="21">
        <f>IF(UPPER(AD562)="SKORYGOWANY",0,IF(UPPER(E562)="SPRZEDAŻ",IF(L562&lt;&gt;"",L562,I562*M562),0))</f>
        <v/>
      </c>
      <c r="AL562" s="21">
        <f>AE562*Q562</f>
        <v/>
      </c>
      <c r="AM562">
        <f>IF(R562="","",IF(LOWER(R562)="brak","Brak",IF(OR(ISNUMBER(SEARCH("własn",LOWER(R562))),ISNUMBER(SEARCH("wlasn",LOWER(R562))),ISNUMBER(SEARCH("wojciechowski",LOWER(R562)))),"Własny","Zewnętrzny")))</f>
        <v/>
      </c>
      <c r="AN562" s="24">
        <f>IF(C562="","",YEAR(C562))</f>
        <v/>
      </c>
      <c r="AO562" s="24">
        <f>IF(C562="","",MONTH(C562))</f>
        <v/>
      </c>
      <c r="AP562">
        <f>IF(C562="","",UPPER(TEXT(C562,"mmmm")))</f>
        <v/>
      </c>
      <c r="AQ562">
        <f>IF(C562="","","Q"&amp;ROUNDUP(MONTH(C562)/3,0))</f>
        <v/>
      </c>
    </row>
    <row r="563">
      <c r="A563" s="19" t="n">
        <v>46265</v>
      </c>
      <c r="C563" s="19" t="n">
        <v>46265</v>
      </c>
      <c r="D563" t="inlineStr">
        <is>
          <t>Magazyn Zabrze</t>
        </is>
      </c>
      <c r="E563" t="inlineStr">
        <is>
          <t>ZUŻYCIE</t>
        </is>
      </c>
      <c r="F563" t="inlineStr">
        <is>
          <t>PZ/120</t>
        </is>
      </c>
      <c r="G563" t="inlineStr">
        <is>
          <t>TAK</t>
        </is>
      </c>
      <c r="H563" t="inlineStr">
        <is>
          <t>Deklaracja</t>
        </is>
      </c>
      <c r="I563" s="20" t="n">
        <v>80</v>
      </c>
      <c r="J563" t="inlineStr">
        <is>
          <t>MP</t>
        </is>
      </c>
      <c r="K563" s="21" t="n">
        <v>0</v>
      </c>
      <c r="L563" s="21" t="n">
        <v>0</v>
      </c>
      <c r="M563" s="21" t="n">
        <v>0</v>
      </c>
      <c r="N563" t="inlineStr">
        <is>
          <t>Zrębka Produkcyjna Leśna</t>
        </is>
      </c>
      <c r="O563" t="inlineStr">
        <is>
          <t>B</t>
        </is>
      </c>
      <c r="P563" t="inlineStr">
        <is>
          <t>własne</t>
        </is>
      </c>
      <c r="Q563" s="21" t="n">
        <v>10</v>
      </c>
      <c r="T563" s="22" t="n">
        <v>0</v>
      </c>
      <c r="U563" s="21" t="n">
        <v>0</v>
      </c>
      <c r="V563" s="21" t="n">
        <v>0</v>
      </c>
      <c r="W563" t="inlineStr">
        <is>
          <t>Magazyn Zabrze</t>
        </is>
      </c>
      <c r="Y563" t="inlineStr">
        <is>
          <t>Automatyczne zużycie surowca do produkcji</t>
        </is>
      </c>
      <c r="AA563" s="23" t="n">
        <v>46265.52957175926</v>
      </c>
      <c r="AB563" t="inlineStr">
        <is>
          <t>OP-MIGR-00564</t>
        </is>
      </c>
      <c r="AD563" t="inlineStr">
        <is>
          <t>AKTYWNY</t>
        </is>
      </c>
      <c r="AE563" s="20">
        <f>IF(I563="",0,IF(ISNUMBER(SEARCH("MP",UPPER(J563))),I563,IF(ISNUMBER(SEARCH("TON",UPPER(J563))),I563/Przelicznik_MP_tona,IF(ISNUMBER(SEARCH("M3",UPPER(J563))),I563*Przelicznik_M3_MP,IF(ISNUMBER(SEARCH("GJ",UPPER(J563))),I563/Przelicznik_GJ_tona/Przelicznik_MP_tona,I563)))))</f>
        <v/>
      </c>
      <c r="AF563" s="20">
        <f>IF(I563="",0,IF(ISNUMBER(SEARCH("TON",UPPER(J563))),I563,IF(ISNUMBER(SEARCH("GJ",UPPER(J563))),I563/Przelicznik_GJ_tona,AE563*Przelicznik_MP_tona)))</f>
        <v/>
      </c>
      <c r="AG563" s="20">
        <f>AF563*Przelicznik_GJ_tona</f>
        <v/>
      </c>
      <c r="AH563" s="20">
        <f>IF(UPPER(AD563)="SKORYGOWANY",0,IF(OR(UPPER(E563)="TRANSPORT",UPPER(E563)="MM"),0,IF(UPPER(G563)&lt;&gt;"TAK",0,IF(OR(UPPER(E563)="ZAKUP",UPPER(E563)="PRODUKCJA"),AE563,IF(OR(UPPER(E563)="SPRZEDAŻ",UPPER(E563)="ZUŻYCIE"),-AE563,0)))))</f>
        <v/>
      </c>
      <c r="AI563" s="20">
        <f>IF(UPPER(AD563)="SKORYGOWANY",0,IF(OR(UPPER(E563)="TRANSPORT",UPPER(E563)="MM"),0,IF(UPPER(G563)&lt;&gt;"TAK",0,IF(OR(UPPER(E563)="ZAKUP",UPPER(E563)="PRODUKCJA"),AF563,IF(OR(UPPER(E563)="SPRZEDAŻ",UPPER(E563)="ZUŻYCIE"),-AF563,0)))))</f>
        <v/>
      </c>
      <c r="AJ563" s="21">
        <f>IF(UPPER(AD563)="SKORYGOWANY",0,IF(UPPER(E563)="ZAKUP",IF(L563&lt;&gt;"",L563,I563*K563),0))</f>
        <v/>
      </c>
      <c r="AK563" s="21">
        <f>IF(UPPER(AD563)="SKORYGOWANY",0,IF(UPPER(E563)="SPRZEDAŻ",IF(L563&lt;&gt;"",L563,I563*M563),0))</f>
        <v/>
      </c>
      <c r="AL563" s="21">
        <f>AE563*Q563</f>
        <v/>
      </c>
      <c r="AM563">
        <f>IF(R563="","",IF(LOWER(R563)="brak","Brak",IF(OR(ISNUMBER(SEARCH("własn",LOWER(R563))),ISNUMBER(SEARCH("wlasn",LOWER(R563))),ISNUMBER(SEARCH("wojciechowski",LOWER(R563)))),"Własny","Zewnętrzny")))</f>
        <v/>
      </c>
      <c r="AN563" s="24">
        <f>IF(C563="","",YEAR(C563))</f>
        <v/>
      </c>
      <c r="AO563" s="24">
        <f>IF(C563="","",MONTH(C563))</f>
        <v/>
      </c>
      <c r="AP563">
        <f>IF(C563="","",UPPER(TEXT(C563,"mmmm")))</f>
        <v/>
      </c>
      <c r="AQ563">
        <f>IF(C563="","","Q"&amp;ROUNDUP(MONTH(C563)/3,0))</f>
        <v/>
      </c>
    </row>
    <row r="564">
      <c r="A564" s="19" t="n">
        <v>46265</v>
      </c>
      <c r="B564" t="inlineStr">
        <is>
          <t>Rudziniec</t>
        </is>
      </c>
      <c r="C564" s="19" t="n">
        <v>46265</v>
      </c>
      <c r="D564" t="inlineStr">
        <is>
          <t>Magazyn Zabrze</t>
        </is>
      </c>
      <c r="E564" t="inlineStr">
        <is>
          <t>ZAKUP</t>
        </is>
      </c>
      <c r="F564" t="inlineStr">
        <is>
          <t>PZ/120</t>
        </is>
      </c>
      <c r="G564" t="inlineStr">
        <is>
          <t>TAK</t>
        </is>
      </c>
      <c r="H564" t="inlineStr">
        <is>
          <t>Deklaracja</t>
        </is>
      </c>
      <c r="I564" s="20" t="n">
        <v>80</v>
      </c>
      <c r="J564" t="inlineStr">
        <is>
          <t>MP</t>
        </is>
      </c>
      <c r="K564" s="21" t="n">
        <v>0</v>
      </c>
      <c r="L564" s="21" t="n">
        <v>0</v>
      </c>
      <c r="M564" s="21" t="n">
        <v>0</v>
      </c>
      <c r="N564" t="inlineStr">
        <is>
          <t>Zrębka Produkcyjna Leśna</t>
        </is>
      </c>
      <c r="O564" t="inlineStr">
        <is>
          <t>B</t>
        </is>
      </c>
      <c r="Q564" s="21" t="n">
        <v>0</v>
      </c>
      <c r="R564" t="inlineStr">
        <is>
          <t>własny (Kretek)</t>
        </is>
      </c>
      <c r="S564" t="inlineStr">
        <is>
          <t>SK 7J885</t>
        </is>
      </c>
      <c r="T564" s="22" t="n">
        <v>100</v>
      </c>
      <c r="U564" s="21" t="n">
        <v>5</v>
      </c>
      <c r="V564" s="21" t="n">
        <v>500</v>
      </c>
      <c r="W564" t="inlineStr">
        <is>
          <t>Magazyn Zabrze</t>
        </is>
      </c>
      <c r="Z564" t="inlineStr">
        <is>
          <t>Roesner Mateusz</t>
        </is>
      </c>
      <c r="AA564" s="23" t="n">
        <v>46265.53026620371</v>
      </c>
      <c r="AB564" t="inlineStr">
        <is>
          <t>OP-MIGR-00560</t>
        </is>
      </c>
      <c r="AD564" t="inlineStr">
        <is>
          <t>AKTYWNY</t>
        </is>
      </c>
      <c r="AE564" s="20">
        <f>IF(I564="",0,IF(ISNUMBER(SEARCH("MP",UPPER(J564))),I564,IF(ISNUMBER(SEARCH("TON",UPPER(J564))),I564/Przelicznik_MP_tona,IF(ISNUMBER(SEARCH("M3",UPPER(J564))),I564*Przelicznik_M3_MP,IF(ISNUMBER(SEARCH("GJ",UPPER(J564))),I564/Przelicznik_GJ_tona/Przelicznik_MP_tona,I564)))))</f>
        <v/>
      </c>
      <c r="AF564" s="20">
        <f>IF(I564="",0,IF(ISNUMBER(SEARCH("TON",UPPER(J564))),I564,IF(ISNUMBER(SEARCH("GJ",UPPER(J564))),I564/Przelicznik_GJ_tona,AE564*Przelicznik_MP_tona)))</f>
        <v/>
      </c>
      <c r="AG564" s="20">
        <f>AF564*Przelicznik_GJ_tona</f>
        <v/>
      </c>
      <c r="AH564" s="20">
        <f>IF(UPPER(AD564)="SKORYGOWANY",0,IF(OR(UPPER(E564)="TRANSPORT",UPPER(E564)="MM"),0,IF(UPPER(G564)&lt;&gt;"TAK",0,IF(OR(UPPER(E564)="ZAKUP",UPPER(E564)="PRODUKCJA"),AE564,IF(OR(UPPER(E564)="SPRZEDAŻ",UPPER(E564)="ZUŻYCIE"),-AE564,0)))))</f>
        <v/>
      </c>
      <c r="AI564" s="20">
        <f>IF(UPPER(AD564)="SKORYGOWANY",0,IF(OR(UPPER(E564)="TRANSPORT",UPPER(E564)="MM"),0,IF(UPPER(G564)&lt;&gt;"TAK",0,IF(OR(UPPER(E564)="ZAKUP",UPPER(E564)="PRODUKCJA"),AF564,IF(OR(UPPER(E564)="SPRZEDAŻ",UPPER(E564)="ZUŻYCIE"),-AF564,0)))))</f>
        <v/>
      </c>
      <c r="AJ564" s="21">
        <f>IF(UPPER(AD564)="SKORYGOWANY",0,IF(UPPER(E564)="ZAKUP",IF(L564&lt;&gt;"",L564,I564*K564),0))</f>
        <v/>
      </c>
      <c r="AK564" s="21">
        <f>IF(UPPER(AD564)="SKORYGOWANY",0,IF(UPPER(E564)="SPRZEDAŻ",IF(L564&lt;&gt;"",L564,I564*M564),0))</f>
        <v/>
      </c>
      <c r="AL564" s="21">
        <f>AE564*Q564</f>
        <v/>
      </c>
      <c r="AM564">
        <f>IF(R564="","",IF(LOWER(R564)="brak","Brak",IF(OR(ISNUMBER(SEARCH("własn",LOWER(R564))),ISNUMBER(SEARCH("wlasn",LOWER(R564))),ISNUMBER(SEARCH("wojciechowski",LOWER(R564)))),"Własny","Zewnętrzny")))</f>
        <v/>
      </c>
      <c r="AN564" s="24">
        <f>IF(C564="","",YEAR(C564))</f>
        <v/>
      </c>
      <c r="AO564" s="24">
        <f>IF(C564="","",MONTH(C564))</f>
        <v/>
      </c>
      <c r="AP564">
        <f>IF(C564="","",UPPER(TEXT(C564,"mmmm")))</f>
        <v/>
      </c>
      <c r="AQ564">
        <f>IF(C564="","","Q"&amp;ROUNDUP(MONTH(C564)/3,0))</f>
        <v/>
      </c>
    </row>
    <row r="565">
      <c r="A565" s="19" t="n">
        <v>46265</v>
      </c>
      <c r="C565" s="19" t="n">
        <v>46265</v>
      </c>
      <c r="D565" t="inlineStr">
        <is>
          <t>Lander Agro</t>
        </is>
      </c>
      <c r="E565" t="inlineStr">
        <is>
          <t>ZAKUP</t>
        </is>
      </c>
      <c r="F565" t="inlineStr">
        <is>
          <t>PZ/48/D</t>
        </is>
      </c>
      <c r="G565" t="inlineStr">
        <is>
          <t>TAK</t>
        </is>
      </c>
      <c r="H565" t="inlineStr">
        <is>
          <t>KZR</t>
        </is>
      </c>
      <c r="I565" s="20" t="n">
        <v>22.38</v>
      </c>
      <c r="J565" t="inlineStr">
        <is>
          <t>M3</t>
        </is>
      </c>
      <c r="K565" s="21" t="n">
        <v>230</v>
      </c>
      <c r="L565" s="21" t="n">
        <v>5147.4</v>
      </c>
      <c r="M565" s="21" t="n">
        <v>0</v>
      </c>
      <c r="N565" t="inlineStr">
        <is>
          <t>Drewno opałowe z lasu</t>
        </is>
      </c>
      <c r="Q565" s="21" t="n">
        <v>0</v>
      </c>
      <c r="T565" s="22" t="n">
        <v>0</v>
      </c>
      <c r="U565" s="21" t="n">
        <v>0</v>
      </c>
      <c r="V565" s="21" t="n">
        <v>0</v>
      </c>
      <c r="W565" t="inlineStr">
        <is>
          <t>Magazyn Zabrze</t>
        </is>
      </c>
      <c r="Z565" t="inlineStr">
        <is>
          <t>Roesner Mateusz</t>
        </is>
      </c>
      <c r="AA565" s="23" t="n">
        <v>46265.5378125</v>
      </c>
      <c r="AB565" t="inlineStr">
        <is>
          <t>OP-MIGR-00561</t>
        </is>
      </c>
      <c r="AD565" t="inlineStr">
        <is>
          <t>AKTYWNY</t>
        </is>
      </c>
      <c r="AE565" s="20">
        <f>IF(I565="",0,IF(ISNUMBER(SEARCH("MP",UPPER(J565))),I565,IF(ISNUMBER(SEARCH("TON",UPPER(J565))),I565/Przelicznik_MP_tona,IF(ISNUMBER(SEARCH("M3",UPPER(J565))),I565*Przelicznik_M3_MP,IF(ISNUMBER(SEARCH("GJ",UPPER(J565))),I565/Przelicznik_GJ_tona/Przelicznik_MP_tona,I565)))))</f>
        <v/>
      </c>
      <c r="AF565" s="20">
        <f>IF(I565="",0,IF(ISNUMBER(SEARCH("TON",UPPER(J565))),I565,IF(ISNUMBER(SEARCH("GJ",UPPER(J565))),I565/Przelicznik_GJ_tona,AE565*Przelicznik_MP_tona)))</f>
        <v/>
      </c>
      <c r="AG565" s="20">
        <f>AF565*Przelicznik_GJ_tona</f>
        <v/>
      </c>
      <c r="AH565" s="20">
        <f>IF(UPPER(AD565)="SKORYGOWANY",0,IF(OR(UPPER(E565)="TRANSPORT",UPPER(E565)="MM"),0,IF(UPPER(G565)&lt;&gt;"TAK",0,IF(OR(UPPER(E565)="ZAKUP",UPPER(E565)="PRODUKCJA"),AE565,IF(OR(UPPER(E565)="SPRZEDAŻ",UPPER(E565)="ZUŻYCIE"),-AE565,0)))))</f>
        <v/>
      </c>
      <c r="AI565" s="20">
        <f>IF(UPPER(AD565)="SKORYGOWANY",0,IF(OR(UPPER(E565)="TRANSPORT",UPPER(E565)="MM"),0,IF(UPPER(G565)&lt;&gt;"TAK",0,IF(OR(UPPER(E565)="ZAKUP",UPPER(E565)="PRODUKCJA"),AF565,IF(OR(UPPER(E565)="SPRZEDAŻ",UPPER(E565)="ZUŻYCIE"),-AF565,0)))))</f>
        <v/>
      </c>
      <c r="AJ565" s="21">
        <f>IF(UPPER(AD565)="SKORYGOWANY",0,IF(UPPER(E565)="ZAKUP",IF(L565&lt;&gt;"",L565,I565*K565),0))</f>
        <v/>
      </c>
      <c r="AK565" s="21">
        <f>IF(UPPER(AD565)="SKORYGOWANY",0,IF(UPPER(E565)="SPRZEDAŻ",IF(L565&lt;&gt;"",L565,I565*M565),0))</f>
        <v/>
      </c>
      <c r="AL565" s="21">
        <f>AE565*Q565</f>
        <v/>
      </c>
      <c r="AM565">
        <f>IF(R565="","",IF(LOWER(R565)="brak","Brak",IF(OR(ISNUMBER(SEARCH("własn",LOWER(R565))),ISNUMBER(SEARCH("wlasn",LOWER(R565))),ISNUMBER(SEARCH("wojciechowski",LOWER(R565)))),"Własny","Zewnętrzny")))</f>
        <v/>
      </c>
      <c r="AN565" s="24">
        <f>IF(C565="","",YEAR(C565))</f>
        <v/>
      </c>
      <c r="AO565" s="24">
        <f>IF(C565="","",MONTH(C565))</f>
        <v/>
      </c>
      <c r="AP565">
        <f>IF(C565="","",UPPER(TEXT(C565,"mmmm")))</f>
        <v/>
      </c>
      <c r="AQ565">
        <f>IF(C565="","","Q"&amp;ROUNDUP(MONTH(C565)/3,0))</f>
        <v/>
      </c>
    </row>
    <row r="566">
      <c r="A566" s="19" t="n">
        <v>46265</v>
      </c>
      <c r="C566" s="19" t="n">
        <v>46265</v>
      </c>
      <c r="D566" t="inlineStr">
        <is>
          <t>NDL Rudziniec, Leśnictwo Nogowczyce</t>
        </is>
      </c>
      <c r="E566" t="inlineStr">
        <is>
          <t>ZAKUP</t>
        </is>
      </c>
      <c r="F566" t="inlineStr">
        <is>
          <t>PZ/121  7/202640547/6119</t>
        </is>
      </c>
      <c r="G566" t="inlineStr">
        <is>
          <t>TAK</t>
        </is>
      </c>
      <c r="H566" t="inlineStr">
        <is>
          <t>Deklaracja</t>
        </is>
      </c>
      <c r="I566" s="20" t="n">
        <v>20</v>
      </c>
      <c r="J566" t="inlineStr">
        <is>
          <t>M3</t>
        </is>
      </c>
      <c r="K566" s="21" t="n">
        <v>0</v>
      </c>
      <c r="L566" s="21" t="n">
        <v>0</v>
      </c>
      <c r="M566" s="21" t="n">
        <v>0</v>
      </c>
      <c r="N566" t="inlineStr">
        <is>
          <t>Drewno opałowe z lasu</t>
        </is>
      </c>
      <c r="Q566" s="21" t="n">
        <v>0</v>
      </c>
      <c r="T566" s="22" t="n">
        <v>0</v>
      </c>
      <c r="U566" s="21" t="n">
        <v>0</v>
      </c>
      <c r="V566" s="21" t="n">
        <v>0</v>
      </c>
      <c r="W566" t="inlineStr">
        <is>
          <t>Magazyn Zabrze</t>
        </is>
      </c>
      <c r="Z566" t="inlineStr">
        <is>
          <t>Roesner Mateusz</t>
        </is>
      </c>
      <c r="AA566" s="23" t="n">
        <v>46265.54861111111</v>
      </c>
      <c r="AB566" t="inlineStr">
        <is>
          <t>OP-MIGR-00568</t>
        </is>
      </c>
      <c r="AD566" t="inlineStr">
        <is>
          <t>AKTYWNY</t>
        </is>
      </c>
      <c r="AE566" s="20">
        <f>IF(I566="",0,IF(ISNUMBER(SEARCH("MP",UPPER(J566))),I566,IF(ISNUMBER(SEARCH("TON",UPPER(J566))),I566/Przelicznik_MP_tona,IF(ISNUMBER(SEARCH("M3",UPPER(J566))),I566*Przelicznik_M3_MP,IF(ISNUMBER(SEARCH("GJ",UPPER(J566))),I566/Przelicznik_GJ_tona/Przelicznik_MP_tona,I566)))))</f>
        <v/>
      </c>
      <c r="AF566" s="20">
        <f>IF(I566="",0,IF(ISNUMBER(SEARCH("TON",UPPER(J566))),I566,IF(ISNUMBER(SEARCH("GJ",UPPER(J566))),I566/Przelicznik_GJ_tona,AE566*Przelicznik_MP_tona)))</f>
        <v/>
      </c>
      <c r="AG566" s="20">
        <f>AF566*Przelicznik_GJ_tona</f>
        <v/>
      </c>
      <c r="AH566" s="20">
        <f>IF(UPPER(AD566)="SKORYGOWANY",0,IF(OR(UPPER(E566)="TRANSPORT",UPPER(E566)="MM"),0,IF(UPPER(G566)&lt;&gt;"TAK",0,IF(OR(UPPER(E566)="ZAKUP",UPPER(E566)="PRODUKCJA"),AE566,IF(OR(UPPER(E566)="SPRZEDAŻ",UPPER(E566)="ZUŻYCIE"),-AE566,0)))))</f>
        <v/>
      </c>
      <c r="AI566" s="20">
        <f>IF(UPPER(AD566)="SKORYGOWANY",0,IF(OR(UPPER(E566)="TRANSPORT",UPPER(E566)="MM"),0,IF(UPPER(G566)&lt;&gt;"TAK",0,IF(OR(UPPER(E566)="ZAKUP",UPPER(E566)="PRODUKCJA"),AF566,IF(OR(UPPER(E566)="SPRZEDAŻ",UPPER(E566)="ZUŻYCIE"),-AF566,0)))))</f>
        <v/>
      </c>
      <c r="AJ566" s="21">
        <f>IF(UPPER(AD566)="SKORYGOWANY",0,IF(UPPER(E566)="ZAKUP",IF(L566&lt;&gt;"",L566,I566*K566),0))</f>
        <v/>
      </c>
      <c r="AK566" s="21">
        <f>IF(UPPER(AD566)="SKORYGOWANY",0,IF(UPPER(E566)="SPRZEDAŻ",IF(L566&lt;&gt;"",L566,I566*M566),0))</f>
        <v/>
      </c>
      <c r="AL566" s="21">
        <f>AE566*Q566</f>
        <v/>
      </c>
      <c r="AM566">
        <f>IF(R566="","",IF(LOWER(R566)="brak","Brak",IF(OR(ISNUMBER(SEARCH("własn",LOWER(R566))),ISNUMBER(SEARCH("wlasn",LOWER(R566))),ISNUMBER(SEARCH("wojciechowski",LOWER(R566)))),"Własny","Zewnętrzny")))</f>
        <v/>
      </c>
      <c r="AN566" s="24">
        <f>IF(C566="","",YEAR(C566))</f>
        <v/>
      </c>
      <c r="AO566" s="24">
        <f>IF(C566="","",MONTH(C566))</f>
        <v/>
      </c>
      <c r="AP566">
        <f>IF(C566="","",UPPER(TEXT(C566,"mmmm")))</f>
        <v/>
      </c>
      <c r="AQ566">
        <f>IF(C566="","","Q"&amp;ROUNDUP(MONTH(C566)/3,0))</f>
        <v/>
      </c>
    </row>
    <row r="567">
      <c r="A567" s="19" t="n">
        <v>46265</v>
      </c>
      <c r="C567" s="19" t="n">
        <v>46265</v>
      </c>
      <c r="D567" t="inlineStr">
        <is>
          <t>Magazyn Zabrze</t>
        </is>
      </c>
      <c r="E567" t="inlineStr">
        <is>
          <t>PRODUKCJA</t>
        </is>
      </c>
      <c r="F567" t="inlineStr">
        <is>
          <t>PZ/121</t>
        </is>
      </c>
      <c r="G567" t="inlineStr">
        <is>
          <t>TAK</t>
        </is>
      </c>
      <c r="H567" t="inlineStr">
        <is>
          <t>Deklaracja</t>
        </is>
      </c>
      <c r="I567" s="20" t="n">
        <v>80</v>
      </c>
      <c r="J567" t="inlineStr">
        <is>
          <t>MP</t>
        </is>
      </c>
      <c r="K567" s="21" t="n">
        <v>0</v>
      </c>
      <c r="L567" s="21" t="n">
        <v>0</v>
      </c>
      <c r="M567" s="21" t="n">
        <v>0</v>
      </c>
      <c r="N567" t="inlineStr">
        <is>
          <t>Zrębka Produkcyjna Leśna</t>
        </is>
      </c>
      <c r="O567" t="inlineStr">
        <is>
          <t>B</t>
        </is>
      </c>
      <c r="P567" t="inlineStr">
        <is>
          <t>własne</t>
        </is>
      </c>
      <c r="Q567" s="21" t="n">
        <v>10</v>
      </c>
      <c r="T567" s="22" t="n">
        <v>0</v>
      </c>
      <c r="U567" s="21" t="n">
        <v>0</v>
      </c>
      <c r="V567" s="21" t="n">
        <v>0</v>
      </c>
      <c r="W567" t="inlineStr">
        <is>
          <t>Magazyn Zabrze</t>
        </is>
      </c>
      <c r="Z567" t="inlineStr">
        <is>
          <t>Roesner Mateusz</t>
        </is>
      </c>
      <c r="AA567" s="23" t="n">
        <v>46265.54908564815</v>
      </c>
      <c r="AB567" t="inlineStr">
        <is>
          <t>OP-MIGR-00566</t>
        </is>
      </c>
      <c r="AD567" t="inlineStr">
        <is>
          <t>AKTYWNY</t>
        </is>
      </c>
      <c r="AE567" s="20">
        <f>IF(I567="",0,IF(ISNUMBER(SEARCH("MP",UPPER(J567))),I567,IF(ISNUMBER(SEARCH("TON",UPPER(J567))),I567/Przelicznik_MP_tona,IF(ISNUMBER(SEARCH("M3",UPPER(J567))),I567*Przelicznik_M3_MP,IF(ISNUMBER(SEARCH("GJ",UPPER(J567))),I567/Przelicznik_GJ_tona/Przelicznik_MP_tona,I567)))))</f>
        <v/>
      </c>
      <c r="AF567" s="20">
        <f>IF(I567="",0,IF(ISNUMBER(SEARCH("TON",UPPER(J567))),I567,IF(ISNUMBER(SEARCH("GJ",UPPER(J567))),I567/Przelicznik_GJ_tona,AE567*Przelicznik_MP_tona)))</f>
        <v/>
      </c>
      <c r="AG567" s="20">
        <f>AF567*Przelicznik_GJ_tona</f>
        <v/>
      </c>
      <c r="AH567" s="20">
        <f>IF(UPPER(AD567)="SKORYGOWANY",0,IF(OR(UPPER(E567)="TRANSPORT",UPPER(E567)="MM"),0,IF(UPPER(G567)&lt;&gt;"TAK",0,IF(OR(UPPER(E567)="ZAKUP",UPPER(E567)="PRODUKCJA"),AE567,IF(OR(UPPER(E567)="SPRZEDAŻ",UPPER(E567)="ZUŻYCIE"),-AE567,0)))))</f>
        <v/>
      </c>
      <c r="AI567" s="20">
        <f>IF(UPPER(AD567)="SKORYGOWANY",0,IF(OR(UPPER(E567)="TRANSPORT",UPPER(E567)="MM"),0,IF(UPPER(G567)&lt;&gt;"TAK",0,IF(OR(UPPER(E567)="ZAKUP",UPPER(E567)="PRODUKCJA"),AF567,IF(OR(UPPER(E567)="SPRZEDAŻ",UPPER(E567)="ZUŻYCIE"),-AF567,0)))))</f>
        <v/>
      </c>
      <c r="AJ567" s="21">
        <f>IF(UPPER(AD567)="SKORYGOWANY",0,IF(UPPER(E567)="ZAKUP",IF(L567&lt;&gt;"",L567,I567*K567),0))</f>
        <v/>
      </c>
      <c r="AK567" s="21">
        <f>IF(UPPER(AD567)="SKORYGOWANY",0,IF(UPPER(E567)="SPRZEDAŻ",IF(L567&lt;&gt;"",L567,I567*M567),0))</f>
        <v/>
      </c>
      <c r="AL567" s="21">
        <f>AE567*Q567</f>
        <v/>
      </c>
      <c r="AM567">
        <f>IF(R567="","",IF(LOWER(R567)="brak","Brak",IF(OR(ISNUMBER(SEARCH("własn",LOWER(R567))),ISNUMBER(SEARCH("wlasn",LOWER(R567))),ISNUMBER(SEARCH("wojciechowski",LOWER(R567)))),"Własny","Zewnętrzny")))</f>
        <v/>
      </c>
      <c r="AN567" s="24">
        <f>IF(C567="","",YEAR(C567))</f>
        <v/>
      </c>
      <c r="AO567" s="24">
        <f>IF(C567="","",MONTH(C567))</f>
        <v/>
      </c>
      <c r="AP567">
        <f>IF(C567="","",UPPER(TEXT(C567,"mmmm")))</f>
        <v/>
      </c>
      <c r="AQ567">
        <f>IF(C567="","","Q"&amp;ROUNDUP(MONTH(C567)/3,0))</f>
        <v/>
      </c>
    </row>
    <row r="568">
      <c r="A568" s="19" t="n">
        <v>46265</v>
      </c>
      <c r="C568" s="19" t="n">
        <v>46265</v>
      </c>
      <c r="D568" t="inlineStr">
        <is>
          <t>Magazyn Zabrze</t>
        </is>
      </c>
      <c r="E568" t="inlineStr">
        <is>
          <t>ZUŻYCIE</t>
        </is>
      </c>
      <c r="F568" t="inlineStr">
        <is>
          <t>PZ/121</t>
        </is>
      </c>
      <c r="G568" t="inlineStr">
        <is>
          <t>TAK</t>
        </is>
      </c>
      <c r="H568" t="inlineStr">
        <is>
          <t>Deklaracja</t>
        </is>
      </c>
      <c r="I568" s="20" t="n">
        <v>80</v>
      </c>
      <c r="J568" t="inlineStr">
        <is>
          <t>MP</t>
        </is>
      </c>
      <c r="K568" s="21" t="n">
        <v>0</v>
      </c>
      <c r="L568" s="21" t="n">
        <v>0</v>
      </c>
      <c r="M568" s="21" t="n">
        <v>0</v>
      </c>
      <c r="N568" t="inlineStr">
        <is>
          <t>Zrębka Produkcyjna Leśna</t>
        </is>
      </c>
      <c r="O568" t="inlineStr">
        <is>
          <t>B</t>
        </is>
      </c>
      <c r="P568" t="inlineStr">
        <is>
          <t>własne</t>
        </is>
      </c>
      <c r="Q568" s="21" t="n">
        <v>10</v>
      </c>
      <c r="T568" s="22" t="n">
        <v>0</v>
      </c>
      <c r="U568" s="21" t="n">
        <v>0</v>
      </c>
      <c r="V568" s="21" t="n">
        <v>0</v>
      </c>
      <c r="W568" t="inlineStr">
        <is>
          <t>Magazyn Zabrze</t>
        </is>
      </c>
      <c r="Y568" t="inlineStr">
        <is>
          <t>Automatyczne zużycie surowca do produkcji</t>
        </is>
      </c>
      <c r="AA568" s="23" t="n">
        <v>46265.54908564815</v>
      </c>
      <c r="AB568" t="inlineStr">
        <is>
          <t>OP-MIGR-00567</t>
        </is>
      </c>
      <c r="AD568" t="inlineStr">
        <is>
          <t>AKTYWNY</t>
        </is>
      </c>
      <c r="AE568" s="20">
        <f>IF(I568="",0,IF(ISNUMBER(SEARCH("MP",UPPER(J568))),I568,IF(ISNUMBER(SEARCH("TON",UPPER(J568))),I568/Przelicznik_MP_tona,IF(ISNUMBER(SEARCH("M3",UPPER(J568))),I568*Przelicznik_M3_MP,IF(ISNUMBER(SEARCH("GJ",UPPER(J568))),I568/Przelicznik_GJ_tona/Przelicznik_MP_tona,I568)))))</f>
        <v/>
      </c>
      <c r="AF568" s="20">
        <f>IF(I568="",0,IF(ISNUMBER(SEARCH("TON",UPPER(J568))),I568,IF(ISNUMBER(SEARCH("GJ",UPPER(J568))),I568/Przelicznik_GJ_tona,AE568*Przelicznik_MP_tona)))</f>
        <v/>
      </c>
      <c r="AG568" s="20">
        <f>AF568*Przelicznik_GJ_tona</f>
        <v/>
      </c>
      <c r="AH568" s="20">
        <f>IF(UPPER(AD568)="SKORYGOWANY",0,IF(OR(UPPER(E568)="TRANSPORT",UPPER(E568)="MM"),0,IF(UPPER(G568)&lt;&gt;"TAK",0,IF(OR(UPPER(E568)="ZAKUP",UPPER(E568)="PRODUKCJA"),AE568,IF(OR(UPPER(E568)="SPRZEDAŻ",UPPER(E568)="ZUŻYCIE"),-AE568,0)))))</f>
        <v/>
      </c>
      <c r="AI568" s="20">
        <f>IF(UPPER(AD568)="SKORYGOWANY",0,IF(OR(UPPER(E568)="TRANSPORT",UPPER(E568)="MM"),0,IF(UPPER(G568)&lt;&gt;"TAK",0,IF(OR(UPPER(E568)="ZAKUP",UPPER(E568)="PRODUKCJA"),AF568,IF(OR(UPPER(E568)="SPRZEDAŻ",UPPER(E568)="ZUŻYCIE"),-AF568,0)))))</f>
        <v/>
      </c>
      <c r="AJ568" s="21">
        <f>IF(UPPER(AD568)="SKORYGOWANY",0,IF(UPPER(E568)="ZAKUP",IF(L568&lt;&gt;"",L568,I568*K568),0))</f>
        <v/>
      </c>
      <c r="AK568" s="21">
        <f>IF(UPPER(AD568)="SKORYGOWANY",0,IF(UPPER(E568)="SPRZEDAŻ",IF(L568&lt;&gt;"",L568,I568*M568),0))</f>
        <v/>
      </c>
      <c r="AL568" s="21">
        <f>AE568*Q568</f>
        <v/>
      </c>
      <c r="AM568">
        <f>IF(R568="","",IF(LOWER(R568)="brak","Brak",IF(OR(ISNUMBER(SEARCH("własn",LOWER(R568))),ISNUMBER(SEARCH("wlasn",LOWER(R568))),ISNUMBER(SEARCH("wojciechowski",LOWER(R568)))),"Własny","Zewnętrzny")))</f>
        <v/>
      </c>
      <c r="AN568" s="24">
        <f>IF(C568="","",YEAR(C568))</f>
        <v/>
      </c>
      <c r="AO568" s="24">
        <f>IF(C568="","",MONTH(C568))</f>
        <v/>
      </c>
      <c r="AP568">
        <f>IF(C568="","",UPPER(TEXT(C568,"mmmm")))</f>
        <v/>
      </c>
      <c r="AQ568">
        <f>IF(C568="","","Q"&amp;ROUNDUP(MONTH(C568)/3,0))</f>
        <v/>
      </c>
    </row>
    <row r="569">
      <c r="A569" s="19" t="n">
        <v>46265</v>
      </c>
      <c r="B569" t="inlineStr">
        <is>
          <t>Rudziniec</t>
        </is>
      </c>
      <c r="C569" s="19" t="n">
        <v>46265</v>
      </c>
      <c r="D569" t="inlineStr">
        <is>
          <t>Magazyn Zabrze</t>
        </is>
      </c>
      <c r="E569" t="inlineStr">
        <is>
          <t>ZAKUP</t>
        </is>
      </c>
      <c r="F569" t="inlineStr">
        <is>
          <t>PZ/121</t>
        </is>
      </c>
      <c r="G569" t="inlineStr">
        <is>
          <t>TAK</t>
        </is>
      </c>
      <c r="H569" t="inlineStr">
        <is>
          <t>Deklaracja</t>
        </is>
      </c>
      <c r="I569" s="20" t="n">
        <v>80</v>
      </c>
      <c r="J569" t="inlineStr">
        <is>
          <t>MP</t>
        </is>
      </c>
      <c r="K569" s="21" t="n">
        <v>0</v>
      </c>
      <c r="L569" s="21" t="n">
        <v>0</v>
      </c>
      <c r="M569" s="21" t="n">
        <v>0</v>
      </c>
      <c r="N569" t="inlineStr">
        <is>
          <t>Zrębka Produkcyjna Leśna</t>
        </is>
      </c>
      <c r="O569" t="inlineStr">
        <is>
          <t>B</t>
        </is>
      </c>
      <c r="Q569" s="21" t="n">
        <v>0</v>
      </c>
      <c r="R569" t="inlineStr">
        <is>
          <t>własny (Wilczak)</t>
        </is>
      </c>
      <c r="S569" t="inlineStr">
        <is>
          <t>SK 7J884</t>
        </is>
      </c>
      <c r="T569" s="22" t="n">
        <v>100</v>
      </c>
      <c r="U569" s="21" t="n">
        <v>5</v>
      </c>
      <c r="V569" s="21" t="n">
        <v>500</v>
      </c>
      <c r="W569" t="inlineStr">
        <is>
          <t>Magazyn Zabrze</t>
        </is>
      </c>
      <c r="Z569" t="inlineStr">
        <is>
          <t>Roesner Mateusz</t>
        </is>
      </c>
      <c r="AA569" s="23" t="n">
        <v>46265.55</v>
      </c>
      <c r="AB569" t="inlineStr">
        <is>
          <t>OP-MIGR-00562</t>
        </is>
      </c>
      <c r="AD569" t="inlineStr">
        <is>
          <t>AKTYWNY</t>
        </is>
      </c>
      <c r="AE569" s="20">
        <f>IF(I569="",0,IF(ISNUMBER(SEARCH("MP",UPPER(J569))),I569,IF(ISNUMBER(SEARCH("TON",UPPER(J569))),I569/Przelicznik_MP_tona,IF(ISNUMBER(SEARCH("M3",UPPER(J569))),I569*Przelicznik_M3_MP,IF(ISNUMBER(SEARCH("GJ",UPPER(J569))),I569/Przelicznik_GJ_tona/Przelicznik_MP_tona,I569)))))</f>
        <v/>
      </c>
      <c r="AF569" s="20">
        <f>IF(I569="",0,IF(ISNUMBER(SEARCH("TON",UPPER(J569))),I569,IF(ISNUMBER(SEARCH("GJ",UPPER(J569))),I569/Przelicznik_GJ_tona,AE569*Przelicznik_MP_tona)))</f>
        <v/>
      </c>
      <c r="AG569" s="20">
        <f>AF569*Przelicznik_GJ_tona</f>
        <v/>
      </c>
      <c r="AH569" s="20">
        <f>IF(UPPER(AD569)="SKORYGOWANY",0,IF(OR(UPPER(E569)="TRANSPORT",UPPER(E569)="MM"),0,IF(UPPER(G569)&lt;&gt;"TAK",0,IF(OR(UPPER(E569)="ZAKUP",UPPER(E569)="PRODUKCJA"),AE569,IF(OR(UPPER(E569)="SPRZEDAŻ",UPPER(E569)="ZUŻYCIE"),-AE569,0)))))</f>
        <v/>
      </c>
      <c r="AI569" s="20">
        <f>IF(UPPER(AD569)="SKORYGOWANY",0,IF(OR(UPPER(E569)="TRANSPORT",UPPER(E569)="MM"),0,IF(UPPER(G569)&lt;&gt;"TAK",0,IF(OR(UPPER(E569)="ZAKUP",UPPER(E569)="PRODUKCJA"),AF569,IF(OR(UPPER(E569)="SPRZEDAŻ",UPPER(E569)="ZUŻYCIE"),-AF569,0)))))</f>
        <v/>
      </c>
      <c r="AJ569" s="21">
        <f>IF(UPPER(AD569)="SKORYGOWANY",0,IF(UPPER(E569)="ZAKUP",IF(L569&lt;&gt;"",L569,I569*K569),0))</f>
        <v/>
      </c>
      <c r="AK569" s="21">
        <f>IF(UPPER(AD569)="SKORYGOWANY",0,IF(UPPER(E569)="SPRZEDAŻ",IF(L569&lt;&gt;"",L569,I569*M569),0))</f>
        <v/>
      </c>
      <c r="AL569" s="21">
        <f>AE569*Q569</f>
        <v/>
      </c>
      <c r="AM569">
        <f>IF(R569="","",IF(LOWER(R569)="brak","Brak",IF(OR(ISNUMBER(SEARCH("własn",LOWER(R569))),ISNUMBER(SEARCH("wlasn",LOWER(R569))),ISNUMBER(SEARCH("wojciechowski",LOWER(R569)))),"Własny","Zewnętrzny")))</f>
        <v/>
      </c>
      <c r="AN569" s="24">
        <f>IF(C569="","",YEAR(C569))</f>
        <v/>
      </c>
      <c r="AO569" s="24">
        <f>IF(C569="","",MONTH(C569))</f>
        <v/>
      </c>
      <c r="AP569">
        <f>IF(C569="","",UPPER(TEXT(C569,"mmmm")))</f>
        <v/>
      </c>
      <c r="AQ569">
        <f>IF(C569="","","Q"&amp;ROUNDUP(MONTH(C569)/3,0))</f>
        <v/>
      </c>
    </row>
    <row r="570">
      <c r="A570" s="19" t="n">
        <v>46265</v>
      </c>
      <c r="C570" s="19" t="n">
        <v>46265</v>
      </c>
      <c r="D570" t="inlineStr">
        <is>
          <t>NDL Rudziniec, Leśnictwo Nogowczyce</t>
        </is>
      </c>
      <c r="E570" t="inlineStr">
        <is>
          <t>ZAKUP</t>
        </is>
      </c>
      <c r="F570" t="inlineStr">
        <is>
          <t>PZ/124  7/202640547/6120</t>
        </is>
      </c>
      <c r="G570" t="inlineStr">
        <is>
          <t>TAK</t>
        </is>
      </c>
      <c r="H570" t="inlineStr">
        <is>
          <t>Deklaracja</t>
        </is>
      </c>
      <c r="I570" s="20" t="n">
        <v>20</v>
      </c>
      <c r="J570" t="inlineStr">
        <is>
          <t>M3</t>
        </is>
      </c>
      <c r="K570" s="21" t="n">
        <v>0</v>
      </c>
      <c r="L570" s="21" t="n">
        <v>0</v>
      </c>
      <c r="M570" s="21" t="n">
        <v>0</v>
      </c>
      <c r="N570" t="inlineStr">
        <is>
          <t>Drewno opałowe z lasu</t>
        </is>
      </c>
      <c r="Q570" s="21" t="n">
        <v>0</v>
      </c>
      <c r="T570" s="22" t="n">
        <v>0</v>
      </c>
      <c r="U570" s="21" t="n">
        <v>0</v>
      </c>
      <c r="V570" s="21" t="n">
        <v>0</v>
      </c>
      <c r="W570" t="inlineStr">
        <is>
          <t>Magazyn Zabrze</t>
        </is>
      </c>
      <c r="Z570" t="inlineStr">
        <is>
          <t>Roesner Mateusz</t>
        </is>
      </c>
      <c r="AA570" s="23" t="n">
        <v>46266.27846064815</v>
      </c>
      <c r="AB570" t="inlineStr">
        <is>
          <t>OP-MIGR-00569</t>
        </is>
      </c>
      <c r="AD570" t="inlineStr">
        <is>
          <t>AKTYWNY</t>
        </is>
      </c>
      <c r="AE570" s="20">
        <f>IF(I570="",0,IF(ISNUMBER(SEARCH("MP",UPPER(J570))),I570,IF(ISNUMBER(SEARCH("TON",UPPER(J570))),I570/Przelicznik_MP_tona,IF(ISNUMBER(SEARCH("M3",UPPER(J570))),I570*Przelicznik_M3_MP,IF(ISNUMBER(SEARCH("GJ",UPPER(J570))),I570/Przelicznik_GJ_tona/Przelicznik_MP_tona,I570)))))</f>
        <v/>
      </c>
      <c r="AF570" s="20">
        <f>IF(I570="",0,IF(ISNUMBER(SEARCH("TON",UPPER(J570))),I570,IF(ISNUMBER(SEARCH("GJ",UPPER(J570))),I570/Przelicznik_GJ_tona,AE570*Przelicznik_MP_tona)))</f>
        <v/>
      </c>
      <c r="AG570" s="20">
        <f>AF570*Przelicznik_GJ_tona</f>
        <v/>
      </c>
      <c r="AH570" s="20">
        <f>IF(UPPER(AD570)="SKORYGOWANY",0,IF(OR(UPPER(E570)="TRANSPORT",UPPER(E570)="MM"),0,IF(UPPER(G570)&lt;&gt;"TAK",0,IF(OR(UPPER(E570)="ZAKUP",UPPER(E570)="PRODUKCJA"),AE570,IF(OR(UPPER(E570)="SPRZEDAŻ",UPPER(E570)="ZUŻYCIE"),-AE570,0)))))</f>
        <v/>
      </c>
      <c r="AI570" s="20">
        <f>IF(UPPER(AD570)="SKORYGOWANY",0,IF(OR(UPPER(E570)="TRANSPORT",UPPER(E570)="MM"),0,IF(UPPER(G570)&lt;&gt;"TAK",0,IF(OR(UPPER(E570)="ZAKUP",UPPER(E570)="PRODUKCJA"),AF570,IF(OR(UPPER(E570)="SPRZEDAŻ",UPPER(E570)="ZUŻYCIE"),-AF570,0)))))</f>
        <v/>
      </c>
      <c r="AJ570" s="21">
        <f>IF(UPPER(AD570)="SKORYGOWANY",0,IF(UPPER(E570)="ZAKUP",IF(L570&lt;&gt;"",L570,I570*K570),0))</f>
        <v/>
      </c>
      <c r="AK570" s="21">
        <f>IF(UPPER(AD570)="SKORYGOWANY",0,IF(UPPER(E570)="SPRZEDAŻ",IF(L570&lt;&gt;"",L570,I570*M570),0))</f>
        <v/>
      </c>
      <c r="AL570" s="21">
        <f>AE570*Q570</f>
        <v/>
      </c>
      <c r="AM570">
        <f>IF(R570="","",IF(LOWER(R570)="brak","Brak",IF(OR(ISNUMBER(SEARCH("własn",LOWER(R570))),ISNUMBER(SEARCH("wlasn",LOWER(R570))),ISNUMBER(SEARCH("wojciechowski",LOWER(R570)))),"Własny","Zewnętrzny")))</f>
        <v/>
      </c>
      <c r="AN570" s="24">
        <f>IF(C570="","",YEAR(C570))</f>
        <v/>
      </c>
      <c r="AO570" s="24">
        <f>IF(C570="","",MONTH(C570))</f>
        <v/>
      </c>
      <c r="AP570">
        <f>IF(C570="","",UPPER(TEXT(C570,"mmmm")))</f>
        <v/>
      </c>
      <c r="AQ570">
        <f>IF(C570="","","Q"&amp;ROUNDUP(MONTH(C570)/3,0))</f>
        <v/>
      </c>
    </row>
    <row r="571">
      <c r="A571" s="19" t="n">
        <v>46265</v>
      </c>
      <c r="C571" s="19" t="n">
        <v>46265</v>
      </c>
      <c r="D571" t="inlineStr">
        <is>
          <t>Magazyn Zabrze</t>
        </is>
      </c>
      <c r="E571" t="inlineStr">
        <is>
          <t>PRODUKCJA</t>
        </is>
      </c>
      <c r="F571" t="inlineStr">
        <is>
          <t>PZ/124</t>
        </is>
      </c>
      <c r="G571" t="inlineStr">
        <is>
          <t>TAK</t>
        </is>
      </c>
      <c r="H571" t="inlineStr">
        <is>
          <t>Deklaracja</t>
        </is>
      </c>
      <c r="I571" s="20" t="n">
        <v>80</v>
      </c>
      <c r="J571" t="inlineStr">
        <is>
          <t>MP</t>
        </is>
      </c>
      <c r="K571" s="21" t="n">
        <v>0</v>
      </c>
      <c r="L571" s="21" t="n">
        <v>0</v>
      </c>
      <c r="M571" s="21" t="n">
        <v>0</v>
      </c>
      <c r="N571" t="inlineStr">
        <is>
          <t>Zrębka Produkcyjna Leśna</t>
        </is>
      </c>
      <c r="O571" t="inlineStr">
        <is>
          <t>B</t>
        </is>
      </c>
      <c r="P571" t="inlineStr">
        <is>
          <t>własne</t>
        </is>
      </c>
      <c r="Q571" s="21" t="n">
        <v>10</v>
      </c>
      <c r="T571" s="22" t="n">
        <v>0</v>
      </c>
      <c r="U571" s="21" t="n">
        <v>0</v>
      </c>
      <c r="V571" s="21" t="n">
        <v>0</v>
      </c>
      <c r="W571" t="inlineStr">
        <is>
          <t>Magazyn Zabrze</t>
        </is>
      </c>
      <c r="Z571" t="inlineStr">
        <is>
          <t>Roesner Mateusz</t>
        </is>
      </c>
      <c r="AA571" s="23" t="n">
        <v>46266.27893518518</v>
      </c>
      <c r="AB571" t="inlineStr">
        <is>
          <t>OP-MIGR-00570</t>
        </is>
      </c>
      <c r="AD571" t="inlineStr">
        <is>
          <t>AKTYWNY</t>
        </is>
      </c>
      <c r="AE571" s="20">
        <f>IF(I571="",0,IF(ISNUMBER(SEARCH("MP",UPPER(J571))),I571,IF(ISNUMBER(SEARCH("TON",UPPER(J571))),I571/Przelicznik_MP_tona,IF(ISNUMBER(SEARCH("M3",UPPER(J571))),I571*Przelicznik_M3_MP,IF(ISNUMBER(SEARCH("GJ",UPPER(J571))),I571/Przelicznik_GJ_tona/Przelicznik_MP_tona,I571)))))</f>
        <v/>
      </c>
      <c r="AF571" s="20">
        <f>IF(I571="",0,IF(ISNUMBER(SEARCH("TON",UPPER(J571))),I571,IF(ISNUMBER(SEARCH("GJ",UPPER(J571))),I571/Przelicznik_GJ_tona,AE571*Przelicznik_MP_tona)))</f>
        <v/>
      </c>
      <c r="AG571" s="20">
        <f>AF571*Przelicznik_GJ_tona</f>
        <v/>
      </c>
      <c r="AH571" s="20">
        <f>IF(UPPER(AD571)="SKORYGOWANY",0,IF(OR(UPPER(E571)="TRANSPORT",UPPER(E571)="MM"),0,IF(UPPER(G571)&lt;&gt;"TAK",0,IF(OR(UPPER(E571)="ZAKUP",UPPER(E571)="PRODUKCJA"),AE571,IF(OR(UPPER(E571)="SPRZEDAŻ",UPPER(E571)="ZUŻYCIE"),-AE571,0)))))</f>
        <v/>
      </c>
      <c r="AI571" s="20">
        <f>IF(UPPER(AD571)="SKORYGOWANY",0,IF(OR(UPPER(E571)="TRANSPORT",UPPER(E571)="MM"),0,IF(UPPER(G571)&lt;&gt;"TAK",0,IF(OR(UPPER(E571)="ZAKUP",UPPER(E571)="PRODUKCJA"),AF571,IF(OR(UPPER(E571)="SPRZEDAŻ",UPPER(E571)="ZUŻYCIE"),-AF571,0)))))</f>
        <v/>
      </c>
      <c r="AJ571" s="21">
        <f>IF(UPPER(AD571)="SKORYGOWANY",0,IF(UPPER(E571)="ZAKUP",IF(L571&lt;&gt;"",L571,I571*K571),0))</f>
        <v/>
      </c>
      <c r="AK571" s="21">
        <f>IF(UPPER(AD571)="SKORYGOWANY",0,IF(UPPER(E571)="SPRZEDAŻ",IF(L571&lt;&gt;"",L571,I571*M571),0))</f>
        <v/>
      </c>
      <c r="AL571" s="21">
        <f>AE571*Q571</f>
        <v/>
      </c>
      <c r="AM571">
        <f>IF(R571="","",IF(LOWER(R571)="brak","Brak",IF(OR(ISNUMBER(SEARCH("własn",LOWER(R571))),ISNUMBER(SEARCH("wlasn",LOWER(R571))),ISNUMBER(SEARCH("wojciechowski",LOWER(R571)))),"Własny","Zewnętrzny")))</f>
        <v/>
      </c>
      <c r="AN571" s="24">
        <f>IF(C571="","",YEAR(C571))</f>
        <v/>
      </c>
      <c r="AO571" s="24">
        <f>IF(C571="","",MONTH(C571))</f>
        <v/>
      </c>
      <c r="AP571">
        <f>IF(C571="","",UPPER(TEXT(C571,"mmmm")))</f>
        <v/>
      </c>
      <c r="AQ571">
        <f>IF(C571="","","Q"&amp;ROUNDUP(MONTH(C571)/3,0))</f>
        <v/>
      </c>
    </row>
    <row r="572">
      <c r="A572" s="19" t="n">
        <v>46265</v>
      </c>
      <c r="C572" s="19" t="n">
        <v>46265</v>
      </c>
      <c r="D572" t="inlineStr">
        <is>
          <t>Magazyn Zabrze</t>
        </is>
      </c>
      <c r="E572" t="inlineStr">
        <is>
          <t>ZUŻYCIE</t>
        </is>
      </c>
      <c r="F572" t="inlineStr">
        <is>
          <t>PZ/124</t>
        </is>
      </c>
      <c r="G572" t="inlineStr">
        <is>
          <t>TAK</t>
        </is>
      </c>
      <c r="H572" t="inlineStr">
        <is>
          <t>Deklaracja</t>
        </is>
      </c>
      <c r="I572" s="20" t="n">
        <v>80</v>
      </c>
      <c r="J572" t="inlineStr">
        <is>
          <t>MP</t>
        </is>
      </c>
      <c r="K572" s="21" t="n">
        <v>0</v>
      </c>
      <c r="L572" s="21" t="n">
        <v>0</v>
      </c>
      <c r="M572" s="21" t="n">
        <v>0</v>
      </c>
      <c r="N572" t="inlineStr">
        <is>
          <t>Zrębka Produkcyjna Leśna</t>
        </is>
      </c>
      <c r="O572" t="inlineStr">
        <is>
          <t>B</t>
        </is>
      </c>
      <c r="P572" t="inlineStr">
        <is>
          <t>własne</t>
        </is>
      </c>
      <c r="Q572" s="21" t="n">
        <v>10</v>
      </c>
      <c r="T572" s="22" t="n">
        <v>0</v>
      </c>
      <c r="U572" s="21" t="n">
        <v>0</v>
      </c>
      <c r="V572" s="21" t="n">
        <v>0</v>
      </c>
      <c r="W572" t="inlineStr">
        <is>
          <t>Magazyn Zabrze</t>
        </is>
      </c>
      <c r="Y572" t="inlineStr">
        <is>
          <t>Automatyczne zużycie surowca do produkcji</t>
        </is>
      </c>
      <c r="AA572" s="23" t="n">
        <v>46266.27894675926</v>
      </c>
      <c r="AB572" t="inlineStr">
        <is>
          <t>OP-MIGR-00571</t>
        </is>
      </c>
      <c r="AD572" t="inlineStr">
        <is>
          <t>AKTYWNY</t>
        </is>
      </c>
      <c r="AE572" s="20">
        <f>IF(I572="",0,IF(ISNUMBER(SEARCH("MP",UPPER(J572))),I572,IF(ISNUMBER(SEARCH("TON",UPPER(J572))),I572/Przelicznik_MP_tona,IF(ISNUMBER(SEARCH("M3",UPPER(J572))),I572*Przelicznik_M3_MP,IF(ISNUMBER(SEARCH("GJ",UPPER(J572))),I572/Przelicznik_GJ_tona/Przelicznik_MP_tona,I572)))))</f>
        <v/>
      </c>
      <c r="AF572" s="20">
        <f>IF(I572="",0,IF(ISNUMBER(SEARCH("TON",UPPER(J572))),I572,IF(ISNUMBER(SEARCH("GJ",UPPER(J572))),I572/Przelicznik_GJ_tona,AE572*Przelicznik_MP_tona)))</f>
        <v/>
      </c>
      <c r="AG572" s="20">
        <f>AF572*Przelicznik_GJ_tona</f>
        <v/>
      </c>
      <c r="AH572" s="20">
        <f>IF(UPPER(AD572)="SKORYGOWANY",0,IF(OR(UPPER(E572)="TRANSPORT",UPPER(E572)="MM"),0,IF(UPPER(G572)&lt;&gt;"TAK",0,IF(OR(UPPER(E572)="ZAKUP",UPPER(E572)="PRODUKCJA"),AE572,IF(OR(UPPER(E572)="SPRZEDAŻ",UPPER(E572)="ZUŻYCIE"),-AE572,0)))))</f>
        <v/>
      </c>
      <c r="AI572" s="20">
        <f>IF(UPPER(AD572)="SKORYGOWANY",0,IF(OR(UPPER(E572)="TRANSPORT",UPPER(E572)="MM"),0,IF(UPPER(G572)&lt;&gt;"TAK",0,IF(OR(UPPER(E572)="ZAKUP",UPPER(E572)="PRODUKCJA"),AF572,IF(OR(UPPER(E572)="SPRZEDAŻ",UPPER(E572)="ZUŻYCIE"),-AF572,0)))))</f>
        <v/>
      </c>
      <c r="AJ572" s="21">
        <f>IF(UPPER(AD572)="SKORYGOWANY",0,IF(UPPER(E572)="ZAKUP",IF(L572&lt;&gt;"",L572,I572*K572),0))</f>
        <v/>
      </c>
      <c r="AK572" s="21">
        <f>IF(UPPER(AD572)="SKORYGOWANY",0,IF(UPPER(E572)="SPRZEDAŻ",IF(L572&lt;&gt;"",L572,I572*M572),0))</f>
        <v/>
      </c>
      <c r="AL572" s="21">
        <f>AE572*Q572</f>
        <v/>
      </c>
      <c r="AM572">
        <f>IF(R572="","",IF(LOWER(R572)="brak","Brak",IF(OR(ISNUMBER(SEARCH("własn",LOWER(R572))),ISNUMBER(SEARCH("wlasn",LOWER(R572))),ISNUMBER(SEARCH("wojciechowski",LOWER(R572)))),"Własny","Zewnętrzny")))</f>
        <v/>
      </c>
      <c r="AN572" s="24">
        <f>IF(C572="","",YEAR(C572))</f>
        <v/>
      </c>
      <c r="AO572" s="24">
        <f>IF(C572="","",MONTH(C572))</f>
        <v/>
      </c>
      <c r="AP572">
        <f>IF(C572="","",UPPER(TEXT(C572,"mmmm")))</f>
        <v/>
      </c>
      <c r="AQ572">
        <f>IF(C572="","","Q"&amp;ROUNDUP(MONTH(C572)/3,0))</f>
        <v/>
      </c>
    </row>
    <row r="573">
      <c r="A573" s="19" t="n">
        <v>46265</v>
      </c>
      <c r="B573" t="inlineStr">
        <is>
          <t>Rudziniec</t>
        </is>
      </c>
      <c r="C573" s="19" t="n">
        <v>46265</v>
      </c>
      <c r="D573" t="inlineStr">
        <is>
          <t>Magazyn Zabrze</t>
        </is>
      </c>
      <c r="E573" t="inlineStr">
        <is>
          <t>ZAKUP</t>
        </is>
      </c>
      <c r="F573" t="inlineStr">
        <is>
          <t>PZ/124</t>
        </is>
      </c>
      <c r="G573" t="inlineStr">
        <is>
          <t>TAK</t>
        </is>
      </c>
      <c r="H573" t="inlineStr">
        <is>
          <t>Deklaracja</t>
        </is>
      </c>
      <c r="I573" s="20" t="n">
        <v>80</v>
      </c>
      <c r="J573" t="inlineStr">
        <is>
          <t>MP</t>
        </is>
      </c>
      <c r="K573" s="21" t="n">
        <v>0</v>
      </c>
      <c r="L573" s="21" t="n">
        <v>0</v>
      </c>
      <c r="M573" s="21" t="n">
        <v>0</v>
      </c>
      <c r="N573" t="inlineStr">
        <is>
          <t>Zrębka Produkcyjna Leśna</t>
        </is>
      </c>
      <c r="O573" t="inlineStr">
        <is>
          <t>B</t>
        </is>
      </c>
      <c r="Q573" s="21" t="n">
        <v>0</v>
      </c>
      <c r="R573" t="inlineStr">
        <is>
          <t>własny (Kretek)</t>
        </is>
      </c>
      <c r="S573" t="inlineStr">
        <is>
          <t>SK 7J885</t>
        </is>
      </c>
      <c r="T573" s="22" t="n">
        <v>100</v>
      </c>
      <c r="U573" s="21" t="n">
        <v>5</v>
      </c>
      <c r="V573" s="21" t="n">
        <v>500</v>
      </c>
      <c r="W573" t="inlineStr">
        <is>
          <t>Magazyn Zabrze</t>
        </is>
      </c>
      <c r="Z573" t="inlineStr">
        <is>
          <t>Roesner Mateusz</t>
        </is>
      </c>
      <c r="AA573" s="23" t="n">
        <v>46266.27978009259</v>
      </c>
      <c r="AB573" t="inlineStr">
        <is>
          <t>OP-MIGR-00572</t>
        </is>
      </c>
      <c r="AD573" t="inlineStr">
        <is>
          <t>AKTYWNY</t>
        </is>
      </c>
      <c r="AE573" s="20">
        <f>IF(I573="",0,IF(ISNUMBER(SEARCH("MP",UPPER(J573))),I573,IF(ISNUMBER(SEARCH("TON",UPPER(J573))),I573/Przelicznik_MP_tona,IF(ISNUMBER(SEARCH("M3",UPPER(J573))),I573*Przelicznik_M3_MP,IF(ISNUMBER(SEARCH("GJ",UPPER(J573))),I573/Przelicznik_GJ_tona/Przelicznik_MP_tona,I573)))))</f>
        <v/>
      </c>
      <c r="AF573" s="20">
        <f>IF(I573="",0,IF(ISNUMBER(SEARCH("TON",UPPER(J573))),I573,IF(ISNUMBER(SEARCH("GJ",UPPER(J573))),I573/Przelicznik_GJ_tona,AE573*Przelicznik_MP_tona)))</f>
        <v/>
      </c>
      <c r="AG573" s="20">
        <f>AF573*Przelicznik_GJ_tona</f>
        <v/>
      </c>
      <c r="AH573" s="20">
        <f>IF(UPPER(AD573)="SKORYGOWANY",0,IF(OR(UPPER(E573)="TRANSPORT",UPPER(E573)="MM"),0,IF(UPPER(G573)&lt;&gt;"TAK",0,IF(OR(UPPER(E573)="ZAKUP",UPPER(E573)="PRODUKCJA"),AE573,IF(OR(UPPER(E573)="SPRZEDAŻ",UPPER(E573)="ZUŻYCIE"),-AE573,0)))))</f>
        <v/>
      </c>
      <c r="AI573" s="20">
        <f>IF(UPPER(AD573)="SKORYGOWANY",0,IF(OR(UPPER(E573)="TRANSPORT",UPPER(E573)="MM"),0,IF(UPPER(G573)&lt;&gt;"TAK",0,IF(OR(UPPER(E573)="ZAKUP",UPPER(E573)="PRODUKCJA"),AF573,IF(OR(UPPER(E573)="SPRZEDAŻ",UPPER(E573)="ZUŻYCIE"),-AF573,0)))))</f>
        <v/>
      </c>
      <c r="AJ573" s="21">
        <f>IF(UPPER(AD573)="SKORYGOWANY",0,IF(UPPER(E573)="ZAKUP",IF(L573&lt;&gt;"",L573,I573*K573),0))</f>
        <v/>
      </c>
      <c r="AK573" s="21">
        <f>IF(UPPER(AD573)="SKORYGOWANY",0,IF(UPPER(E573)="SPRZEDAŻ",IF(L573&lt;&gt;"",L573,I573*M573),0))</f>
        <v/>
      </c>
      <c r="AL573" s="21">
        <f>AE573*Q573</f>
        <v/>
      </c>
      <c r="AM573">
        <f>IF(R573="","",IF(LOWER(R573)="brak","Brak",IF(OR(ISNUMBER(SEARCH("własn",LOWER(R573))),ISNUMBER(SEARCH("wlasn",LOWER(R573))),ISNUMBER(SEARCH("wojciechowski",LOWER(R573)))),"Własny","Zewnętrzny")))</f>
        <v/>
      </c>
      <c r="AN573" s="24">
        <f>IF(C573="","",YEAR(C573))</f>
        <v/>
      </c>
      <c r="AO573" s="24">
        <f>IF(C573="","",MONTH(C573))</f>
        <v/>
      </c>
      <c r="AP573">
        <f>IF(C573="","",UPPER(TEXT(C573,"mmmm")))</f>
        <v/>
      </c>
      <c r="AQ573">
        <f>IF(C573="","","Q"&amp;ROUNDUP(MONTH(C573)/3,0))</f>
        <v/>
      </c>
    </row>
    <row r="574">
      <c r="A574" s="19" t="n">
        <v>46265</v>
      </c>
      <c r="C574" s="19" t="n">
        <v>46265</v>
      </c>
      <c r="D574" t="inlineStr">
        <is>
          <t>NDL Rudziniec, Leśnictwo Nogowczyce</t>
        </is>
      </c>
      <c r="E574" t="inlineStr">
        <is>
          <t>ZAKUP</t>
        </is>
      </c>
      <c r="F574" t="inlineStr">
        <is>
          <t>PZ/125  7/202640547/6121</t>
        </is>
      </c>
      <c r="G574" t="inlineStr">
        <is>
          <t>TAK</t>
        </is>
      </c>
      <c r="H574" t="inlineStr">
        <is>
          <t>Deklaracja</t>
        </is>
      </c>
      <c r="I574" s="20" t="n">
        <v>20</v>
      </c>
      <c r="J574" t="inlineStr">
        <is>
          <t>M3</t>
        </is>
      </c>
      <c r="K574" s="21" t="n">
        <v>0</v>
      </c>
      <c r="L574" s="21" t="n">
        <v>0</v>
      </c>
      <c r="M574" s="21" t="n">
        <v>0</v>
      </c>
      <c r="N574" t="inlineStr">
        <is>
          <t>Drewno opałowe z lasu</t>
        </is>
      </c>
      <c r="Q574" s="21" t="n">
        <v>0</v>
      </c>
      <c r="T574" s="22" t="n">
        <v>0</v>
      </c>
      <c r="U574" s="21" t="n">
        <v>0</v>
      </c>
      <c r="V574" s="21" t="n">
        <v>0</v>
      </c>
      <c r="W574" t="inlineStr">
        <is>
          <t>Magazyn Zabrze</t>
        </is>
      </c>
      <c r="Z574" t="inlineStr">
        <is>
          <t>Roesner Mateusz</t>
        </is>
      </c>
      <c r="AA574" s="23" t="n">
        <v>46266.28143518518</v>
      </c>
      <c r="AB574" t="inlineStr">
        <is>
          <t>OP-MIGR-00573</t>
        </is>
      </c>
      <c r="AD574" t="inlineStr">
        <is>
          <t>AKTYWNY</t>
        </is>
      </c>
      <c r="AE574" s="20">
        <f>IF(I574="",0,IF(ISNUMBER(SEARCH("MP",UPPER(J574))),I574,IF(ISNUMBER(SEARCH("TON",UPPER(J574))),I574/Przelicznik_MP_tona,IF(ISNUMBER(SEARCH("M3",UPPER(J574))),I574*Przelicznik_M3_MP,IF(ISNUMBER(SEARCH("GJ",UPPER(J574))),I574/Przelicznik_GJ_tona/Przelicznik_MP_tona,I574)))))</f>
        <v/>
      </c>
      <c r="AF574" s="20">
        <f>IF(I574="",0,IF(ISNUMBER(SEARCH("TON",UPPER(J574))),I574,IF(ISNUMBER(SEARCH("GJ",UPPER(J574))),I574/Przelicznik_GJ_tona,AE574*Przelicznik_MP_tona)))</f>
        <v/>
      </c>
      <c r="AG574" s="20">
        <f>AF574*Przelicznik_GJ_tona</f>
        <v/>
      </c>
      <c r="AH574" s="20">
        <f>IF(UPPER(AD574)="SKORYGOWANY",0,IF(OR(UPPER(E574)="TRANSPORT",UPPER(E574)="MM"),0,IF(UPPER(G574)&lt;&gt;"TAK",0,IF(OR(UPPER(E574)="ZAKUP",UPPER(E574)="PRODUKCJA"),AE574,IF(OR(UPPER(E574)="SPRZEDAŻ",UPPER(E574)="ZUŻYCIE"),-AE574,0)))))</f>
        <v/>
      </c>
      <c r="AI574" s="20">
        <f>IF(UPPER(AD574)="SKORYGOWANY",0,IF(OR(UPPER(E574)="TRANSPORT",UPPER(E574)="MM"),0,IF(UPPER(G574)&lt;&gt;"TAK",0,IF(OR(UPPER(E574)="ZAKUP",UPPER(E574)="PRODUKCJA"),AF574,IF(OR(UPPER(E574)="SPRZEDAŻ",UPPER(E574)="ZUŻYCIE"),-AF574,0)))))</f>
        <v/>
      </c>
      <c r="AJ574" s="21">
        <f>IF(UPPER(AD574)="SKORYGOWANY",0,IF(UPPER(E574)="ZAKUP",IF(L574&lt;&gt;"",L574,I574*K574),0))</f>
        <v/>
      </c>
      <c r="AK574" s="21">
        <f>IF(UPPER(AD574)="SKORYGOWANY",0,IF(UPPER(E574)="SPRZEDAŻ",IF(L574&lt;&gt;"",L574,I574*M574),0))</f>
        <v/>
      </c>
      <c r="AL574" s="21">
        <f>AE574*Q574</f>
        <v/>
      </c>
      <c r="AM574">
        <f>IF(R574="","",IF(LOWER(R574)="brak","Brak",IF(OR(ISNUMBER(SEARCH("własn",LOWER(R574))),ISNUMBER(SEARCH("wlasn",LOWER(R574))),ISNUMBER(SEARCH("wojciechowski",LOWER(R574)))),"Własny","Zewnętrzny")))</f>
        <v/>
      </c>
      <c r="AN574" s="24">
        <f>IF(C574="","",YEAR(C574))</f>
        <v/>
      </c>
      <c r="AO574" s="24">
        <f>IF(C574="","",MONTH(C574))</f>
        <v/>
      </c>
      <c r="AP574">
        <f>IF(C574="","",UPPER(TEXT(C574,"mmmm")))</f>
        <v/>
      </c>
      <c r="AQ574">
        <f>IF(C574="","","Q"&amp;ROUNDUP(MONTH(C574)/3,0))</f>
        <v/>
      </c>
    </row>
    <row r="575">
      <c r="A575" s="19" t="n">
        <v>46265</v>
      </c>
      <c r="C575" s="19" t="n">
        <v>46265</v>
      </c>
      <c r="D575" t="inlineStr">
        <is>
          <t>Magazyn Zabrze</t>
        </is>
      </c>
      <c r="E575" t="inlineStr">
        <is>
          <t>PRODUKCJA</t>
        </is>
      </c>
      <c r="F575" t="inlineStr">
        <is>
          <t>PZ/125</t>
        </is>
      </c>
      <c r="G575" t="inlineStr">
        <is>
          <t>TAK</t>
        </is>
      </c>
      <c r="H575" t="inlineStr">
        <is>
          <t>Deklaracja</t>
        </is>
      </c>
      <c r="I575" s="20" t="n">
        <v>80</v>
      </c>
      <c r="J575" t="inlineStr">
        <is>
          <t>MP</t>
        </is>
      </c>
      <c r="K575" s="21" t="n">
        <v>0</v>
      </c>
      <c r="L575" s="21" t="n">
        <v>0</v>
      </c>
      <c r="M575" s="21" t="n">
        <v>0</v>
      </c>
      <c r="N575" t="inlineStr">
        <is>
          <t>Zrębka Produkcyjna Leśna</t>
        </is>
      </c>
      <c r="O575" t="inlineStr">
        <is>
          <t>B</t>
        </is>
      </c>
      <c r="P575" t="inlineStr">
        <is>
          <t>własne</t>
        </is>
      </c>
      <c r="Q575" s="21" t="n">
        <v>10</v>
      </c>
      <c r="T575" s="22" t="n">
        <v>0</v>
      </c>
      <c r="U575" s="21" t="n">
        <v>0</v>
      </c>
      <c r="V575" s="21" t="n">
        <v>0</v>
      </c>
      <c r="W575" t="inlineStr">
        <is>
          <t>Magazyn Zabrze</t>
        </is>
      </c>
      <c r="Z575" t="inlineStr">
        <is>
          <t>Roesner Mateusz</t>
        </is>
      </c>
      <c r="AA575" s="23" t="n">
        <v>46266.28181712963</v>
      </c>
      <c r="AB575" t="inlineStr">
        <is>
          <t>OP-MIGR-00574</t>
        </is>
      </c>
      <c r="AD575" t="inlineStr">
        <is>
          <t>AKTYWNY</t>
        </is>
      </c>
      <c r="AE575" s="20">
        <f>IF(I575="",0,IF(ISNUMBER(SEARCH("MP",UPPER(J575))),I575,IF(ISNUMBER(SEARCH("TON",UPPER(J575))),I575/Przelicznik_MP_tona,IF(ISNUMBER(SEARCH("M3",UPPER(J575))),I575*Przelicznik_M3_MP,IF(ISNUMBER(SEARCH("GJ",UPPER(J575))),I575/Przelicznik_GJ_tona/Przelicznik_MP_tona,I575)))))</f>
        <v/>
      </c>
      <c r="AF575" s="20">
        <f>IF(I575="",0,IF(ISNUMBER(SEARCH("TON",UPPER(J575))),I575,IF(ISNUMBER(SEARCH("GJ",UPPER(J575))),I575/Przelicznik_GJ_tona,AE575*Przelicznik_MP_tona)))</f>
        <v/>
      </c>
      <c r="AG575" s="20">
        <f>AF575*Przelicznik_GJ_tona</f>
        <v/>
      </c>
      <c r="AH575" s="20">
        <f>IF(UPPER(AD575)="SKORYGOWANY",0,IF(OR(UPPER(E575)="TRANSPORT",UPPER(E575)="MM"),0,IF(UPPER(G575)&lt;&gt;"TAK",0,IF(OR(UPPER(E575)="ZAKUP",UPPER(E575)="PRODUKCJA"),AE575,IF(OR(UPPER(E575)="SPRZEDAŻ",UPPER(E575)="ZUŻYCIE"),-AE575,0)))))</f>
        <v/>
      </c>
      <c r="AI575" s="20">
        <f>IF(UPPER(AD575)="SKORYGOWANY",0,IF(OR(UPPER(E575)="TRANSPORT",UPPER(E575)="MM"),0,IF(UPPER(G575)&lt;&gt;"TAK",0,IF(OR(UPPER(E575)="ZAKUP",UPPER(E575)="PRODUKCJA"),AF575,IF(OR(UPPER(E575)="SPRZEDAŻ",UPPER(E575)="ZUŻYCIE"),-AF575,0)))))</f>
        <v/>
      </c>
      <c r="AJ575" s="21">
        <f>IF(UPPER(AD575)="SKORYGOWANY",0,IF(UPPER(E575)="ZAKUP",IF(L575&lt;&gt;"",L575,I575*K575),0))</f>
        <v/>
      </c>
      <c r="AK575" s="21">
        <f>IF(UPPER(AD575)="SKORYGOWANY",0,IF(UPPER(E575)="SPRZEDAŻ",IF(L575&lt;&gt;"",L575,I575*M575),0))</f>
        <v/>
      </c>
      <c r="AL575" s="21">
        <f>AE575*Q575</f>
        <v/>
      </c>
      <c r="AM575">
        <f>IF(R575="","",IF(LOWER(R575)="brak","Brak",IF(OR(ISNUMBER(SEARCH("własn",LOWER(R575))),ISNUMBER(SEARCH("wlasn",LOWER(R575))),ISNUMBER(SEARCH("wojciechowski",LOWER(R575)))),"Własny","Zewnętrzny")))</f>
        <v/>
      </c>
      <c r="AN575" s="24">
        <f>IF(C575="","",YEAR(C575))</f>
        <v/>
      </c>
      <c r="AO575" s="24">
        <f>IF(C575="","",MONTH(C575))</f>
        <v/>
      </c>
      <c r="AP575">
        <f>IF(C575="","",UPPER(TEXT(C575,"mmmm")))</f>
        <v/>
      </c>
      <c r="AQ575">
        <f>IF(C575="","","Q"&amp;ROUNDUP(MONTH(C575)/3,0))</f>
        <v/>
      </c>
    </row>
    <row r="576">
      <c r="A576" s="19" t="n">
        <v>46265</v>
      </c>
      <c r="C576" s="19" t="n">
        <v>46265</v>
      </c>
      <c r="D576" t="inlineStr">
        <is>
          <t>Magazyn Zabrze</t>
        </is>
      </c>
      <c r="E576" t="inlineStr">
        <is>
          <t>ZUŻYCIE</t>
        </is>
      </c>
      <c r="F576" t="inlineStr">
        <is>
          <t>PZ/125</t>
        </is>
      </c>
      <c r="G576" t="inlineStr">
        <is>
          <t>TAK</t>
        </is>
      </c>
      <c r="H576" t="inlineStr">
        <is>
          <t>Deklaracja</t>
        </is>
      </c>
      <c r="I576" s="20" t="n">
        <v>80</v>
      </c>
      <c r="J576" t="inlineStr">
        <is>
          <t>MP</t>
        </is>
      </c>
      <c r="K576" s="21" t="n">
        <v>0</v>
      </c>
      <c r="L576" s="21" t="n">
        <v>0</v>
      </c>
      <c r="M576" s="21" t="n">
        <v>0</v>
      </c>
      <c r="N576" t="inlineStr">
        <is>
          <t>Zrębka Produkcyjna Leśna</t>
        </is>
      </c>
      <c r="O576" t="inlineStr">
        <is>
          <t>B</t>
        </is>
      </c>
      <c r="P576" t="inlineStr">
        <is>
          <t>własne</t>
        </is>
      </c>
      <c r="Q576" s="21" t="n">
        <v>10</v>
      </c>
      <c r="T576" s="22" t="n">
        <v>0</v>
      </c>
      <c r="U576" s="21" t="n">
        <v>0</v>
      </c>
      <c r="V576" s="21" t="n">
        <v>0</v>
      </c>
      <c r="W576" t="inlineStr">
        <is>
          <t>Magazyn Zabrze</t>
        </is>
      </c>
      <c r="Y576" t="inlineStr">
        <is>
          <t>Automatyczne zużycie surowca do produkcji</t>
        </is>
      </c>
      <c r="AA576" s="23" t="n">
        <v>46266.28181712963</v>
      </c>
      <c r="AB576" t="inlineStr">
        <is>
          <t>OP-MIGR-00575</t>
        </is>
      </c>
      <c r="AD576" t="inlineStr">
        <is>
          <t>AKTYWNY</t>
        </is>
      </c>
      <c r="AE576" s="20">
        <f>IF(I576="",0,IF(ISNUMBER(SEARCH("MP",UPPER(J576))),I576,IF(ISNUMBER(SEARCH("TON",UPPER(J576))),I576/Przelicznik_MP_tona,IF(ISNUMBER(SEARCH("M3",UPPER(J576))),I576*Przelicznik_M3_MP,IF(ISNUMBER(SEARCH("GJ",UPPER(J576))),I576/Przelicznik_GJ_tona/Przelicznik_MP_tona,I576)))))</f>
        <v/>
      </c>
      <c r="AF576" s="20">
        <f>IF(I576="",0,IF(ISNUMBER(SEARCH("TON",UPPER(J576))),I576,IF(ISNUMBER(SEARCH("GJ",UPPER(J576))),I576/Przelicznik_GJ_tona,AE576*Przelicznik_MP_tona)))</f>
        <v/>
      </c>
      <c r="AG576" s="20">
        <f>AF576*Przelicznik_GJ_tona</f>
        <v/>
      </c>
      <c r="AH576" s="20">
        <f>IF(UPPER(AD576)="SKORYGOWANY",0,IF(OR(UPPER(E576)="TRANSPORT",UPPER(E576)="MM"),0,IF(UPPER(G576)&lt;&gt;"TAK",0,IF(OR(UPPER(E576)="ZAKUP",UPPER(E576)="PRODUKCJA"),AE576,IF(OR(UPPER(E576)="SPRZEDAŻ",UPPER(E576)="ZUŻYCIE"),-AE576,0)))))</f>
        <v/>
      </c>
      <c r="AI576" s="20">
        <f>IF(UPPER(AD576)="SKORYGOWANY",0,IF(OR(UPPER(E576)="TRANSPORT",UPPER(E576)="MM"),0,IF(UPPER(G576)&lt;&gt;"TAK",0,IF(OR(UPPER(E576)="ZAKUP",UPPER(E576)="PRODUKCJA"),AF576,IF(OR(UPPER(E576)="SPRZEDAŻ",UPPER(E576)="ZUŻYCIE"),-AF576,0)))))</f>
        <v/>
      </c>
      <c r="AJ576" s="21">
        <f>IF(UPPER(AD576)="SKORYGOWANY",0,IF(UPPER(E576)="ZAKUP",IF(L576&lt;&gt;"",L576,I576*K576),0))</f>
        <v/>
      </c>
      <c r="AK576" s="21">
        <f>IF(UPPER(AD576)="SKORYGOWANY",0,IF(UPPER(E576)="SPRZEDAŻ",IF(L576&lt;&gt;"",L576,I576*M576),0))</f>
        <v/>
      </c>
      <c r="AL576" s="21">
        <f>AE576*Q576</f>
        <v/>
      </c>
      <c r="AM576">
        <f>IF(R576="","",IF(LOWER(R576)="brak","Brak",IF(OR(ISNUMBER(SEARCH("własn",LOWER(R576))),ISNUMBER(SEARCH("wlasn",LOWER(R576))),ISNUMBER(SEARCH("wojciechowski",LOWER(R576)))),"Własny","Zewnętrzny")))</f>
        <v/>
      </c>
      <c r="AN576" s="24">
        <f>IF(C576="","",YEAR(C576))</f>
        <v/>
      </c>
      <c r="AO576" s="24">
        <f>IF(C576="","",MONTH(C576))</f>
        <v/>
      </c>
      <c r="AP576">
        <f>IF(C576="","",UPPER(TEXT(C576,"mmmm")))</f>
        <v/>
      </c>
      <c r="AQ576">
        <f>IF(C576="","","Q"&amp;ROUNDUP(MONTH(C576)/3,0))</f>
        <v/>
      </c>
    </row>
    <row r="577">
      <c r="A577" s="19" t="n">
        <v>46265</v>
      </c>
      <c r="B577" t="inlineStr">
        <is>
          <t>Rudziniec</t>
        </is>
      </c>
      <c r="C577" s="19" t="n">
        <v>46265</v>
      </c>
      <c r="D577" t="inlineStr">
        <is>
          <t>Magazyn Zabrze</t>
        </is>
      </c>
      <c r="E577" t="inlineStr">
        <is>
          <t>ZAKUP</t>
        </is>
      </c>
      <c r="F577" t="inlineStr">
        <is>
          <t>PZ/125</t>
        </is>
      </c>
      <c r="G577" t="inlineStr">
        <is>
          <t>TAK</t>
        </is>
      </c>
      <c r="H577" t="inlineStr">
        <is>
          <t>Deklaracja</t>
        </is>
      </c>
      <c r="I577" s="20" t="n">
        <v>80</v>
      </c>
      <c r="J577" t="inlineStr">
        <is>
          <t>MP</t>
        </is>
      </c>
      <c r="K577" s="21" t="n">
        <v>0</v>
      </c>
      <c r="L577" s="21" t="n">
        <v>0</v>
      </c>
      <c r="M577" s="21" t="n">
        <v>0</v>
      </c>
      <c r="N577" t="inlineStr">
        <is>
          <t>Zrębka Produkcyjna Leśna</t>
        </is>
      </c>
      <c r="O577" t="inlineStr">
        <is>
          <t>B</t>
        </is>
      </c>
      <c r="Q577" s="21" t="n">
        <v>0</v>
      </c>
      <c r="R577" t="inlineStr">
        <is>
          <t>własny (Wilczak)</t>
        </is>
      </c>
      <c r="S577" t="inlineStr">
        <is>
          <t>SK 7J884</t>
        </is>
      </c>
      <c r="T577" s="22" t="n">
        <v>120</v>
      </c>
      <c r="U577" s="21" t="n">
        <v>4.17</v>
      </c>
      <c r="V577" s="21" t="n">
        <v>500</v>
      </c>
      <c r="W577" t="inlineStr">
        <is>
          <t>Magazyn Zabrze</t>
        </is>
      </c>
      <c r="Z577" t="inlineStr">
        <is>
          <t>Roesner Mateusz</t>
        </is>
      </c>
      <c r="AA577" s="23" t="n">
        <v>46266.28241898148</v>
      </c>
      <c r="AB577" t="inlineStr">
        <is>
          <t>OP-MIGR-00576</t>
        </is>
      </c>
      <c r="AD577" t="inlineStr">
        <is>
          <t>AKTYWNY</t>
        </is>
      </c>
      <c r="AE577" s="20">
        <f>IF(I577="",0,IF(ISNUMBER(SEARCH("MP",UPPER(J577))),I577,IF(ISNUMBER(SEARCH("TON",UPPER(J577))),I577/Przelicznik_MP_tona,IF(ISNUMBER(SEARCH("M3",UPPER(J577))),I577*Przelicznik_M3_MP,IF(ISNUMBER(SEARCH("GJ",UPPER(J577))),I577/Przelicznik_GJ_tona/Przelicznik_MP_tona,I577)))))</f>
        <v/>
      </c>
      <c r="AF577" s="20">
        <f>IF(I577="",0,IF(ISNUMBER(SEARCH("TON",UPPER(J577))),I577,IF(ISNUMBER(SEARCH("GJ",UPPER(J577))),I577/Przelicznik_GJ_tona,AE577*Przelicznik_MP_tona)))</f>
        <v/>
      </c>
      <c r="AG577" s="20">
        <f>AF577*Przelicznik_GJ_tona</f>
        <v/>
      </c>
      <c r="AH577" s="20">
        <f>IF(UPPER(AD577)="SKORYGOWANY",0,IF(OR(UPPER(E577)="TRANSPORT",UPPER(E577)="MM"),0,IF(UPPER(G577)&lt;&gt;"TAK",0,IF(OR(UPPER(E577)="ZAKUP",UPPER(E577)="PRODUKCJA"),AE577,IF(OR(UPPER(E577)="SPRZEDAŻ",UPPER(E577)="ZUŻYCIE"),-AE577,0)))))</f>
        <v/>
      </c>
      <c r="AI577" s="20">
        <f>IF(UPPER(AD577)="SKORYGOWANY",0,IF(OR(UPPER(E577)="TRANSPORT",UPPER(E577)="MM"),0,IF(UPPER(G577)&lt;&gt;"TAK",0,IF(OR(UPPER(E577)="ZAKUP",UPPER(E577)="PRODUKCJA"),AF577,IF(OR(UPPER(E577)="SPRZEDAŻ",UPPER(E577)="ZUŻYCIE"),-AF577,0)))))</f>
        <v/>
      </c>
      <c r="AJ577" s="21">
        <f>IF(UPPER(AD577)="SKORYGOWANY",0,IF(UPPER(E577)="ZAKUP",IF(L577&lt;&gt;"",L577,I577*K577),0))</f>
        <v/>
      </c>
      <c r="AK577" s="21">
        <f>IF(UPPER(AD577)="SKORYGOWANY",0,IF(UPPER(E577)="SPRZEDAŻ",IF(L577&lt;&gt;"",L577,I577*M577),0))</f>
        <v/>
      </c>
      <c r="AL577" s="21">
        <f>AE577*Q577</f>
        <v/>
      </c>
      <c r="AM577">
        <f>IF(R577="","",IF(LOWER(R577)="brak","Brak",IF(OR(ISNUMBER(SEARCH("własn",LOWER(R577))),ISNUMBER(SEARCH("wlasn",LOWER(R577))),ISNUMBER(SEARCH("wojciechowski",LOWER(R577)))),"Własny","Zewnętrzny")))</f>
        <v/>
      </c>
      <c r="AN577" s="24">
        <f>IF(C577="","",YEAR(C577))</f>
        <v/>
      </c>
      <c r="AO577" s="24">
        <f>IF(C577="","",MONTH(C577))</f>
        <v/>
      </c>
      <c r="AP577">
        <f>IF(C577="","",UPPER(TEXT(C577,"mmmm")))</f>
        <v/>
      </c>
      <c r="AQ577">
        <f>IF(C577="","","Q"&amp;ROUNDUP(MONTH(C577)/3,0))</f>
        <v/>
      </c>
    </row>
    <row r="578">
      <c r="A578" s="19" t="n">
        <v>46265</v>
      </c>
      <c r="B578" t="inlineStr">
        <is>
          <t>Magazyn Brąszewice</t>
        </is>
      </c>
      <c r="C578" s="19" t="n">
        <v>46265</v>
      </c>
      <c r="D578" t="inlineStr">
        <is>
          <t>Magazyn Brąszewice</t>
        </is>
      </c>
      <c r="E578" t="inlineStr">
        <is>
          <t>MM</t>
        </is>
      </c>
      <c r="F578" t="inlineStr">
        <is>
          <t>MM-78</t>
        </is>
      </c>
      <c r="G578" t="inlineStr">
        <is>
          <t>TAK</t>
        </is>
      </c>
      <c r="I578" s="20" t="n">
        <v>85</v>
      </c>
      <c r="J578" t="inlineStr">
        <is>
          <t>MP</t>
        </is>
      </c>
      <c r="K578" s="21" t="n">
        <v>0</v>
      </c>
      <c r="L578" s="21" t="n">
        <v>0</v>
      </c>
      <c r="M578" s="21" t="n">
        <v>0</v>
      </c>
      <c r="N578" t="inlineStr">
        <is>
          <t>Zrębka Produkcyjna Drzewna</t>
        </is>
      </c>
      <c r="Q578" s="21" t="n">
        <v>0</v>
      </c>
      <c r="R578" t="inlineStr">
        <is>
          <t>własny (Łukasz Wojciechowski)</t>
        </is>
      </c>
      <c r="S578" t="inlineStr">
        <is>
          <t>SK 4K625</t>
        </is>
      </c>
      <c r="T578" s="22" t="n">
        <v>800</v>
      </c>
      <c r="U578" s="21" t="n">
        <v>0.2</v>
      </c>
      <c r="V578" s="21" t="n">
        <v>160</v>
      </c>
      <c r="W578" t="inlineStr">
        <is>
          <t>Magazyn Zabrze</t>
        </is>
      </c>
      <c r="X578" t="inlineStr">
        <is>
          <t>Magazyn Brąszewice</t>
        </is>
      </c>
      <c r="Z578" t="inlineStr">
        <is>
          <t>Roesner Mateusz</t>
        </is>
      </c>
      <c r="AA578" s="23" t="n">
        <v>46266.38944444444</v>
      </c>
      <c r="AB578" t="inlineStr">
        <is>
          <t>OP-MIGR-00577</t>
        </is>
      </c>
      <c r="AD578" t="inlineStr">
        <is>
          <t>AKTYWNY</t>
        </is>
      </c>
      <c r="AE578" s="20">
        <f>IF(I578="",0,IF(ISNUMBER(SEARCH("MP",UPPER(J578))),I578,IF(ISNUMBER(SEARCH("TON",UPPER(J578))),I578/Przelicznik_MP_tona,IF(ISNUMBER(SEARCH("M3",UPPER(J578))),I578*Przelicznik_M3_MP,IF(ISNUMBER(SEARCH("GJ",UPPER(J578))),I578/Przelicznik_GJ_tona/Przelicznik_MP_tona,I578)))))</f>
        <v/>
      </c>
      <c r="AF578" s="20">
        <f>IF(I578="",0,IF(ISNUMBER(SEARCH("TON",UPPER(J578))),I578,IF(ISNUMBER(SEARCH("GJ",UPPER(J578))),I578/Przelicznik_GJ_tona,AE578*Przelicznik_MP_tona)))</f>
        <v/>
      </c>
      <c r="AG578" s="20">
        <f>AF578*Przelicznik_GJ_tona</f>
        <v/>
      </c>
      <c r="AH578" s="20">
        <f>IF(UPPER(AD578)="SKORYGOWANY",0,IF(OR(UPPER(E578)="TRANSPORT",UPPER(E578)="MM"),0,IF(UPPER(G578)&lt;&gt;"TAK",0,IF(OR(UPPER(E578)="ZAKUP",UPPER(E578)="PRODUKCJA"),AE578,IF(OR(UPPER(E578)="SPRZEDAŻ",UPPER(E578)="ZUŻYCIE"),-AE578,0)))))</f>
        <v/>
      </c>
      <c r="AI578" s="20">
        <f>IF(UPPER(AD578)="SKORYGOWANY",0,IF(OR(UPPER(E578)="TRANSPORT",UPPER(E578)="MM"),0,IF(UPPER(G578)&lt;&gt;"TAK",0,IF(OR(UPPER(E578)="ZAKUP",UPPER(E578)="PRODUKCJA"),AF578,IF(OR(UPPER(E578)="SPRZEDAŻ",UPPER(E578)="ZUŻYCIE"),-AF578,0)))))</f>
        <v/>
      </c>
      <c r="AJ578" s="21">
        <f>IF(UPPER(AD578)="SKORYGOWANY",0,IF(UPPER(E578)="ZAKUP",IF(L578&lt;&gt;"",L578,I578*K578),0))</f>
        <v/>
      </c>
      <c r="AK578" s="21">
        <f>IF(UPPER(AD578)="SKORYGOWANY",0,IF(UPPER(E578)="SPRZEDAŻ",IF(L578&lt;&gt;"",L578,I578*M578),0))</f>
        <v/>
      </c>
      <c r="AL578" s="21">
        <f>AE578*Q578</f>
        <v/>
      </c>
      <c r="AM578">
        <f>IF(R578="","",IF(LOWER(R578)="brak","Brak",IF(OR(ISNUMBER(SEARCH("własn",LOWER(R578))),ISNUMBER(SEARCH("wlasn",LOWER(R578))),ISNUMBER(SEARCH("wojciechowski",LOWER(R578)))),"Własny","Zewnętrzny")))</f>
        <v/>
      </c>
      <c r="AN578" s="24">
        <f>IF(C578="","",YEAR(C578))</f>
        <v/>
      </c>
      <c r="AO578" s="24">
        <f>IF(C578="","",MONTH(C578))</f>
        <v/>
      </c>
      <c r="AP578">
        <f>IF(C578="","",UPPER(TEXT(C578,"mmmm")))</f>
        <v/>
      </c>
      <c r="AQ578">
        <f>IF(C578="","","Q"&amp;ROUNDUP(MONTH(C578)/3,0))</f>
        <v/>
      </c>
    </row>
  </sheetData>
  <conditionalFormatting sqref="A2:AQ578">
    <cfRule type="cellIs" priority="1" operator="equal" dxfId="0" stopIfTrue="0">
      <formula>"SKORYGOWANY"</formula>
    </cfRule>
  </conditionalFormatting>
  <dataValidations count="15">
    <dataValidation sqref="B2:B5000" showDropDown="0" showInputMessage="0" showErrorMessage="0" allowBlank="1" errorTitle="Wartość spoza słownika" error="Wartość spoza słownika - zostanie do niego dopisana przy najbliższym odświeżeniu." type="list" errorStyle="information">
      <formula1>sl_MIEJSCE</formula1>
    </dataValidation>
    <dataValidation sqref="D2:D5000" showDropDown="0" showInputMessage="0" showErrorMessage="0" allowBlank="1" errorTitle="Wartość spoza słownika" error="Wartość spoza słownika - zostanie do niego dopisana przy najbliższym odświeżeniu." type="list" errorStyle="information">
      <formula1>sl_DOSTAWCA</formula1>
    </dataValidation>
    <dataValidation sqref="E2:E5000" showDropDown="0" showInputMessage="0" showErrorMessage="0" allowBlank="1" errorTitle="Wartość spoza słownika" error="Wartość spoza słownika - zostanie do niego dopisana przy najbliższym odświeżeniu." type="list" errorStyle="information">
      <formula1>sl_TYP_OPERACJI</formula1>
    </dataValidation>
    <dataValidation sqref="G2:G5000" showDropDown="0" showInputMessage="0" showErrorMessage="0" allowBlank="1" errorTitle="Wartość spoza słownika" error="Wartość spoza słownika - zostanie do niego dopisana przy najbliższym odświeżeniu." type="list" errorStyle="information">
      <formula1>sl_TAK_NIE</formula1>
    </dataValidation>
    <dataValidation sqref="H2:H5000" showDropDown="0" showInputMessage="0" showErrorMessage="0" allowBlank="1" errorTitle="Wartość spoza słownika" error="Wartość spoza słownika - zostanie do niego dopisana przy najbliższym odświeżeniu." type="list" errorStyle="information">
      <formula1>sl_DEKLARACJA</formula1>
    </dataValidation>
    <dataValidation sqref="J2:J5000" showDropDown="0" showInputMessage="0" showErrorMessage="0" allowBlank="1" errorTitle="Wartość spoza słownika" error="Wartość spoza słownika - zostanie do niego dopisana przy najbliższym odświeżeniu." type="list" errorStyle="information">
      <formula1>sl_JEDNOSTKA</formula1>
    </dataValidation>
    <dataValidation sqref="N2:N5000" showDropDown="0" showInputMessage="0" showErrorMessage="0" allowBlank="1" errorTitle="Wartość spoza słownika" error="Wartość spoza słownika - zostanie do niego dopisana przy najbliższym odświeżeniu." type="list" errorStyle="information">
      <formula1>sl_PRODUKT</formula1>
    </dataValidation>
    <dataValidation sqref="O2:O5000" showDropDown="0" showInputMessage="0" showErrorMessage="0" allowBlank="1" errorTitle="Wartość spoza słownika" error="Wartość spoza słownika - zostanie do niego dopisana przy najbliższym odświeżeniu." type="list" errorStyle="information">
      <formula1>sl_ZREBKA</formula1>
    </dataValidation>
    <dataValidation sqref="P2:P5000" showDropDown="0" showInputMessage="0" showErrorMessage="0" allowBlank="1" errorTitle="Wartość spoza słownika" error="Wartość spoza słownika - zostanie do niego dopisana przy najbliższym odświeżeniu." type="list" errorStyle="information">
      <formula1>sl_RABANIE</formula1>
    </dataValidation>
    <dataValidation sqref="R2:R5000" showDropDown="0" showInputMessage="0" showErrorMessage="0" allowBlank="1" errorTitle="Wartość spoza słownika" error="Wartość spoza słownika - zostanie do niego dopisana przy najbliższym odświeżeniu." type="list" errorStyle="information">
      <formula1>sl_PRZEWOZNIK</formula1>
    </dataValidation>
    <dataValidation sqref="S2:S5000" showDropDown="0" showInputMessage="0" showErrorMessage="0" allowBlank="1" errorTitle="Wartość spoza słownika" error="Wartość spoza słownika - zostanie do niego dopisana przy najbliższym odświeżeniu." type="list" errorStyle="information">
      <formula1>sl_POJAZD</formula1>
    </dataValidation>
    <dataValidation sqref="W2:W5000" showDropDown="0" showInputMessage="0" showErrorMessage="0" allowBlank="1" errorTitle="Wartość spoza słownika" error="Wartość spoza słownika - zostanie do niego dopisana przy najbliższym odświeżeniu." type="list" errorStyle="information">
      <formula1>sl_ODBIORCA</formula1>
    </dataValidation>
    <dataValidation sqref="X2:X5000" showDropDown="0" showInputMessage="0" showErrorMessage="0" allowBlank="1" errorTitle="Wartość spoza słownika" error="Wartość spoza słownika - zostanie do niego dopisana przy najbliższym odświeżeniu." type="list" errorStyle="information">
      <formula1>sl_MIEJSCE</formula1>
    </dataValidation>
    <dataValidation sqref="Z2:Z5000" showDropDown="0" showInputMessage="0" showErrorMessage="0" allowBlank="1" errorTitle="Wartość spoza słownika" error="Wartość spoza słownika - zostanie do niego dopisana przy najbliższym odświeżeniu." type="list" errorStyle="information">
      <formula1>sl_OPERATOR</formula1>
    </dataValidation>
    <dataValidation sqref="AD2:AD5000" showDropDown="0" showInputMessage="0" showErrorMessage="0" allowBlank="1" errorTitle="Wartość spoza słownika" error="Wartość spoza słownika - zostanie do niego dopisana przy najbliższym odświeżeniu." type="list" errorStyle="information">
      <formula1>sl_STATUS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wsMagazyn">
    <outlinePr summaryBelow="1" summaryRight="1"/>
    <pageSetUpPr/>
  </sheetPr>
  <dimension ref="B1:H6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34" customWidth="1" min="3" max="3"/>
    <col width="14" customWidth="1" min="4" max="4"/>
    <col width="14" customWidth="1" min="5" max="5"/>
    <col width="14" customWidth="1" min="6" max="6"/>
    <col width="16" customWidth="1" min="7" max="7"/>
    <col width="18" customWidth="1" min="8" max="8"/>
  </cols>
  <sheetData>
    <row r="1">
      <c r="B1" s="9" t="inlineStr">
        <is>
          <t>STAN MAGAZYNOWY</t>
        </is>
      </c>
    </row>
    <row r="2">
      <c r="F2" s="8" t="inlineStr">
        <is>
          <t>Przeliczono:</t>
        </is>
      </c>
      <c r="G2" s="23" t="n"/>
    </row>
    <row r="4">
      <c r="B4" s="4" t="inlineStr">
        <is>
          <t>RAZEM [MP]</t>
        </is>
      </c>
      <c r="C4" s="25" t="n"/>
      <c r="D4" s="4" t="inlineStr">
        <is>
          <t>RAZEM [tony]</t>
        </is>
      </c>
      <c r="E4" s="25" t="n"/>
      <c r="F4" s="4" t="inlineStr">
        <is>
          <t>RAZEM [GJ]</t>
        </is>
      </c>
      <c r="G4" s="25" t="n"/>
    </row>
    <row r="6" ht="26" customHeight="1">
      <c r="B6" s="26" t="inlineStr">
        <is>
          <t>Lokalizacja</t>
        </is>
      </c>
      <c r="C6" s="26" t="inlineStr">
        <is>
          <t>Produkt</t>
        </is>
      </c>
      <c r="D6" s="26" t="inlineStr">
        <is>
          <t>Stan [MP]</t>
        </is>
      </c>
      <c r="E6" s="26" t="inlineStr">
        <is>
          <t>Stan [tony]</t>
        </is>
      </c>
      <c r="F6" s="26" t="inlineStr">
        <is>
          <t>Stan [GJ]</t>
        </is>
      </c>
      <c r="G6" s="26" t="inlineStr">
        <is>
          <t>Wartość zakupu</t>
        </is>
      </c>
      <c r="H6" s="26" t="inlineStr">
        <is>
          <t>Ostatnia operacja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wsRaporty">
    <outlinePr summaryBelow="1" summaryRight="1"/>
    <pageSetUpPr/>
  </sheetPr>
  <dimension ref="B1:N10"/>
  <sheetViews>
    <sheetView showGridLines="0" workbookViewId="0">
      <pane ySplit="10" topLeftCell="A11" activePane="bottomLeft" state="frozen"/>
      <selection pane="bottomLeft" activeCell="A1" sqref="A1"/>
    </sheetView>
  </sheetViews>
  <sheetFormatPr baseColWidth="8" defaultRowHeight="15"/>
  <cols>
    <col width="2" customWidth="1" min="1" max="1"/>
    <col width="14" customWidth="1" min="2" max="2"/>
    <col width="16" customWidth="1" min="3" max="3"/>
    <col width="14" customWidth="1" min="4" max="4"/>
    <col width="16" customWidth="1" min="5" max="5"/>
    <col width="8" customWidth="1" min="6" max="6"/>
    <col width="16" customWidth="1" min="7" max="7"/>
    <col width="22" customWidth="1" min="8" max="8"/>
    <col width="22" customWidth="1" min="9" max="9"/>
    <col width="18" customWidth="1" min="10" max="10"/>
    <col width="16" customWidth="1" min="11" max="11"/>
    <col width="12" customWidth="1" min="12" max="12"/>
    <col width="18" customWidth="1" min="13" max="13"/>
    <col width="14" customWidth="1" min="14" max="14"/>
    <col width="3" customWidth="1" min="15" max="15"/>
    <col width="14" customWidth="1" min="16" max="16"/>
    <col width="14" customWidth="1" min="17" max="17"/>
    <col width="14" customWidth="1" min="18" max="18"/>
  </cols>
  <sheetData>
    <row r="1">
      <c r="B1" s="9" t="inlineStr">
        <is>
          <t>RAPORTY I ZESTAWIENIA</t>
        </is>
      </c>
    </row>
    <row r="3">
      <c r="B3" s="4" t="inlineStr">
        <is>
          <t>Rok</t>
        </is>
      </c>
      <c r="C3" s="27" t="n">
        <v>2026</v>
      </c>
      <c r="D3" s="4" t="inlineStr">
        <is>
          <t>Miesiąc</t>
        </is>
      </c>
      <c r="E3" s="27" t="inlineStr">
        <is>
          <t>WSZYSTKIE</t>
        </is>
      </c>
      <c r="F3" s="4" t="inlineStr">
        <is>
          <t>Typ operacji</t>
        </is>
      </c>
      <c r="G3" s="27" t="inlineStr">
        <is>
          <t>WSZYSTKIE</t>
        </is>
      </c>
    </row>
    <row r="4">
      <c r="B4" s="4" t="inlineStr">
        <is>
          <t>Produkt</t>
        </is>
      </c>
      <c r="C4" s="27" t="inlineStr">
        <is>
          <t>WSZYSTKIE</t>
        </is>
      </c>
      <c r="D4" s="4" t="inlineStr">
        <is>
          <t>Kontrahent</t>
        </is>
      </c>
      <c r="E4" s="27" t="inlineStr">
        <is>
          <t>WSZYSTKIE</t>
        </is>
      </c>
      <c r="F4" s="4" t="inlineStr">
        <is>
          <t>Lokalizacja</t>
        </is>
      </c>
      <c r="G4" s="27" t="inlineStr">
        <is>
          <t>WSZYSTKIE</t>
        </is>
      </c>
    </row>
    <row r="7">
      <c r="B7" s="4" t="inlineStr">
        <is>
          <t>Operacji</t>
        </is>
      </c>
      <c r="C7" s="28" t="n"/>
      <c r="D7" s="4" t="inlineStr">
        <is>
          <t>Wolumen [MP]</t>
        </is>
      </c>
      <c r="E7" s="29" t="n"/>
      <c r="F7" s="4" t="inlineStr">
        <is>
          <t>Wolumen [t]</t>
        </is>
      </c>
      <c r="G7" s="29" t="n"/>
      <c r="H7" s="4" t="inlineStr">
        <is>
          <t>Zakup</t>
        </is>
      </c>
      <c r="I7" s="30" t="n"/>
      <c r="J7" s="4" t="inlineStr">
        <is>
          <t>Sprzedaż</t>
        </is>
      </c>
      <c r="K7" s="30" t="n"/>
      <c r="L7" s="4" t="inlineStr">
        <is>
          <t>Transport</t>
        </is>
      </c>
      <c r="M7" s="30" t="n"/>
    </row>
    <row r="8">
      <c r="J8" s="4" t="inlineStr">
        <is>
          <t>Marża</t>
        </is>
      </c>
      <c r="K8" s="30" t="n"/>
      <c r="L8" s="4" t="inlineStr">
        <is>
          <t>Rąbanie</t>
        </is>
      </c>
      <c r="M8" s="30" t="n"/>
    </row>
    <row r="10" ht="26" customHeight="1">
      <c r="B10" s="18" t="inlineStr">
        <is>
          <t>Data</t>
        </is>
      </c>
      <c r="C10" s="18" t="inlineStr">
        <is>
          <t>Typ</t>
        </is>
      </c>
      <c r="D10" s="18" t="inlineStr">
        <is>
          <t>Produkt</t>
        </is>
      </c>
      <c r="E10" s="18" t="inlineStr">
        <is>
          <t>Wolumen</t>
        </is>
      </c>
      <c r="F10" s="18" t="inlineStr">
        <is>
          <t>JM</t>
        </is>
      </c>
      <c r="G10" s="18" t="inlineStr">
        <is>
          <t>Wartość</t>
        </is>
      </c>
      <c r="H10" s="18" t="inlineStr">
        <is>
          <t>Dostawca</t>
        </is>
      </c>
      <c r="I10" s="18" t="inlineStr">
        <is>
          <t>Odbiorca</t>
        </is>
      </c>
      <c r="J10" s="18" t="inlineStr">
        <is>
          <t>Przewoźnik</t>
        </is>
      </c>
      <c r="K10" s="18" t="inlineStr">
        <is>
          <t>Koszt transportu</t>
        </is>
      </c>
      <c r="L10" s="18" t="inlineStr">
        <is>
          <t>Nr WZ</t>
        </is>
      </c>
      <c r="M10" s="18" t="inlineStr">
        <is>
          <t>Utworzył</t>
        </is>
      </c>
      <c r="N10" s="18" t="inlineStr">
        <is>
          <t>Status</t>
        </is>
      </c>
    </row>
  </sheetData>
  <dataValidations count="1">
    <dataValidation sqref="E3" showDropDown="0" showInputMessage="0" showErrorMessage="0" allowBlank="1" type="list">
      <formula1>"WSZYSTKIE,STYCZEŃ,LUTY,MARZEC,KWIECIEŃ,MAJ,CZERWIEC,LIPIEC,SIERPIEŃ,WRZESIEŃ,PAŹDZIERNIK,LISTOPAD,GRUDZIEŃ"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wsSlownik">
    <outlinePr summaryBelow="1" summaryRight="1"/>
    <pageSetUpPr/>
  </sheetPr>
  <dimension ref="A1:N2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min="1" max="1"/>
    <col width="26" customWidth="1" min="2" max="2"/>
    <col width="26" customWidth="1" min="3" max="3"/>
    <col width="26" customWidth="1" min="4" max="4"/>
    <col width="26" customWidth="1" min="5" max="5"/>
    <col width="26" customWidth="1" min="6" max="6"/>
    <col width="26" customWidth="1" min="7" max="7"/>
    <col width="26" customWidth="1" min="8" max="8"/>
    <col width="26" customWidth="1" min="9" max="9"/>
    <col width="26" customWidth="1" min="10" max="10"/>
    <col width="26" customWidth="1" min="11" max="11"/>
    <col width="26" customWidth="1" min="12" max="12"/>
    <col width="26" customWidth="1" min="13" max="13"/>
    <col width="26" customWidth="1" min="14" max="14"/>
  </cols>
  <sheetData>
    <row r="1" ht="28" customHeight="1">
      <c r="A1" s="18" t="inlineStr">
        <is>
          <t>TYP_OPERACJI</t>
        </is>
      </c>
      <c r="B1" s="18" t="inlineStr">
        <is>
          <t>PRODUKT</t>
        </is>
      </c>
      <c r="C1" s="18" t="inlineStr">
        <is>
          <t>JEDNOSTKA</t>
        </is>
      </c>
      <c r="D1" s="18" t="inlineStr">
        <is>
          <t>DOSTAWCA</t>
        </is>
      </c>
      <c r="E1" s="18" t="inlineStr">
        <is>
          <t>ODBIORCA</t>
        </is>
      </c>
      <c r="F1" s="18" t="inlineStr">
        <is>
          <t>MIEJSCE</t>
        </is>
      </c>
      <c r="G1" s="18" t="inlineStr">
        <is>
          <t>PRZEWOZNIK</t>
        </is>
      </c>
      <c r="H1" s="18" t="inlineStr">
        <is>
          <t>POJAZD</t>
        </is>
      </c>
      <c r="I1" s="18" t="inlineStr">
        <is>
          <t>OPERATOR</t>
        </is>
      </c>
      <c r="J1" s="18" t="inlineStr">
        <is>
          <t>TAK_NIE</t>
        </is>
      </c>
      <c r="K1" s="18" t="inlineStr">
        <is>
          <t>DEKLARACJA</t>
        </is>
      </c>
      <c r="L1" s="18" t="inlineStr">
        <is>
          <t>ZREBKA</t>
        </is>
      </c>
      <c r="M1" s="18" t="inlineStr">
        <is>
          <t>RABANIE</t>
        </is>
      </c>
      <c r="N1" s="18" t="inlineStr">
        <is>
          <t>STATUS</t>
        </is>
      </c>
    </row>
    <row r="2">
      <c r="A2" s="31" t="inlineStr">
        <is>
          <t>ZAKUP</t>
        </is>
      </c>
      <c r="B2" s="31" t="inlineStr">
        <is>
          <t>CNCS</t>
        </is>
      </c>
      <c r="C2" s="31" t="inlineStr">
        <is>
          <t>GJ</t>
        </is>
      </c>
      <c r="D2" s="31" t="inlineStr">
        <is>
          <t>Drew-Lech</t>
        </is>
      </c>
      <c r="E2" s="31" t="inlineStr">
        <is>
          <t>Magazyn Pyskowice</t>
        </is>
      </c>
      <c r="F2" s="31" t="inlineStr">
        <is>
          <t>Brąszewice</t>
        </is>
      </c>
      <c r="G2" s="31" t="inlineStr">
        <is>
          <t>DB Cargo</t>
        </is>
      </c>
      <c r="H2" s="31" t="inlineStr">
        <is>
          <t>PY 30536</t>
        </is>
      </c>
      <c r="I2" s="31" t="inlineStr">
        <is>
          <t>Marcin Kwiatkowski</t>
        </is>
      </c>
      <c r="J2" s="31" t="inlineStr">
        <is>
          <t>TAK</t>
        </is>
      </c>
      <c r="K2" s="31" t="inlineStr">
        <is>
          <t>Deklaracja</t>
        </is>
      </c>
      <c r="L2" s="31" t="inlineStr">
        <is>
          <t>A</t>
        </is>
      </c>
      <c r="M2" s="31" t="inlineStr">
        <is>
          <t>ECO-Rest</t>
        </is>
      </c>
      <c r="N2" s="31" t="inlineStr">
        <is>
          <t>AKTYWNY</t>
        </is>
      </c>
    </row>
    <row r="3">
      <c r="A3" s="31" t="inlineStr">
        <is>
          <t>SPRZEDAŻ</t>
        </is>
      </c>
      <c r="B3" s="31" t="inlineStr">
        <is>
          <t>CNSC</t>
        </is>
      </c>
      <c r="C3" s="31" t="inlineStr">
        <is>
          <t>M3</t>
        </is>
      </c>
      <c r="D3" s="31" t="inlineStr">
        <is>
          <t>Drewnex</t>
        </is>
      </c>
      <c r="E3" s="31" t="inlineStr">
        <is>
          <t>Magazyn Zabrze</t>
        </is>
      </c>
      <c r="F3" s="31" t="inlineStr">
        <is>
          <t>Chrzanów</t>
        </is>
      </c>
      <c r="G3" s="31" t="inlineStr">
        <is>
          <t>Lander Agro</t>
        </is>
      </c>
      <c r="H3" s="31" t="inlineStr">
        <is>
          <t>SK 4K625</t>
        </is>
      </c>
      <c r="I3" s="31" t="inlineStr">
        <is>
          <t>Roesner Mateusz</t>
        </is>
      </c>
      <c r="J3" s="31" t="inlineStr">
        <is>
          <t>NIE</t>
        </is>
      </c>
      <c r="K3" s="31" t="inlineStr">
        <is>
          <t>KZR</t>
        </is>
      </c>
      <c r="L3" s="31" t="inlineStr">
        <is>
          <t>B</t>
        </is>
      </c>
      <c r="M3" s="31" t="inlineStr">
        <is>
          <t>własne</t>
        </is>
      </c>
      <c r="N3" s="31" t="inlineStr">
        <is>
          <t>SKORYGOWANY</t>
        </is>
      </c>
    </row>
    <row r="4">
      <c r="A4" s="31" t="inlineStr">
        <is>
          <t>PRODUKCJA</t>
        </is>
      </c>
      <c r="B4" s="31" t="inlineStr">
        <is>
          <t>Drewno opałowe z lasu</t>
        </is>
      </c>
      <c r="C4" s="31" t="inlineStr">
        <is>
          <t>MP</t>
        </is>
      </c>
      <c r="D4" s="31" t="inlineStr">
        <is>
          <t>Fioskip Adam Skipioł</t>
        </is>
      </c>
      <c r="E4" s="31" t="inlineStr">
        <is>
          <t>Re Alloys, Łaziska</t>
        </is>
      </c>
      <c r="F4" s="31" t="inlineStr">
        <is>
          <t>Gdańsk</t>
        </is>
      </c>
      <c r="G4" s="31" t="inlineStr">
        <is>
          <t>Nowatrans</t>
        </is>
      </c>
      <c r="H4" s="31" t="inlineStr">
        <is>
          <t>SK 4K626</t>
        </is>
      </c>
      <c r="N4" s="31" t="inlineStr">
        <is>
          <t>KOREKTA</t>
        </is>
      </c>
    </row>
    <row r="5">
      <c r="A5" s="31" t="inlineStr">
        <is>
          <t>ZUŻYCIE</t>
        </is>
      </c>
      <c r="B5" s="31" t="inlineStr">
        <is>
          <t>Drewno przemysłowe z wycinek inwest.</t>
        </is>
      </c>
      <c r="C5" s="31" t="inlineStr">
        <is>
          <t>TON</t>
        </is>
      </c>
      <c r="D5" s="31" t="inlineStr">
        <is>
          <t>Grandpol</t>
        </is>
      </c>
      <c r="E5" s="31" t="inlineStr">
        <is>
          <t>Re Chorzów</t>
        </is>
      </c>
      <c r="F5" s="31" t="inlineStr">
        <is>
          <t>Głubczyce</t>
        </is>
      </c>
      <c r="G5" s="31" t="inlineStr">
        <is>
          <t>własny (Adrian Wojciechowski)</t>
        </is>
      </c>
      <c r="H5" s="31" t="inlineStr">
        <is>
          <t>SK 5J756</t>
        </is>
      </c>
    </row>
    <row r="6">
      <c r="A6" s="31" t="inlineStr">
        <is>
          <t>MM</t>
        </is>
      </c>
      <c r="B6" s="31" t="inlineStr">
        <is>
          <t>PKS</t>
        </is>
      </c>
      <c r="D6" s="31" t="inlineStr">
        <is>
          <t>GWood</t>
        </is>
      </c>
      <c r="F6" s="31" t="inlineStr">
        <is>
          <t>Jaworzno</t>
        </is>
      </c>
      <c r="G6" s="31" t="inlineStr">
        <is>
          <t>własny (Chrzan)</t>
        </is>
      </c>
      <c r="H6" s="31" t="inlineStr">
        <is>
          <t>SK 5K809</t>
        </is>
      </c>
    </row>
    <row r="7">
      <c r="A7" s="31" t="inlineStr">
        <is>
          <t>TRANSPORT</t>
        </is>
      </c>
      <c r="B7" s="31" t="inlineStr">
        <is>
          <t>Zrzyna</t>
        </is>
      </c>
      <c r="D7" s="31" t="inlineStr">
        <is>
          <t>Lander Agro</t>
        </is>
      </c>
      <c r="F7" s="31" t="inlineStr">
        <is>
          <t>Koniecpol</t>
        </is>
      </c>
      <c r="G7" s="31" t="inlineStr">
        <is>
          <t>własny (Kretek)</t>
        </is>
      </c>
      <c r="H7" s="31" t="inlineStr">
        <is>
          <t>SK 5L809</t>
        </is>
      </c>
    </row>
    <row r="8">
      <c r="B8" s="31" t="inlineStr">
        <is>
          <t>Zrębka Produkcyjna Drzewna</t>
        </is>
      </c>
      <c r="D8" s="31" t="inlineStr">
        <is>
          <t>Magazyn Brąszewice</t>
        </is>
      </c>
      <c r="F8" s="31" t="inlineStr">
        <is>
          <t>Kwiatniów</t>
        </is>
      </c>
      <c r="G8" s="31" t="inlineStr">
        <is>
          <t>własny (Wilczak)</t>
        </is>
      </c>
      <c r="H8" s="31" t="inlineStr">
        <is>
          <t>SK 7H433</t>
        </is>
      </c>
    </row>
    <row r="9">
      <c r="B9" s="31" t="inlineStr">
        <is>
          <t>Zrębka Produkcyjna Inwestycyjna</t>
        </is>
      </c>
      <c r="D9" s="31" t="inlineStr">
        <is>
          <t>Magazyn Pyskowice</t>
        </is>
      </c>
      <c r="F9" s="31" t="inlineStr">
        <is>
          <t>Magazyn Brąszewice</t>
        </is>
      </c>
      <c r="G9" s="31" t="inlineStr">
        <is>
          <t>własny (Wiór)</t>
        </is>
      </c>
      <c r="H9" s="31" t="inlineStr">
        <is>
          <t>SK 7J884</t>
        </is>
      </c>
    </row>
    <row r="10">
      <c r="B10" s="31" t="inlineStr">
        <is>
          <t>Zrębka Produkcyjna Leśna</t>
        </is>
      </c>
      <c r="D10" s="31" t="inlineStr">
        <is>
          <t>Magazyn Zabrze</t>
        </is>
      </c>
      <c r="F10" s="31" t="inlineStr">
        <is>
          <t>Magazyn Pyskowice</t>
        </is>
      </c>
      <c r="G10" s="31" t="inlineStr">
        <is>
          <t>własny (Łukasz Wojciechowski)</t>
        </is>
      </c>
      <c r="H10" s="31" t="inlineStr">
        <is>
          <t>SK 7J885</t>
        </is>
      </c>
    </row>
    <row r="11">
      <c r="B11" s="31" t="inlineStr">
        <is>
          <t>Zrębka towar</t>
        </is>
      </c>
      <c r="D11" s="31" t="inlineStr">
        <is>
          <t>Marcin Jamrozik</t>
        </is>
      </c>
      <c r="F11" s="31" t="inlineStr">
        <is>
          <t>Magazyn Zabrze</t>
        </is>
      </c>
      <c r="H11" s="31" t="inlineStr">
        <is>
          <t>ST 9995P</t>
        </is>
      </c>
    </row>
    <row r="12">
      <c r="B12" s="31" t="inlineStr">
        <is>
          <t>Łupiny nerkowca</t>
        </is>
      </c>
      <c r="D12" s="31" t="inlineStr">
        <is>
          <t>NDL Chrzanów, Leśnictwo Chełmek</t>
        </is>
      </c>
      <c r="F12" s="31" t="inlineStr">
        <is>
          <t>Mieczysko</t>
        </is>
      </c>
      <c r="H12" s="31" t="inlineStr">
        <is>
          <t>SZ 2503U</t>
        </is>
      </c>
    </row>
    <row r="13">
      <c r="D13" s="31" t="inlineStr">
        <is>
          <t>NDL Chrzanów, Leśnictwo Mętków</t>
        </is>
      </c>
      <c r="F13" s="31" t="inlineStr">
        <is>
          <t>Mitręga</t>
        </is>
      </c>
      <c r="H13" s="31" t="inlineStr">
        <is>
          <t>WND 3546F</t>
        </is>
      </c>
    </row>
    <row r="14">
      <c r="D14" s="31" t="inlineStr">
        <is>
          <t>NDL Chrzanów, Leśnictwo Mętków+Szczakowa</t>
        </is>
      </c>
      <c r="F14" s="31" t="inlineStr">
        <is>
          <t>Myszków</t>
        </is>
      </c>
    </row>
    <row r="15">
      <c r="D15" s="31" t="inlineStr">
        <is>
          <t>NDL Chrzanów, Leśnictwo Płoki</t>
        </is>
      </c>
      <c r="F15" s="31" t="inlineStr">
        <is>
          <t>Mętków</t>
        </is>
      </c>
    </row>
    <row r="16">
      <c r="D16" s="31" t="inlineStr">
        <is>
          <t>NDL Chrzanów, Leśnictwo Szczakowa</t>
        </is>
      </c>
      <c r="F16" s="31" t="inlineStr">
        <is>
          <t>Mętków/Szczakowa</t>
        </is>
      </c>
    </row>
    <row r="17">
      <c r="D17" s="31" t="inlineStr">
        <is>
          <t>NDL Rudziniec, Leśnictwo Nogowczyce</t>
        </is>
      </c>
      <c r="F17" s="31" t="inlineStr">
        <is>
          <t>Pszczyna</t>
        </is>
      </c>
    </row>
    <row r="18">
      <c r="D18" s="31" t="inlineStr">
        <is>
          <t>NDL Siewierz, Leśnictwo Mitręga</t>
        </is>
      </c>
      <c r="F18" s="31" t="inlineStr">
        <is>
          <t>Rudziniec</t>
        </is>
      </c>
    </row>
    <row r="19">
      <c r="D19" s="31" t="inlineStr">
        <is>
          <t>NDL Strzelce Op, Leśnictwo Spórok</t>
        </is>
      </c>
      <c r="F19" s="31" t="inlineStr">
        <is>
          <t>Strzelce Opolskie</t>
        </is>
      </c>
    </row>
    <row r="20">
      <c r="D20" s="31" t="inlineStr">
        <is>
          <t>NDL Świerklaniec, Leśnictwo Mieczysko</t>
        </is>
      </c>
      <c r="F20" s="31" t="inlineStr">
        <is>
          <t>Ściborzyce</t>
        </is>
      </c>
    </row>
    <row r="21">
      <c r="D21" s="31" t="inlineStr">
        <is>
          <t>Port Północny Gdańsk</t>
        </is>
      </c>
    </row>
    <row r="22">
      <c r="D22" s="31" t="inlineStr">
        <is>
          <t>Walber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wsHistoria">
    <outlinePr summaryBelow="1" summaryRight="1"/>
    <pageSetUpPr/>
  </sheetPr>
  <dimension ref="A1:G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8" customWidth="1" min="1" max="1"/>
    <col width="20" customWidth="1" min="2" max="2"/>
    <col width="24" customWidth="1" min="3" max="3"/>
    <col width="20" customWidth="1" min="4" max="4"/>
    <col width="16" customWidth="1" min="5" max="5"/>
    <col width="26" customWidth="1" min="6" max="6"/>
    <col width="80" customWidth="1" min="7" max="7"/>
  </cols>
  <sheetData>
    <row r="1" ht="26" customHeight="1">
      <c r="A1" s="26" t="inlineStr">
        <is>
          <t>LP</t>
        </is>
      </c>
      <c r="B1" s="26" t="inlineStr">
        <is>
          <t>Data i godzina</t>
        </is>
      </c>
      <c r="C1" s="26" t="inlineStr">
        <is>
          <t>Użytkownik</t>
        </is>
      </c>
      <c r="D1" s="26" t="inlineStr">
        <is>
          <t>Zdarzenie</t>
        </is>
      </c>
      <c r="E1" s="26" t="inlineStr">
        <is>
          <t>Typ operacji</t>
        </is>
      </c>
      <c r="F1" s="26" t="inlineStr">
        <is>
          <t>ID operacji</t>
        </is>
      </c>
      <c r="G1" s="26" t="inlineStr">
        <is>
          <t>Opis</t>
        </is>
      </c>
    </row>
    <row r="2">
      <c r="A2" t="n">
        <v>1</v>
      </c>
      <c r="B2" s="32" t="n">
        <v>46280.46747827434</v>
      </c>
      <c r="C2" t="inlineStr">
        <is>
          <t>System</t>
        </is>
      </c>
      <c r="D2" t="inlineStr">
        <is>
          <t>INSTALACJA</t>
        </is>
      </c>
      <c r="G2" t="inlineStr">
        <is>
          <t>Utworzenie skoroszytu PRO-MAGAZYN 2.0.0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wsUstawienia">
    <outlinePr summaryBelow="1" summaryRight="1"/>
    <pageSetUpPr/>
  </sheetPr>
  <dimension ref="B1:D17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2" customWidth="1" min="2" max="2"/>
    <col width="26" customWidth="1" min="3" max="3"/>
    <col width="66" customWidth="1" min="4" max="4"/>
  </cols>
  <sheetData>
    <row r="1">
      <c r="B1" s="26" t="inlineStr">
        <is>
          <t>Klucz</t>
        </is>
      </c>
      <c r="C1" s="26" t="inlineStr">
        <is>
          <t>Wartość</t>
        </is>
      </c>
      <c r="D1" s="26" t="inlineStr">
        <is>
          <t>Opis</t>
        </is>
      </c>
    </row>
    <row r="2">
      <c r="B2" s="33" t="inlineStr">
        <is>
          <t>FIRMA</t>
        </is>
      </c>
      <c r="C2" s="34" t="inlineStr">
        <is>
          <t>ResInvest Commodities</t>
        </is>
      </c>
      <c r="D2" s="7" t="inlineStr">
        <is>
          <t>Nazwa firmy drukowana na raportach</t>
        </is>
      </c>
    </row>
    <row r="3">
      <c r="B3" s="33" t="inlineStr">
        <is>
          <t>MAGAZYN</t>
        </is>
      </c>
      <c r="C3" s="34" t="inlineStr">
        <is>
          <t>Magazyn Pyskowice</t>
        </is>
      </c>
      <c r="D3" s="7" t="inlineStr">
        <is>
          <t>Domyślna lokalizacja tego egzemplarza systemu</t>
        </is>
      </c>
    </row>
    <row r="4">
      <c r="B4" s="33" t="inlineStr">
        <is>
          <t>STAWKA_TRANSPORT_KM</t>
        </is>
      </c>
      <c r="C4" s="34" t="n">
        <v>5</v>
      </c>
      <c r="D4" s="7" t="inlineStr">
        <is>
          <t>Stawka za kilometr transportu [zł/km]</t>
        </is>
      </c>
    </row>
    <row r="5">
      <c r="B5" s="33" t="inlineStr">
        <is>
          <t>PRZELICZNIK_MP_TONA</t>
        </is>
      </c>
      <c r="C5" s="34" t="n">
        <v>0.33</v>
      </c>
      <c r="D5" s="7" t="inlineStr">
        <is>
          <t>Ile ton waży 1 metr przestrzenny</t>
        </is>
      </c>
    </row>
    <row r="6">
      <c r="B6" s="33" t="inlineStr">
        <is>
          <t>PRZELICZNIK_M3_MP</t>
        </is>
      </c>
      <c r="C6" s="34" t="n">
        <v>4</v>
      </c>
      <c r="D6" s="7" t="inlineStr">
        <is>
          <t>Ile MP daje 1 m3</t>
        </is>
      </c>
    </row>
    <row r="7">
      <c r="B7" s="33" t="inlineStr">
        <is>
          <t>PRZELICZNIK_GJ_TONA</t>
        </is>
      </c>
      <c r="C7" s="34" t="n">
        <v>8.5</v>
      </c>
      <c r="D7" s="7" t="inlineStr">
        <is>
          <t>Ile GJ energii daje 1 tona</t>
        </is>
      </c>
    </row>
    <row r="8">
      <c r="B8" s="33" t="inlineStr">
        <is>
          <t>MAX_DNI_ROBOCZYCH_WSTECZ</t>
        </is>
      </c>
      <c r="C8" s="34" t="n">
        <v>2</v>
      </c>
      <c r="D8" s="7" t="inlineStr">
        <is>
          <t>Ile dni roboczych wstecz wolno wpisać operację (0 = bez limitu)</t>
        </is>
      </c>
    </row>
    <row r="9">
      <c r="B9" s="33" t="inlineStr">
        <is>
          <t>MAX_DNI_WPRZOD</t>
        </is>
      </c>
      <c r="C9" s="34" t="n">
        <v>30</v>
      </c>
      <c r="D9" s="7" t="inlineStr">
        <is>
          <t>Ile dni w przód wolno wpisać operację (0 = bez limitu)</t>
        </is>
      </c>
    </row>
    <row r="10">
      <c r="B10" s="33" t="inlineStr">
        <is>
          <t>FOLDER_KOPII</t>
        </is>
      </c>
      <c r="C10" s="34" t="n"/>
      <c r="D10" s="7" t="inlineStr">
        <is>
          <t>Folder kopii zapasowych (puste = podfolder 'Kopie zapasowe')</t>
        </is>
      </c>
    </row>
    <row r="11">
      <c r="B11" s="33" t="inlineStr">
        <is>
          <t>KOPIA_AUTOMATYCZNA</t>
        </is>
      </c>
      <c r="C11" s="34" t="inlineStr">
        <is>
          <t>TAK</t>
        </is>
      </c>
      <c r="D11" s="7" t="inlineStr">
        <is>
          <t>Kopia zapasowa przy pierwszym zapisie w danym dniu</t>
        </is>
      </c>
    </row>
    <row r="12">
      <c r="B12" s="33" t="inlineStr">
        <is>
          <t>KOPIE_DO_ZACHOWANIA</t>
        </is>
      </c>
      <c r="C12" s="34" t="n">
        <v>30</v>
      </c>
      <c r="D12" s="7" t="inlineStr">
        <is>
          <t>Ile ostatnich kopii zapasowych zachować</t>
        </is>
      </c>
    </row>
    <row r="13">
      <c r="B13" s="33" t="inlineStr">
        <is>
          <t>WYMAGAJ_POLA_UTWORZYL</t>
        </is>
      </c>
      <c r="C13" s="34" t="inlineStr">
        <is>
          <t>TAK</t>
        </is>
      </c>
      <c r="D13" s="7" t="inlineStr">
        <is>
          <t>Czy pole 'Utworzył' jest obowiązkowe</t>
        </is>
      </c>
    </row>
    <row r="14">
      <c r="B14" s="33" t="inlineStr">
        <is>
          <t>OSTRZEGAJ_O_DUBLACH</t>
        </is>
      </c>
      <c r="C14" s="34" t="inlineStr">
        <is>
          <t>TAK</t>
        </is>
      </c>
      <c r="D14" s="7" t="inlineStr">
        <is>
          <t>Ostrzeganie przy powtórzonym numerze WZ</t>
        </is>
      </c>
    </row>
    <row r="15">
      <c r="B15" s="33" t="inlineStr">
        <is>
          <t>DOMYSLNY_AUTOR</t>
        </is>
      </c>
      <c r="C15" s="34" t="n"/>
      <c r="D15" s="7" t="inlineStr">
        <is>
          <t>Podpowiedź do pola 'Utworzył' (puste = użytkownik Windows)</t>
        </is>
      </c>
    </row>
    <row r="16">
      <c r="B16" s="33" t="inlineStr">
        <is>
          <t>SUROWIEC_DOMYSLNY</t>
        </is>
      </c>
      <c r="C16" s="34" t="inlineStr">
        <is>
          <t>Zrzyna</t>
        </is>
      </c>
      <c r="D16" s="7" t="inlineStr">
        <is>
          <t>Surowiec zużywany automatycznie przy produkcji</t>
        </is>
      </c>
    </row>
    <row r="17">
      <c r="B17" s="33" t="inlineStr">
        <is>
          <t>OSTATNIA_KOPIA</t>
        </is>
      </c>
      <c r="C17" s="34" t="n"/>
      <c r="D17" s="7" t="inlineStr">
        <is>
          <t>Data ostatniej kopii automatycznej - uzupełniana przez system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2026-09-15T11:13:09Z</dcterms:created>
  <dcterms:modified xsi:type="dcterms:W3CDTF">2026-09-15T11:13:10Z</dcterms:modified>
</cp:coreProperties>
</file>